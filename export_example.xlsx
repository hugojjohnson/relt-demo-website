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Introduction" sheetId="1" state="visible" r:id="rId1"/>
    <sheet xmlns:r="http://schemas.openxmlformats.org/officeDocument/2006/relationships" name="(B) Register of Participants" sheetId="2" state="visible" r:id="rId2"/>
    <sheet xmlns:r="http://schemas.openxmlformats.org/officeDocument/2006/relationships" name="Lists" sheetId="3" state="hidden" r:id="rId3"/>
    <sheet xmlns:r="http://schemas.openxmlformats.org/officeDocument/2006/relationships" name="(C) Register of Feedback" sheetId="4" state="visible" r:id="rId4"/>
    <sheet xmlns:r="http://schemas.openxmlformats.org/officeDocument/2006/relationships" name="(D) Visualisation" sheetId="5" state="visible" r:id="rId5"/>
    <sheet xmlns:r="http://schemas.openxmlformats.org/officeDocument/2006/relationships" name="Engine Lists" sheetId="6" state="hidden" r:id="rId6"/>
    <sheet xmlns:r="http://schemas.openxmlformats.org/officeDocument/2006/relationships" name="(E) Pairing Engine" sheetId="7" state="visible" r:id="rId7"/>
    <sheet xmlns:r="http://schemas.openxmlformats.org/officeDocument/2006/relationships" name="(F) Register of Incidents" sheetId="8" state="visible" r:id="rId8"/>
  </sheets>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13">
    <font>
      <name val="Calibri"/>
      <family val="2"/>
      <color theme="1"/>
      <sz val="11"/>
      <scheme val="minor"/>
    </font>
    <font>
      <name val="Calibri"/>
      <b val="1"/>
      <color rgb="00F16E27"/>
      <sz val="16"/>
    </font>
    <font>
      <name val="Calibri"/>
      <b val="1"/>
      <sz val="10"/>
    </font>
    <font>
      <name val="Calibri"/>
      <b val="1"/>
      <sz val="12"/>
    </font>
    <font>
      <name val="Calibri"/>
      <sz val="10"/>
    </font>
    <font>
      <name val="Calibri"/>
      <b val="1"/>
      <color rgb="00FFFFFF"/>
      <sz val="10"/>
    </font>
    <font>
      <name val="Calibri"/>
      <b val="1"/>
      <color rgb="00FFFFFF"/>
      <sz val="11"/>
    </font>
    <font>
      <name val="Calibri"/>
      <b val="1"/>
      <color rgb="00000000"/>
      <sz val="10"/>
    </font>
    <font>
      <name val="Calibri"/>
      <i val="1"/>
      <sz val="9"/>
    </font>
    <font>
      <name val="Calibri"/>
      <b val="1"/>
      <color rgb="00000000"/>
      <sz val="9"/>
    </font>
    <font>
      <name val="Calibri"/>
      <b val="1"/>
      <color rgb="00FFFFFF"/>
      <sz val="12"/>
    </font>
    <font>
      <name val="Calibri"/>
      <b val="1"/>
      <color rgb="00C00000"/>
    </font>
    <font>
      <name val="Calibri"/>
      <sz val="8"/>
    </font>
  </fonts>
  <fills count="23">
    <fill>
      <patternFill/>
    </fill>
    <fill>
      <patternFill patternType="gray125"/>
    </fill>
    <fill>
      <patternFill patternType="solid">
        <fgColor rgb="00FFF2CC"/>
      </patternFill>
    </fill>
    <fill>
      <patternFill patternType="solid">
        <fgColor rgb="00F16E27"/>
      </patternFill>
    </fill>
    <fill>
      <patternFill patternType="solid">
        <fgColor rgb="0027AEF1"/>
      </patternFill>
    </fill>
    <fill>
      <patternFill patternType="solid">
        <fgColor rgb="00A530FE"/>
      </patternFill>
    </fill>
    <fill>
      <patternFill patternType="solid">
        <fgColor rgb="002748F1"/>
      </patternFill>
    </fill>
    <fill>
      <patternFill patternType="solid">
        <fgColor rgb="00F12727"/>
      </patternFill>
    </fill>
    <fill>
      <patternFill patternType="solid"/>
    </fill>
    <fill>
      <patternFill patternType="solid">
        <fgColor rgb="001FA39B"/>
      </patternFill>
    </fill>
    <fill>
      <patternFill patternType="solid">
        <fgColor rgb="00808080"/>
      </patternFill>
    </fill>
    <fill>
      <patternFill patternType="solid">
        <fgColor rgb="00F9C7AC"/>
      </patternFill>
    </fill>
    <fill>
      <patternFill patternType="solid">
        <fgColor rgb="00ACE0F9"/>
      </patternFill>
    </fill>
    <fill>
      <patternFill patternType="solid">
        <fgColor rgb="00DCB0FE"/>
      </patternFill>
    </fill>
    <fill>
      <patternFill patternType="solid">
        <fgColor rgb="00ACB9F9"/>
      </patternFill>
    </fill>
    <fill>
      <patternFill patternType="solid">
        <fgColor rgb="00F9ACAC"/>
      </patternFill>
    </fill>
    <fill>
      <patternFill patternType="solid">
        <fgColor rgb="009E9E9E"/>
      </patternFill>
    </fill>
    <fill>
      <patternFill patternType="solid">
        <fgColor rgb="00A9DCD9"/>
      </patternFill>
    </fill>
    <fill>
      <patternFill patternType="solid">
        <fgColor rgb="00CECECE"/>
      </patternFill>
    </fill>
    <fill>
      <patternFill patternType="solid">
        <fgColor rgb="00CFE2F3"/>
      </patternFill>
    </fill>
    <fill>
      <patternFill patternType="solid">
        <fgColor rgb="00EFEFEF"/>
      </patternFill>
    </fill>
    <fill>
      <patternFill patternType="solid">
        <fgColor rgb="00D9EAD3"/>
      </patternFill>
    </fill>
    <fill>
      <patternFill patternType="solid">
        <fgColor rgb="00FFFF99"/>
      </patternFill>
    </fill>
  </fills>
  <borders count="22">
    <border>
      <left/>
      <right/>
      <top/>
      <bottom/>
      <diagonal/>
    </border>
    <border>
      <left style="thin">
        <color rgb="00D9D9D9"/>
      </left>
      <right style="thin">
        <color rgb="00D9D9D9"/>
      </right>
      <top style="thin">
        <color rgb="00D9D9D9"/>
      </top>
      <bottom style="thin">
        <color rgb="00D9D9D9"/>
      </bottom>
    </border>
    <border>
      <left style="medium">
        <color rgb="00808080"/>
      </left>
      <right/>
      <top style="medium">
        <color rgb="00808080"/>
      </top>
      <bottom/>
    </border>
    <border>
      <left style="thin">
        <color rgb="00D9D9D9"/>
      </left>
      <right style="medium">
        <color rgb="00808080"/>
      </right>
      <top style="medium">
        <color rgb="00808080"/>
      </top>
      <bottom style="thin">
        <color rgb="00D9D9D9"/>
      </bottom>
    </border>
    <border>
      <left style="medium">
        <color rgb="00808080"/>
      </left>
      <right/>
      <top/>
      <bottom style="medium">
        <color rgb="00808080"/>
      </bottom>
    </border>
    <border>
      <left style="thin">
        <color rgb="00D9D9D9"/>
      </left>
      <right style="medium">
        <color rgb="00808080"/>
      </right>
      <top style="thin">
        <color rgb="00D9D9D9"/>
      </top>
      <bottom style="medium">
        <color rgb="00808080"/>
      </bottom>
    </border>
    <border>
      <left/>
      <right/>
      <top style="medium">
        <color rgb="00808080"/>
      </top>
      <bottom/>
    </border>
    <border>
      <left/>
      <right style="medium">
        <color rgb="00808080"/>
      </right>
      <top style="medium">
        <color rgb="00808080"/>
      </top>
      <bottom/>
    </border>
    <border>
      <left/>
      <right/>
      <top/>
      <bottom style="medium">
        <color rgb="00808080"/>
      </bottom>
    </border>
    <border>
      <left/>
      <right style="medium">
        <color rgb="00808080"/>
      </right>
      <top/>
      <bottom style="medium">
        <color rgb="00808080"/>
      </bottom>
    </border>
    <border>
      <left style="medium">
        <color rgb="00808080"/>
      </left>
      <right/>
      <top/>
      <bottom/>
    </border>
    <border>
      <left/>
      <right/>
      <top/>
      <bottom/>
    </border>
    <border>
      <left/>
      <right style="medium">
        <color rgb="00808080"/>
      </right>
      <top/>
      <bottom/>
    </border>
    <border>
      <left style="medium">
        <color rgb="00808080"/>
      </left>
      <right style="thin">
        <color rgb="00D9D9D9"/>
      </right>
      <top style="medium">
        <color rgb="00808080"/>
      </top>
      <bottom style="thin">
        <color rgb="00D9D9D9"/>
      </bottom>
    </border>
    <border>
      <left style="thin">
        <color rgb="00D9D9D9"/>
      </left>
      <right style="thin">
        <color rgb="00D9D9D9"/>
      </right>
      <top style="medium">
        <color rgb="00808080"/>
      </top>
      <bottom style="thin">
        <color rgb="00D9D9D9"/>
      </bottom>
    </border>
    <border>
      <left style="medium">
        <color rgb="00808080"/>
      </left>
      <right style="thin">
        <color rgb="00D9D9D9"/>
      </right>
      <top style="thin">
        <color rgb="00D9D9D9"/>
      </top>
      <bottom style="thin">
        <color rgb="00D9D9D9"/>
      </bottom>
    </border>
    <border>
      <left style="thin">
        <color rgb="00D9D9D9"/>
      </left>
      <right style="medium">
        <color rgb="00808080"/>
      </right>
      <top style="thin">
        <color rgb="00D9D9D9"/>
      </top>
      <bottom style="thin">
        <color rgb="00D9D9D9"/>
      </bottom>
    </border>
    <border>
      <left style="medium">
        <color rgb="00808080"/>
      </left>
      <right style="thin">
        <color rgb="00D9D9D9"/>
      </right>
      <top style="thin">
        <color rgb="00D9D9D9"/>
      </top>
      <bottom style="medium">
        <color rgb="00808080"/>
      </bottom>
    </border>
    <border>
      <left style="thin">
        <color rgb="00D9D9D9"/>
      </left>
      <right style="thin">
        <color rgb="00D9D9D9"/>
      </right>
      <top style="thin">
        <color rgb="00D9D9D9"/>
      </top>
      <bottom style="medium">
        <color rgb="00808080"/>
      </bottom>
    </border>
    <border>
      <left style="medium">
        <color rgb="00808080"/>
      </left>
      <right/>
      <top style="medium">
        <color rgb="00808080"/>
      </top>
      <bottom style="medium">
        <color rgb="00808080"/>
      </bottom>
    </border>
    <border>
      <left/>
      <right/>
      <top style="medium">
        <color rgb="00808080"/>
      </top>
      <bottom style="medium">
        <color rgb="00808080"/>
      </bottom>
    </border>
    <border>
      <left/>
      <right style="medium">
        <color rgb="00808080"/>
      </right>
      <top style="medium">
        <color rgb="00808080"/>
      </top>
      <bottom style="medium">
        <color rgb="00808080"/>
      </bottom>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2" pivotButton="0" quotePrefix="0" xfId="0"/>
    <xf numFmtId="164" fontId="0" fillId="2" borderId="3" pivotButton="0" quotePrefix="0" xfId="0"/>
    <xf numFmtId="0" fontId="2" fillId="0" borderId="4" pivotButton="0" quotePrefix="0" xfId="0"/>
    <xf numFmtId="0" fontId="0" fillId="2" borderId="5" pivotButton="0" quotePrefix="0" xfId="0"/>
    <xf numFmtId="0" fontId="3" fillId="0" borderId="2" pivotButton="0" quotePrefix="0" xfId="0"/>
    <xf numFmtId="0" fontId="0" fillId="0" borderId="6" pivotButton="0" quotePrefix="0" xfId="0"/>
    <xf numFmtId="0" fontId="0" fillId="0" borderId="7" pivotButton="0" quotePrefix="0" xfId="0"/>
    <xf numFmtId="0" fontId="4" fillId="0" borderId="4" applyAlignment="1" pivotButton="0" quotePrefix="0" xfId="0">
      <alignment vertical="top" wrapText="1"/>
    </xf>
    <xf numFmtId="0" fontId="0" fillId="0" borderId="8" pivotButton="0" quotePrefix="0" xfId="0"/>
    <xf numFmtId="0" fontId="0" fillId="0" borderId="9" pivotButton="0" quotePrefix="0" xfId="0"/>
    <xf numFmtId="0" fontId="4" fillId="0" borderId="10" applyAlignment="1" pivotButton="0" quotePrefix="0" xfId="0">
      <alignment vertical="top" wrapText="1"/>
    </xf>
    <xf numFmtId="0" fontId="0" fillId="0" borderId="11" pivotButton="0" quotePrefix="0" xfId="0"/>
    <xf numFmtId="0" fontId="0" fillId="0" borderId="12" pivotButton="0" quotePrefix="0" xfId="0"/>
    <xf numFmtId="0" fontId="3" fillId="0" borderId="0" pivotButton="0" quotePrefix="0" xfId="0"/>
    <xf numFmtId="0" fontId="5" fillId="3" borderId="13" applyAlignment="1" pivotButton="0" quotePrefix="0" xfId="0">
      <alignment horizontal="center" vertical="center" wrapText="1"/>
    </xf>
    <xf numFmtId="0" fontId="5" fillId="3" borderId="14" applyAlignment="1" pivotButton="0" quotePrefix="0" xfId="0">
      <alignment horizontal="center" vertical="center" wrapText="1"/>
    </xf>
    <xf numFmtId="0" fontId="5" fillId="3" borderId="3" applyAlignment="1" pivotButton="0" quotePrefix="0" xfId="0">
      <alignment horizontal="center" vertical="center" wrapText="1"/>
    </xf>
    <xf numFmtId="0" fontId="2" fillId="0" borderId="15" pivotButton="0" quotePrefix="0" xfId="0"/>
    <xf numFmtId="0" fontId="4" fillId="0" borderId="1" pivotButton="0" quotePrefix="0" xfId="0"/>
    <xf numFmtId="0" fontId="4" fillId="0" borderId="16" applyAlignment="1" pivotButton="0" quotePrefix="0" xfId="0">
      <alignment vertical="top" wrapText="1"/>
    </xf>
    <xf numFmtId="0" fontId="2" fillId="0" borderId="17" pivotButton="0" quotePrefix="0" xfId="0"/>
    <xf numFmtId="0" fontId="4" fillId="0" borderId="18" pivotButton="0" quotePrefix="0" xfId="0"/>
    <xf numFmtId="0" fontId="4" fillId="0" borderId="5" applyAlignment="1" pivotButton="0" quotePrefix="0" xfId="0">
      <alignment vertical="top" wrapText="1"/>
    </xf>
    <xf numFmtId="0" fontId="4" fillId="0" borderId="19" applyAlignment="1" pivotButton="0" quotePrefix="0" xfId="0">
      <alignment vertical="top" wrapText="1"/>
    </xf>
    <xf numFmtId="0" fontId="0" fillId="0" borderId="20" pivotButton="0" quotePrefix="0" xfId="0"/>
    <xf numFmtId="0" fontId="0" fillId="0" borderId="21" pivotButton="0" quotePrefix="0" xfId="0"/>
    <xf numFmtId="0" fontId="4" fillId="0" borderId="15" pivotButton="0" quotePrefix="0" xfId="0"/>
    <xf numFmtId="0" fontId="2" fillId="0" borderId="1" pivotButton="0" quotePrefix="0" xfId="0"/>
    <xf numFmtId="0" fontId="4" fillId="0" borderId="17" pivotButton="0" quotePrefix="0" xfId="0"/>
    <xf numFmtId="0" fontId="2" fillId="0" borderId="18" pivotButton="0" quotePrefix="0" xfId="0"/>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1" applyAlignment="1" pivotButton="0" quotePrefix="0" xfId="0">
      <alignment horizontal="center" vertical="center" wrapText="1"/>
    </xf>
    <xf numFmtId="0" fontId="7" fillId="18" borderId="1" applyAlignment="1" pivotButton="0" quotePrefix="0" xfId="0">
      <alignment horizontal="center" vertical="center" wrapText="1"/>
    </xf>
    <xf numFmtId="0" fontId="4" fillId="0" borderId="1" applyAlignment="1" pivotButton="0" quotePrefix="0" xfId="0">
      <alignment vertical="top" wrapText="1"/>
    </xf>
    <xf numFmtId="164" fontId="4" fillId="0" borderId="1" applyAlignment="1" pivotButton="0" quotePrefix="0" xfId="0">
      <alignment vertical="top" wrapText="1"/>
    </xf>
    <xf numFmtId="0" fontId="8" fillId="0" borderId="0" pivotButton="0" quotePrefix="0" xfId="0"/>
    <xf numFmtId="0" fontId="9" fillId="19" borderId="1" applyAlignment="1" pivotButton="0" quotePrefix="0" xfId="0">
      <alignment horizontal="center" vertical="center" wrapText="1"/>
    </xf>
    <xf numFmtId="0" fontId="9" fillId="20" borderId="1" applyAlignment="1" pivotButton="0" quotePrefix="0" xfId="0">
      <alignment horizontal="center" vertical="center" wrapText="1"/>
    </xf>
    <xf numFmtId="0" fontId="9" fillId="21" borderId="1" applyAlignment="1" pivotButton="0" quotePrefix="0" xfId="0">
      <alignment horizontal="center" vertical="center" wrapText="1"/>
    </xf>
    <xf numFmtId="0" fontId="0" fillId="3" borderId="0" pivotButton="0" quotePrefix="0" xfId="0"/>
    <xf numFmtId="0" fontId="10" fillId="3" borderId="0" pivotButton="0" quotePrefix="0" xfId="0"/>
    <xf numFmtId="0" fontId="5" fillId="3" borderId="1" applyAlignment="1" pivotButton="0" quotePrefix="0" xfId="0">
      <alignment horizontal="center" vertical="center" wrapText="1"/>
    </xf>
    <xf numFmtId="0" fontId="10" fillId="4" borderId="0" pivotButton="0" quotePrefix="0" xfId="0"/>
    <xf numFmtId="0" fontId="0" fillId="4" borderId="0" pivotButton="0" quotePrefix="0" xfId="0"/>
    <xf numFmtId="0" fontId="5" fillId="4" borderId="1" applyAlignment="1" pivotButton="0" quotePrefix="0" xfId="0">
      <alignment horizontal="center" vertical="center" wrapText="1"/>
    </xf>
    <xf numFmtId="0" fontId="10" fillId="5" borderId="0" pivotButton="0" quotePrefix="0" xfId="0"/>
    <xf numFmtId="0" fontId="0" fillId="5" borderId="0" pivotButton="0" quotePrefix="0" xfId="0"/>
    <xf numFmtId="0" fontId="5" fillId="5" borderId="1" applyAlignment="1" pivotButton="0" quotePrefix="0" xfId="0">
      <alignment horizontal="center" vertical="center" wrapText="1"/>
    </xf>
    <xf numFmtId="0" fontId="10" fillId="6" borderId="0" pivotButton="0" quotePrefix="0" xfId="0"/>
    <xf numFmtId="0" fontId="0" fillId="6" borderId="0" pivotButton="0" quotePrefix="0" xfId="0"/>
    <xf numFmtId="0" fontId="5" fillId="6" borderId="1" applyAlignment="1" pivotButton="0" quotePrefix="0" xfId="0">
      <alignment horizontal="center" vertical="center" wrapText="1"/>
    </xf>
    <xf numFmtId="0" fontId="2" fillId="0" borderId="0" pivotButton="0" quotePrefix="0" xfId="0"/>
    <xf numFmtId="0" fontId="4" fillId="0" borderId="0" pivotButton="0" quotePrefix="0" xfId="0"/>
    <xf numFmtId="0" fontId="2" fillId="22" borderId="1" pivotButton="0" quotePrefix="0" xfId="0"/>
    <xf numFmtId="0" fontId="11" fillId="0" borderId="0" pivotButton="0" quotePrefix="0" xfId="0"/>
    <xf numFmtId="0" fontId="12" fillId="0" borderId="0" pivotButton="0" quotePrefix="0" xfId="0"/>
    <xf numFmtId="0" fontId="5" fillId="9"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dxfs count="7">
    <dxf>
      <fill>
        <patternFill patternType="solid">
          <fgColor rgb="00D9EAD3"/>
        </patternFill>
      </fill>
    </dxf>
    <dxf>
      <fill>
        <patternFill patternType="solid">
          <fgColor rgb="00FFFF99"/>
        </patternFill>
      </fill>
    </dxf>
    <dxf>
      <fill>
        <patternFill patternType="solid">
          <fgColor rgb="00F4CCCC"/>
        </patternFill>
      </fill>
    </dxf>
    <dxf>
      <font>
        <name val="Calibri"/>
        <b val="1"/>
        <color rgb="00FFFFFF"/>
      </font>
      <fill>
        <patternFill patternType="solid">
          <fgColor rgb="00FF0000"/>
        </patternFill>
      </fill>
    </dxf>
    <dxf>
      <fill>
        <patternFill patternType="solid">
          <fgColor rgb="00FFE5E5"/>
        </patternFill>
      </fill>
    </dxf>
    <dxf>
      <fill>
        <patternFill patternType="solid">
          <fgColor rgb="00F2F2F2"/>
        </patternFill>
      </fill>
    </dxf>
    <dxf>
      <fill>
        <patternFill patternType="solid">
          <fgColor rgb="00FFE0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(A.1) Participants by status</a:t>
            </a:r>
          </a:p>
        </rich>
      </tx>
    </title>
    <plotArea>
      <barChart>
        <barDir val="col"/>
        <grouping val="clustered"/>
        <ser>
          <idx val="0"/>
          <order val="0"/>
          <tx>
            <strRef>
              <f>'(D) Visualisation'!C6</f>
            </strRef>
          </tx>
          <spPr>
            <a:ln xmlns:a="http://schemas.openxmlformats.org/drawingml/2006/main">
              <a:prstDash val="solid"/>
            </a:ln>
          </spPr>
          <cat>
            <numRef>
              <f>'(D) Visualisation'!$B$7:$B$17</f>
            </numRef>
          </cat>
          <val>
            <numRef>
              <f>'(D) Visualisation'!$C$7:$C$17</f>
            </numRef>
          </val>
        </ser>
        <ser>
          <idx val="1"/>
          <order val="1"/>
          <tx>
            <strRef>
              <f>'(D) Visualisation'!D6</f>
            </strRef>
          </tx>
          <spPr>
            <a:ln xmlns:a="http://schemas.openxmlformats.org/drawingml/2006/main">
              <a:prstDash val="solid"/>
            </a:ln>
          </spPr>
          <cat>
            <numRef>
              <f>'(D) Visualisation'!$B$7:$B$17</f>
            </numRef>
          </cat>
          <val>
            <numRef>
              <f>'(D) Visualisation'!$D$7:$D$17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(B.1) Applications per month (Total)</a:t>
            </a:r>
          </a:p>
        </rich>
      </tx>
    </title>
    <plotArea>
      <lineChart>
        <grouping val="standard"/>
        <ser>
          <idx val="0"/>
          <order val="0"/>
          <tx>
            <strRef>
              <f>'(D) Visualisation'!E39</f>
            </strRef>
          </tx>
          <spPr>
            <a:ln xmlns:a="http://schemas.openxmlformats.org/drawingml/2006/main">
              <a:prstDash val="solid"/>
            </a:ln>
          </spPr>
          <marker>
            <symbol val="none"/>
            <spPr>
              <a:ln xmlns:a="http://schemas.openxmlformats.org/drawingml/2006/main">
                <a:prstDash val="solid"/>
              </a:ln>
            </spPr>
          </marker>
          <cat>
            <numRef>
              <f>'(D) Visualisation'!$B$40:$B$63</f>
            </numRef>
          </cat>
          <val>
            <numRef>
              <f>'(D) Visualisation'!$E$40:$E$63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(B.3) Applications per organisation</a:t>
            </a:r>
          </a:p>
        </rich>
      </tx>
    </title>
    <plotArea>
      <barChart>
        <barDir val="bar"/>
        <grouping val="clustered"/>
        <ser>
          <idx val="0"/>
          <order val="0"/>
          <tx>
            <strRef>
              <f>'(D) Visualisation'!J39</f>
            </strRef>
          </tx>
          <spPr>
            <a:ln xmlns:a="http://schemas.openxmlformats.org/drawingml/2006/main">
              <a:prstDash val="solid"/>
            </a:ln>
          </spPr>
          <cat>
            <numRef>
              <f>'(D) Visualisation'!$G$40:$G$62</f>
            </numRef>
          </cat>
          <val>
            <numRef>
              <f>'(D) Visualisation'!$J$40:$J$62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(C.2) Availability by time band</a:t>
            </a:r>
          </a:p>
        </rich>
      </tx>
    </title>
    <plotArea>
      <barChart>
        <barDir val="col"/>
        <grouping val="clustered"/>
        <ser>
          <idx val="0"/>
          <order val="0"/>
          <spPr>
            <a:ln xmlns:a="http://schemas.openxmlformats.org/drawingml/2006/main">
              <a:prstDash val="solid"/>
            </a:ln>
          </spPr>
          <cat>
            <numRef>
              <f>'(D) Visualisation'!$B$85:$B$89</f>
            </numRef>
          </cat>
          <val>
            <numRef>
              <f>'(D) Visualisation'!$J$85:$J$89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(C.4) State distribution</a:t>
            </a:r>
          </a:p>
        </rich>
      </tx>
    </title>
    <plotArea>
      <barChart>
        <barDir val="col"/>
        <grouping val="clustered"/>
        <ser>
          <idx val="0"/>
          <order val="0"/>
          <tx>
            <strRef>
              <f>'(D) Visualisation'!O84</f>
            </strRef>
          </tx>
          <spPr>
            <a:ln xmlns:a="http://schemas.openxmlformats.org/drawingml/2006/main">
              <a:prstDash val="solid"/>
            </a:ln>
          </spPr>
          <cat>
            <numRef>
              <f>'(D) Visualisation'!$L$85:$L$92</f>
            </numRef>
          </cat>
          <val>
            <numRef>
              <f>'(D) Visualisation'!$O$85:$O$92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(C.6) Suburb distribution</a:t>
            </a:r>
          </a:p>
        </rich>
      </tx>
    </title>
    <plotArea>
      <barChart>
        <barDir val="bar"/>
        <grouping val="clustered"/>
        <ser>
          <idx val="0"/>
          <order val="0"/>
          <tx>
            <strRef>
              <f>'(D) Visualisation'!T84</f>
            </strRef>
          </tx>
          <spPr>
            <a:ln xmlns:a="http://schemas.openxmlformats.org/drawingml/2006/main">
              <a:prstDash val="solid"/>
            </a:ln>
          </spPr>
          <cat>
            <numRef>
              <f>'(D) Visualisation'!$Q$85:$Q$104</f>
            </numRef>
          </cat>
          <val>
            <numRef>
              <f>'(D) Visualisation'!$T$85:$T$104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(D.1) Nationality</a:t>
            </a:r>
          </a:p>
        </rich>
      </tx>
    </title>
    <plotArea>
      <barChart>
        <barDir val="bar"/>
        <grouping val="clustered"/>
        <ser>
          <idx val="0"/>
          <order val="0"/>
          <tx>
            <strRef>
              <f>'(D) Visualisation'!E126</f>
            </strRef>
          </tx>
          <spPr>
            <a:ln xmlns:a="http://schemas.openxmlformats.org/drawingml/2006/main">
              <a:prstDash val="solid"/>
            </a:ln>
          </spPr>
          <cat>
            <numRef>
              <f>'(D) Visualisation'!$B$127:$B$151</f>
            </numRef>
          </cat>
          <val>
            <numRef>
              <f>'(D) Visualisation'!$E$127:$E$151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(D.3) Gender</a:t>
            </a:r>
          </a:p>
        </rich>
      </tx>
    </title>
    <plotArea>
      <barChart>
        <barDir val="col"/>
        <grouping val="clustered"/>
        <ser>
          <idx val="0"/>
          <order val="0"/>
          <tx>
            <strRef>
              <f>'(D) Visualisation'!M126</f>
            </strRef>
          </tx>
          <spPr>
            <a:ln xmlns:a="http://schemas.openxmlformats.org/drawingml/2006/main">
              <a:prstDash val="solid"/>
            </a:ln>
          </spPr>
          <cat>
            <numRef>
              <f>'(D) Visualisation'!$L$127:$L$129</f>
            </numRef>
          </cat>
          <val>
            <numRef>
              <f>'(D) Visualisation'!$M$127:$M$129</f>
            </numRef>
          </val>
        </ser>
        <ser>
          <idx val="1"/>
          <order val="1"/>
          <tx>
            <strRef>
              <f>'(D) Visualisation'!N126</f>
            </strRef>
          </tx>
          <spPr>
            <a:ln xmlns:a="http://schemas.openxmlformats.org/drawingml/2006/main">
              <a:prstDash val="solid"/>
            </a:ln>
          </spPr>
          <cat>
            <numRef>
              <f>'(D) Visualisation'!$L$127:$L$129</f>
            </numRef>
          </cat>
          <val>
            <numRef>
              <f>'(D) Visualisation'!$N$127:$N$129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(D.6) Age band</a:t>
            </a:r>
          </a:p>
        </rich>
      </tx>
    </title>
    <plotArea>
      <barChart>
        <barDir val="col"/>
        <grouping val="clustered"/>
        <ser>
          <idx val="0"/>
          <order val="0"/>
          <tx>
            <strRef>
              <f>'(D) Visualisation'!AD126</f>
            </strRef>
          </tx>
          <spPr>
            <a:ln xmlns:a="http://schemas.openxmlformats.org/drawingml/2006/main">
              <a:prstDash val="solid"/>
            </a:ln>
          </spPr>
          <cat>
            <numRef>
              <f>'(D) Visualisation'!$AA$127:$AA$133</f>
            </numRef>
          </cat>
          <val>
            <numRef>
              <f>'(D) Visualisation'!$AD$127:$AD$133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(D.7) Professions &amp; education</a:t>
            </a:r>
          </a:p>
        </rich>
      </tx>
    </title>
    <plotArea>
      <barChart>
        <barDir val="bar"/>
        <grouping val="clustered"/>
        <ser>
          <idx val="0"/>
          <order val="0"/>
          <tx>
            <strRef>
              <f>'(D) Visualisation'!AI126</f>
            </strRef>
          </tx>
          <spPr>
            <a:ln xmlns:a="http://schemas.openxmlformats.org/drawingml/2006/main">
              <a:prstDash val="solid"/>
            </a:ln>
          </spPr>
          <cat>
            <numRef>
              <f>'(D) Visualisation'!$AF$127:$AF$139</f>
            </numRef>
          </cat>
          <val>
            <numRef>
              <f>'(D) Visualisation'!$AI$127:$AI$139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(E.1) Overall opinion</a:t>
            </a:r>
          </a:p>
        </rich>
      </tx>
    </title>
    <plotArea>
      <barChart>
        <barDir val="col"/>
        <grouping val="clustered"/>
        <ser>
          <idx val="0"/>
          <order val="0"/>
          <spPr>
            <a:ln xmlns:a="http://schemas.openxmlformats.org/drawingml/2006/main">
              <a:prstDash val="solid"/>
            </a:ln>
          </spPr>
          <cat>
            <numRef>
              <f>'(D) Visualisation'!$B$173:$B$177</f>
            </numRef>
          </cat>
          <val>
            <numRef>
              <f>'(D) Visualisation'!$C$173:$C$177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RELT</author>
  </authors>
  <commentList>
    <comment ref="A2" authorId="0" shapeId="0">
      <text>
        <t>Purpose: unique key linking this person across the Register, Feedback, Pairing Engine and reports. Auto-assigned (T-/S- + O/N + 5 digits). Do not edit or reuse.</t>
      </text>
    </comment>
    <comment ref="B2" authorId="0" shapeId="0">
      <text>
        <t>Purpose: identify the participant. Enter full name. The cell turns red if the same name already appears, to catch duplicate applications.</t>
      </text>
    </comment>
    <comment ref="C2" authorId="0" shapeId="0">
      <text>
        <t>Purpose: primary contact + key for matching a feedback-form response back to this person. Enter best email.</t>
      </text>
    </comment>
    <comment ref="D2" authorId="0" shapeId="0">
      <text>
        <t>Purpose: contact. Enter mobile as +61 4xx xxx xxx.</t>
      </text>
    </comment>
    <comment ref="E2" authorId="0" shapeId="0">
      <text>
        <t>Purpose: welfare — who to contact in an emergency. Enter full name.</t>
      </text>
    </comment>
    <comment ref="F2" authorId="0" shapeId="0">
      <text>
        <t>Purpose: welfare. Enter phone as +61 4xx xxx xxx.</t>
      </text>
    </comment>
    <comment ref="G2" authorId="0" shapeId="0">
      <text>
        <t>Purpose: welfare context. E.g. Spouse, Parent, Caseworker.</t>
      </text>
    </comment>
    <comment ref="H2" authorId="0" shapeId="0">
      <text>
        <t>Purpose: drives almost all logic (eligibility, pairing direction, dashboard splits). Tutor or Student.</t>
      </text>
    </comment>
    <comment ref="I2" authorId="0" shapeId="0">
      <text>
        <t>Purpose: measures wait time and feeds the applications-per-month dashboard. Date the application was received.</t>
      </text>
    </comment>
    <comment ref="J2" authorId="0" shapeId="0">
      <text>
        <t>Purpose: single source of truth for where the person is in the pipeline; controls colour-coding and Pairing-Engine eligibility. Green = paired/at capacity, yellow = available to pair, red = not pairable.</t>
      </text>
    </comment>
    <comment ref="K2" authorId="0" shapeId="0">
      <text>
        <t>Purpose: human-readable status for non-technical staff. Auto-filled from the code — do not type here.</t>
      </text>
    </comment>
    <comment ref="L2" authorId="0" shapeId="0">
      <text>
        <t>Purpose: safeguarding hard-stop; a blacklisted person is never eligible to pair. Set Yes only for a documented reason and record it in General Comments.</t>
      </text>
    </comment>
    <comment ref="M2" authorId="0" shapeId="0">
      <text>
        <t>Purpose: when active involvement began (used for tenure/history). Enter the start date.</t>
      </text>
    </comment>
    <comment ref="N2" authorId="0" shapeId="0">
      <text>
        <t>Purpose: when involvement ended, if applicable (marks the person inactive). Leave blank if ongoing.</t>
      </text>
    </comment>
    <comment ref="O2" authorId="0" shapeId="0">
      <text>
        <t>Purpose: caps how many students a tutor can hold at once; the Pairing Engine uses spare capacity. Tutors: a number. Students: NA.</t>
      </text>
    </comment>
    <comment ref="P2" authorId="0" shapeId="0">
      <text>
        <t>Purpose: how many active pairings the person has now. Auto from the pairing slots — do not edit.</t>
      </text>
    </comment>
    <comment ref="Q2" authorId="0" shapeId="0">
      <text>
        <t>Purpose: lifetime number of pairings. Auto from the pairing slots — do not edit.</t>
      </text>
    </comment>
    <comment ref="R2" authorId="0" shapeId="0">
      <text>
        <t>Purpose: who the person is currently paired with. Auto (tutor → current students; student → current tutor) — do not edit.</t>
      </text>
    </comment>
    <comment ref="S2" authorId="0" shapeId="0">
      <text>
        <t>Purpose: tracks onboarding completeness. Provided / Not Provided / NA.</t>
      </text>
    </comment>
    <comment ref="T2" authorId="0" shapeId="0">
      <text>
        <t>Purpose: where sessions are held (suburb or "Online"). Enter free text.</t>
      </text>
    </comment>
    <comment ref="U2" authorId="0" shapeId="0">
      <text>
        <t>Purpose: the usual weekly session day and time in AEST. Enter free text.</t>
      </text>
    </comment>
    <comment ref="V2" authorId="0" shapeId="0">
      <text>
        <t>Purpose: welfare/quality monitoring; the cell turns red if blank or over a year old. Enter the date of the most recent check-in.</t>
      </text>
    </comment>
    <comment ref="W2" authorId="0" shapeId="0">
      <text>
        <t>Purpose: lets coordinators convert the AEST availability to the person’s local time. Pick the Australian zone.</t>
      </text>
    </comment>
    <comment ref="X2" authorId="0" shapeId="0">
      <text>
        <t>Purpose: feeds availability-overlap matching and the availability dashboard. Enter the 3-hour AEST blocks the person is free, e.g. "9am-12pm;6pm-9pm;".</t>
      </text>
    </comment>
    <comment ref="Y2" authorId="0" shapeId="0">
      <text>
        <t>Enter as appropriate.</t>
      </text>
    </comment>
    <comment ref="Z2" authorId="0" shapeId="0">
      <text>
        <t>Enter as appropriate.</t>
      </text>
    </comment>
    <comment ref="AA2" authorId="0" shapeId="0">
      <text>
        <t>Enter as appropriate.</t>
      </text>
    </comment>
    <comment ref="AB2" authorId="0" shapeId="0">
      <text>
        <t>Enter as appropriate.</t>
      </text>
    </comment>
    <comment ref="AC2" authorId="0" shapeId="0">
      <text>
        <t>Enter as appropriate.</t>
      </text>
    </comment>
    <comment ref="AD2" authorId="0" shapeId="0">
      <text>
        <t>Enter as appropriate.</t>
      </text>
    </comment>
    <comment ref="AE2" authorId="0" shapeId="0">
      <text>
        <t>Purpose: pairing preference and a scored criterion. Online, In-Person or Either ("Either" matches either side).</t>
      </text>
    </comment>
    <comment ref="AF2" authorId="0" shapeId="0">
      <text>
        <t>Purpose: feeds the online-suitability penalty (no laptop/tablet + online sessions). Pick the devices available.</t>
      </text>
    </comment>
    <comment ref="AG2" authorId="0" shapeId="0">
      <text>
        <t>Purpose: scoping. Locked to Australia.</t>
      </text>
    </comment>
    <comment ref="AH2" authorId="0" shapeId="0">
      <text>
        <t>Purpose: broad geographic matching and dashboard. Pick the state/territory.</t>
      </text>
    </comment>
    <comment ref="AI2" authorId="0" shapeId="0">
      <text>
        <t>Purpose: narrow geographic matching and dashboard. Enter the residential suburb.</t>
      </text>
    </comment>
    <comment ref="AJ2" authorId="0" shapeId="0">
      <text>
        <t>Purpose: in-person proximity scoring (≤50 difference). Enter the 4-digit postcode.</t>
      </text>
    </comment>
    <comment ref="AK2" authorId="0" shapeId="0">
      <text>
        <t>Purpose: derives age for the within-10-years matching criterion. dd/mm/yyyy.</t>
      </text>
    </comment>
    <comment ref="AL2" authorId="0" shapeId="0">
      <text>
        <t>Purpose: same-gender scoring and the opt-in hard gate. Female, Male or Other.</t>
      </text>
    </comment>
    <comment ref="AM2" authorId="0" shapeId="0">
      <text>
        <t>Purpose: where Yes, the Pairing Engine will only offer a same-gender tutor (hard gate). Yes / No / NA.</t>
      </text>
    </comment>
    <comment ref="AN2" authorId="0" shapeId="0">
      <text>
        <t>Purpose: drives language-matching rules (A1 needs a shared language; higher levels score differently). Single CEFR level A1–C2; tutors NA - Tutor.</t>
      </text>
    </comment>
    <comment ref="AO2" authorId="0" shapeId="0">
      <text>
        <t>Purpose: assessor’s overall judgement of suitability. Low / Moderate / High / Outstanding.</t>
      </text>
    </comment>
    <comment ref="AP2" authorId="0" shapeId="0">
      <text>
        <t>Purpose: nationality matching (+2 shared) and the acrimonious-pairing safeguard (−8). Enter nationality; for dual nationals separate with "; " (e.g. "Australia; Iran").</t>
      </text>
    </comment>
    <comment ref="AQ2" authorId="0" shapeId="0">
      <text>
        <t>Purpose: additional context for safeguarding/matching. Enter if known.</t>
      </text>
    </comment>
    <comment ref="AR2" authorId="0" shapeId="0">
      <text>
        <t>Purpose: shared-language matching. Enter the language(s) the person speaks with level, e.g. "Arabic (C1)". Bilingual tutors should list their heritage language here so it can be matched.</t>
      </text>
    </comment>
    <comment ref="AS2" authorId="0" shapeId="0">
      <text>
        <t>Purpose: religion matching (+2 similar) and the acrimonious-pairing safeguard (−8). Enter religion or None/NA.</t>
      </text>
    </comment>
    <comment ref="AT2" authorId="0" shapeId="0">
      <text>
        <t>Purpose: professional/academic background matching (+3 same/similar). Pick the closest category.</t>
      </text>
    </comment>
    <comment ref="AU2" authorId="0" shapeId="0">
      <text>
        <t>Purpose: context for background matching. Enter free text.</t>
      </text>
    </comment>
    <comment ref="AV2" authorId="0" shapeId="0">
      <text>
        <t>Purpose: captures the employment/study goal (a fundraising-outcomes priority). Enter free text.</t>
      </text>
    </comment>
    <comment ref="AW2" authorId="0" shapeId="0">
      <text>
        <t>Purpose: soft rapport-matching and conversation starters. Enter free text.</t>
      </text>
    </comment>
    <comment ref="AX2" authorId="0" shapeId="0">
      <text>
        <t>Purpose: confirms student eligibility for the program. Refugee / Asylum Seeker; tutors NA - Tutor.</t>
      </text>
    </comment>
    <comment ref="AY2" authorId="0" shapeId="0">
      <text>
        <t>Purpose: vetting gate — no one may be paired without this being Yes or an NA-verified value. Red if No or blank.</t>
      </text>
    </comment>
    <comment ref="AZ2" authorId="0" shapeId="0">
      <text>
        <t>Purpose: vetting gate — no one may be paired without this being Yes or an NA-verified value. Red if No or blank.</t>
      </text>
    </comment>
    <comment ref="BA2" authorId="0" shapeId="0">
      <text>
        <t>Purpose: records who the Reference Check was conducted with. Enter the referee’s full name.</t>
      </text>
    </comment>
    <comment ref="BB2" authorId="0" shapeId="0">
      <text>
        <t>Purpose: context for the reference. E.g. Manager, Colleague, Academic Referee.</t>
      </text>
    </comment>
    <comment ref="BC2" authorId="0" shapeId="0">
      <text>
        <t>Purpose: allows the reference to be re-verified. Enter email or phone.</t>
      </text>
    </comment>
    <comment ref="BD2" authorId="0" shapeId="0">
      <text>
        <t>Purpose: child-safety vetting (relevant if minors are ever admitted). Yes / No / Pending / NA.</t>
      </text>
    </comment>
    <comment ref="BE2" authorId="0" shapeId="0">
      <text>
        <t>Purpose: record of the Working With Children Check number. Enter the number.</t>
      </text>
    </comment>
    <comment ref="BF2" authorId="0" shapeId="0">
      <text>
        <t>Purpose: lets the team renew before expiry. Enter the expiry date.</t>
      </text>
    </comment>
    <comment ref="BG2" authorId="0" shapeId="0">
      <text>
        <t>Purpose: confirms the WWCC was independently verified. Yes / No / NA.</t>
      </text>
    </comment>
    <comment ref="BH2" authorId="0" shapeId="0">
      <text>
        <t>Purpose: child-safety gate — which categories of person a tutor may tutor. “Everyone” requires WWCC Provided = Yes and WWCC Confirmed = Yes; otherwise the row is auto-flagged. Students: NA - Student.</t>
      </text>
    </comment>
    <comment ref="BI2" authorId="0" shapeId="0">
      <text>
        <t>Purpose: referral source; feeds the applications-per-organisation dashboard. Pick the organisation/pathway.</t>
      </text>
    </comment>
    <comment ref="BJ2" authorId="0" shapeId="0">
      <text>
        <t>Purpose: accountability + assessor-workload dashboard. Pick the team member who assessed.</t>
      </text>
    </comment>
    <comment ref="BK2" authorId="0" shapeId="0">
      <text>
        <t>Purpose: accountability + matcher-workload dashboard. Pick the team member who paired.</t>
      </text>
    </comment>
    <comment ref="BL2" authorId="0" shapeId="0">
      <text>
        <t>Purpose: any notes about the person; the Pairing Engine treats "do not pair" here as a hard stop. Enter free text.</t>
      </text>
    </comment>
    <comment ref="BM2" authorId="0" shapeId="0">
      <text>
        <t>Purpose: pairing-specific notes and hard constraints (e.g. geographic or identity requirements). Enter free text.</t>
      </text>
    </comment>
    <comment ref="BN2" authorId="0" shapeId="0">
      <text>
        <t>Purpose: automatic data-quality warnings. Resolve any flagged row — do not edit.</t>
      </text>
    </comment>
    <comment ref="BO2" authorId="0" shapeId="0">
      <text>
        <t>Purpose: pairing history. Enter the partner’s Unique ID; the name auto-fills. No End date = current pairing.</t>
      </text>
    </comment>
    <comment ref="BP2" authorId="0" shapeId="0">
      <text>
        <t>Pairing-history slot. Enter on the tutor’s row only; see the P1 Pairing ID note.</t>
      </text>
    </comment>
    <comment ref="BQ2" authorId="0" shapeId="0">
      <text>
        <t>Pairing-history slot. Enter on the tutor’s row only; see the P1 Pairing ID note.</t>
      </text>
    </comment>
    <comment ref="BR2" authorId="0" shapeId="0">
      <text>
        <t>Pairing-history slot. Enter on the tutor’s row only; see the P1 Pairing ID note.</t>
      </text>
    </comment>
    <comment ref="BS2" authorId="0" shapeId="0">
      <text>
        <t>Pairing-history slot. Enter on the tutor’s row only; see the P1 Pairing ID note.</t>
      </text>
    </comment>
    <comment ref="BT2" authorId="0" shapeId="0">
      <text>
        <t>Pairing-history slot. Enter on the tutor’s row only; see the P1 Pairing ID note.</t>
      </text>
    </comment>
    <comment ref="BU2" authorId="0" shapeId="0">
      <text>
        <t>Pairing-history slot. Enter on the tutor’s row only; see the P1 Pairing ID note.</t>
      </text>
    </comment>
    <comment ref="BV2" authorId="0" shapeId="0">
      <text>
        <t>Pairing-history slot. Enter on the tutor’s row only; see the P1 Pairing ID note.</t>
      </text>
    </comment>
    <comment ref="BW2" authorId="0" shapeId="0">
      <text>
        <t>Pairing-history slot. Enter on the tutor’s row only; see the P1 Pairing ID note.</t>
      </text>
    </comment>
    <comment ref="BX2" authorId="0" shapeId="0">
      <text>
        <t>Pairing-history slot. Enter on the tutor’s row only; see the P1 Pairing ID note.</t>
      </text>
    </comment>
    <comment ref="BY2" authorId="0" shapeId="0">
      <text>
        <t>Pairing-history slot. Enter on the tutor’s row only; see the P1 Pairing ID note.</t>
      </text>
    </comment>
    <comment ref="BZ2" authorId="0" shapeId="0">
      <text>
        <t>Pairing-history slot. Enter on the tutor’s row only; see the P1 Pairing ID note.</t>
      </text>
    </comment>
    <comment ref="CA2" authorId="0" shapeId="0">
      <text>
        <t>Pairing-history slot. Enter on the tutor’s row only; see the P1 Pairing ID note.</t>
      </text>
    </comment>
    <comment ref="CB2" authorId="0" shapeId="0">
      <text>
        <t>Pairing-history slot. Enter on the tutor’s row only; see the P1 Pairing ID note.</t>
      </text>
    </comment>
    <comment ref="CC2" authorId="0" shapeId="0">
      <text>
        <t>Pairing-history slot. Enter on the tutor’s row only; see the P1 Pairing ID note.</t>
      </text>
    </comment>
    <comment ref="CD2" authorId="0" shapeId="0">
      <text>
        <t>Pairing-history slot. Enter on the tutor’s row only; see the P1 Pairing ID note.</t>
      </text>
    </comment>
    <comment ref="CE2" authorId="0" shapeId="0">
      <text>
        <t>Pairing-history slot. Enter on the tutor’s row only; see the P1 Pairing ID note.</t>
      </text>
    </comment>
    <comment ref="CF2" authorId="0" shapeId="0">
      <text>
        <t>Pairing-history slot. Enter on the tutor’s row only; see the P1 Pairing ID note.</t>
      </text>
    </comment>
    <comment ref="CG2" authorId="0" shapeId="0">
      <text>
        <t>Pairing-history slot. Enter on the tutor’s row only; see the P1 Pairing ID note.</t>
      </text>
    </comment>
    <comment ref="CH2" authorId="0" shapeId="0">
      <text>
        <t>Pairing-history slot. Enter on the tutor’s row only; see the P1 Pairing ID note.</t>
      </text>
    </comment>
    <comment ref="CI2" authorId="0" shapeId="0">
      <text>
        <t>Pairing-history slot. Enter on the tutor’s row only; see the P1 Pairing ID note.</t>
      </text>
    </comment>
    <comment ref="CJ2" authorId="0" shapeId="0">
      <text>
        <t>Pairing-history slot. Enter on the tutor’s row only; see the P1 Pairing ID note.</t>
      </text>
    </comment>
    <comment ref="CK2" authorId="0" shapeId="0">
      <text>
        <t>Pairing-history slot. Enter on the tutor’s row only; see the P1 Pairing ID note.</t>
      </text>
    </comment>
    <comment ref="CL2" authorId="0" shapeId="0">
      <text>
        <t>Pairing-history slot. Enter on the tutor’s row only; see the P1 Pairing ID note.</t>
      </text>
    </comment>
    <comment ref="CM2" authorId="0" shapeId="0">
      <text>
        <t>Pairing-history slot. Enter on the tutor’s row only; see the P1 Pairing ID note.</t>
      </text>
    </comment>
    <comment ref="CN2" authorId="0" shapeId="0">
      <text>
        <t>Pairing-history slot. Enter on the tutor’s row only; see the P1 Pairing ID note.</t>
      </text>
    </comment>
    <comment ref="CO2" authorId="0" shapeId="0">
      <text>
        <t>Pairing-history slot. Enter on the tutor’s row only; see the P1 Pairing ID note.</t>
      </text>
    </comment>
    <comment ref="CP2" authorId="0" shapeId="0">
      <text>
        <t>Pairing-history slot. Enter on the tutor’s row only; see the P1 Pairing ID note.</t>
      </text>
    </comment>
    <comment ref="CQ2" authorId="0" shapeId="0">
      <text>
        <t>Pairing-history slot. Enter on the tutor’s row only; see the P1 Pairing ID note.</t>
      </text>
    </comment>
    <comment ref="CR2" authorId="0" shapeId="0">
      <text>
        <t>Pairing-history slot. Enter on the tutor’s row only; see the P1 Pairing ID note.</t>
      </text>
    </comment>
    <comment ref="CS2" authorId="0" shapeId="0">
      <text>
        <t>Auto-generated helper for the dashboard and Pairing Engine. Do not edit.</t>
      </text>
    </comment>
    <comment ref="CT2" authorId="0" shapeId="0">
      <text>
        <t>Auto-generated helper for the dashboard and Pairing Engine. Do not edit.</t>
      </text>
    </comment>
    <comment ref="CU2" authorId="0" shapeId="0">
      <text>
        <t>Auto-generated helper for the dashboard and Pairing Engine. Do not edit.</t>
      </text>
    </comment>
    <comment ref="CV2" authorId="0" shapeId="0">
      <text>
        <t>Auto-generated helper for the dashboard and Pairing Engine. Do not edit.</t>
      </text>
    </comment>
    <comment ref="CW2" authorId="0" shapeId="0">
      <text>
        <t>Auto-generated helper for the dashboard and Pairing Engine. Do not edit.</t>
      </text>
    </comment>
    <comment ref="CX2" authorId="0" shapeId="0">
      <text>
        <t>Auto-generated helper for the dashboard and Pairing Engine. Do not edit.</t>
      </text>
    </comment>
    <comment ref="CY2" authorId="0" shapeId="0">
      <text>
        <t>Auto-generated helper for the dashboard and Pairing Engine. Do not edit.</t>
      </text>
    </comment>
    <comment ref="CZ2" authorId="0" shapeId="0">
      <text>
        <t>Auto-generated helper for the dashboard and Pairing Engine. Do not edit.</t>
      </text>
    </comment>
    <comment ref="DA2" authorId="0" shapeId="0">
      <text>
        <t>Auto-generated helper for the dashboard and Pairing Engine. Do not edit.</t>
      </text>
    </comment>
    <comment ref="DB2" authorId="0" shapeId="0">
      <text>
        <t>Auto-generated helper for the dashboard and Pairing Engine. Do not edit.</t>
      </text>
    </comment>
    <comment ref="DC2" authorId="0" shapeId="0">
      <text>
        <t>Auto-generated helper for the dashboard and Pairing Engine. Do not edit.</t>
      </text>
    </comment>
    <comment ref="DD2" authorId="0" shapeId="0">
      <text>
        <t>Auto-generated helper for the dashboard and Pairing Engine. Do not edit.</t>
      </text>
    </comment>
    <comment ref="DE2" authorId="0" shapeId="0">
      <text>
        <t>Auto-generated helper for the dashboard and Pairing Engine. Do not edit.</t>
      </text>
    </comment>
    <comment ref="DF2" authorId="0" shapeId="0">
      <text>
        <t>Auto-generated helper for the dashboard and Pairing Engine. Do not edit.</t>
      </text>
    </comment>
    <comment ref="DG2" authorId="0" shapeId="0">
      <text>
        <t>Auto-generated helper for the dashboard and Pairing Engine. Do not edit.</t>
      </text>
    </comment>
    <comment ref="DH2" authorId="0" shapeId="0">
      <text>
        <t>Auto-generated helper for the dashboard and Pairing Engine. Do not edit.</t>
      </text>
    </comment>
    <comment ref="DI2" authorId="0" shapeId="0">
      <text>
        <t>Auto-generated helper for the dashboard and Pairing Engine. Do not edit.</t>
      </text>
    </comment>
    <comment ref="DJ2" authorId="0" shapeId="0">
      <text>
        <t>Auto-generated helper for the dashboard and Pairing Engine. Do not edit.</t>
      </text>
    </comment>
  </commentList>
</comments>
</file>

<file path=xl/comments/comment2.xml><?xml version="1.0" encoding="utf-8"?>
<comments xmlns="http://schemas.openxmlformats.org/spreadsheetml/2006/main">
  <authors>
    <author>RELT</author>
  </authors>
  <commentList>
    <comment ref="A3" authorId="0" shapeId="0">
      <text>
        <t>Auto-populated by Forms/Power Automate.</t>
      </text>
    </comment>
    <comment ref="B3" authorId="0" shapeId="0">
      <text>
        <t>Auto-populated by Forms/Power Automate.</t>
      </text>
    </comment>
    <comment ref="C3" authorId="0" shapeId="0">
      <text>
        <t>Auto-populated by Forms/Power Automate.</t>
      </text>
    </comment>
    <comment ref="D3" authorId="0" shapeId="0">
      <text>
        <t>Auto-populated by Forms/Power Automate.</t>
      </text>
    </comment>
    <comment ref="E3" authorId="0" shapeId="0">
      <text>
        <t>Filled by the team to link the response to a participant.</t>
      </text>
    </comment>
    <comment ref="F3" authorId="0" shapeId="0">
      <text>
        <t>Looked up from the Participant ID.</t>
      </text>
    </comment>
    <comment ref="G3" authorId="0" shapeId="0">
      <text>
        <t>Form question response.</t>
      </text>
    </comment>
    <comment ref="H3" authorId="0" shapeId="0">
      <text>
        <t>Form question response. QUANTITATIVE — charted on (D) Visualisation.</t>
      </text>
    </comment>
    <comment ref="I3" authorId="0" shapeId="0">
      <text>
        <t>Form question response. QUANTITATIVE — charted on (D) Visualisation.</t>
      </text>
    </comment>
    <comment ref="J3" authorId="0" shapeId="0">
      <text>
        <t>Form question response. QUANTITATIVE — charted on (D) Visualisation.</t>
      </text>
    </comment>
    <comment ref="K3" authorId="0" shapeId="0">
      <text>
        <t>Form question response. QUANTITATIVE — charted on (D) Visualisation.</t>
      </text>
    </comment>
    <comment ref="L3" authorId="0" shapeId="0">
      <text>
        <t>Form question response. QUANTITATIVE — charted on (D) Visualisation.</t>
      </text>
    </comment>
    <comment ref="M3" authorId="0" shapeId="0">
      <text>
        <t>Form question response.</t>
      </text>
    </comment>
    <comment ref="N3" authorId="0" shapeId="0">
      <text>
        <t>Form question response.</t>
      </text>
    </comment>
    <comment ref="O3" authorId="0" shapeId="0">
      <text>
        <t>Form question response.</t>
      </text>
    </comment>
    <comment ref="P3" authorId="0" shapeId="0">
      <text>
        <t>Form question response.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s>
</file>

<file path=xl/drawings/drawing1.xml><?xml version="1.0" encoding="utf-8"?>
<wsDr xmlns="http://schemas.openxmlformats.org/drawingml/2006/spreadsheetDrawing">
  <oneCellAnchor>
    <from>
      <col>1</col>
      <colOff>0</colOff>
      <row>19</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64</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64</row>
      <rowOff>0</rowOff>
    </from>
    <ext cx="43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106</row>
      <rowOff>0</rowOff>
    </from>
    <ext cx="396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13</col>
      <colOff>0</colOff>
      <row>106</row>
      <rowOff>0</rowOff>
    </from>
    <ext cx="3960000" cy="25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25</col>
      <colOff>0</colOff>
      <row>106</row>
      <rowOff>0</rowOff>
    </from>
    <ext cx="3960000" cy="36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152</row>
      <rowOff>0</rowOff>
    </from>
    <ext cx="3960000" cy="36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13</col>
      <colOff>0</colOff>
      <row>152</row>
      <rowOff>0</rowOff>
    </from>
    <ext cx="2880000" cy="25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25</col>
      <colOff>0</colOff>
      <row>152</row>
      <rowOff>0</rowOff>
    </from>
    <ext cx="3600000" cy="25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37</col>
      <colOff>0</colOff>
      <row>152</row>
      <rowOff>0</rowOff>
    </from>
    <ext cx="3960000" cy="360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1</col>
      <colOff>0</colOff>
      <row>180</row>
      <rowOff>0</rowOff>
    </from>
    <ext cx="3600000" cy="252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wsDr>
</file>

<file path=xl/tables/table1.xml><?xml version="1.0" encoding="utf-8"?>
<table xmlns="http://schemas.openxmlformats.org/spreadsheetml/2006/main" id="1" name="RegisterParticipants" displayName="RegisterParticipants" ref="A2:DJ202" headerRowCount="1">
  <autoFilter ref="A2:DJ202"/>
  <tableColumns count="114">
    <tableColumn id="1" name="Unique ID"/>
    <tableColumn id="2" name="Full Name"/>
    <tableColumn id="3" name="Email Address"/>
    <tableColumn id="4" name="Phone Number"/>
    <tableColumn id="5" name="Emergency Contact Name"/>
    <tableColumn id="6" name="Emergency Contact Phone"/>
    <tableColumn id="7" name="Emergency Contact Relationship"/>
    <tableColumn id="8" name="Role"/>
    <tableColumn id="9" name="Application Date"/>
    <tableColumn id="10" name="Status (code)"/>
    <tableColumn id="11" name="Status (plain English)"/>
    <tableColumn id="12" name="Blacklisted"/>
    <tableColumn id="13" name="Start Date"/>
    <tableColumn id="14" name="End Date"/>
    <tableColumn id="15" name="Student Number Capacity"/>
    <tableColumn id="16" name="Current Pairings (count)"/>
    <tableColumn id="17" name="Total Pairings (historical)"/>
    <tableColumn id="18" name="Current Pairing(s)"/>
    <tableColumn id="19" name="Questionnaire and First Lesson Plan"/>
    <tableColumn id="20" name="Current Session Location"/>
    <tableColumn id="21" name="Current Session Time"/>
    <tableColumn id="22" name="Date of Last Check In"/>
    <tableColumn id="23" name="Timezone"/>
    <tableColumn id="24" name="Availability – Monday (AEST)"/>
    <tableColumn id="25" name="Availability – Tuesday (AEST)"/>
    <tableColumn id="26" name="Availability – Wednesday (AEST)"/>
    <tableColumn id="27" name="Availability – Thursday (AEST)"/>
    <tableColumn id="28" name="Availability – Friday (AEST)"/>
    <tableColumn id="29" name="Availability – Saturday (AEST)"/>
    <tableColumn id="30" name="Availability – Sunday (AEST)"/>
    <tableColumn id="31" name="Mode"/>
    <tableColumn id="32" name="Technology Access"/>
    <tableColumn id="33" name="Country of Residence"/>
    <tableColumn id="34" name="State/Territory"/>
    <tableColumn id="35" name="Suburb"/>
    <tableColumn id="36" name="Postcode"/>
    <tableColumn id="37" name="Date of Birth"/>
    <tableColumn id="38" name="Gender"/>
    <tableColumn id="39" name="Same-Gender Pairing Required (opt-in)"/>
    <tableColumn id="40" name="English Level (CEFR)"/>
    <tableColumn id="41" name="Qualitative Assessment"/>
    <tableColumn id="42" name="National Background"/>
    <tableColumn id="43" name="Ethnic Background"/>
    <tableColumn id="44" name="Linguistic Background"/>
    <tableColumn id="45" name="Religious Background"/>
    <tableColumn id="46" name="Job / Study Category"/>
    <tableColumn id="47" name="Current Profession or Study"/>
    <tableColumn id="48" name="Intended Profession or Study"/>
    <tableColumn id="49" name="Hobbies and Interests"/>
    <tableColumn id="50" name="Refugee / Asylum Seeker Assessment"/>
    <tableColumn id="51" name="Interview Conducted"/>
    <tableColumn id="52" name="Reference Check Conducted"/>
    <tableColumn id="53" name="Referee Name"/>
    <tableColumn id="54" name="Referee Relationship"/>
    <tableColumn id="55" name="Referee Contact"/>
    <tableColumn id="56" name="WWCC Provided"/>
    <tableColumn id="57" name="WWCC Number"/>
    <tableColumn id="58" name="WWCC Expiry"/>
    <tableColumn id="59" name="WWCC Confirmed"/>
    <tableColumn id="60" name="Approved to Tutor"/>
    <tableColumn id="61" name="Pathway to the Program"/>
    <tableColumn id="62" name="Assessor"/>
    <tableColumn id="63" name="Matcher"/>
    <tableColumn id="64" name="General Comments"/>
    <tableColumn id="65" name="Matching Comments"/>
    <tableColumn id="66" name="Validation Flags"/>
    <tableColumn id="67" name="P1 Pairing ID"/>
    <tableColumn id="68" name="P1 Pairing Name"/>
    <tableColumn id="69" name="P1 Start"/>
    <tableColumn id="70" name="P1 End"/>
    <tableColumn id="71" name="P1 Weekly Hours"/>
    <tableColumn id="72" name="P1 Recorded By"/>
    <tableColumn id="73" name="P2 Pairing ID"/>
    <tableColumn id="74" name="P2 Pairing Name"/>
    <tableColumn id="75" name="P2 Start"/>
    <tableColumn id="76" name="P2 End"/>
    <tableColumn id="77" name="P2 Weekly Hours"/>
    <tableColumn id="78" name="P2 Recorded By"/>
    <tableColumn id="79" name="P3 Pairing ID"/>
    <tableColumn id="80" name="P3 Pairing Name"/>
    <tableColumn id="81" name="P3 Start"/>
    <tableColumn id="82" name="P3 End"/>
    <tableColumn id="83" name="P3 Weekly Hours"/>
    <tableColumn id="84" name="P3 Recorded By"/>
    <tableColumn id="85" name="P4 Pairing ID"/>
    <tableColumn id="86" name="P4 Pairing Name"/>
    <tableColumn id="87" name="P4 Start"/>
    <tableColumn id="88" name="P4 End"/>
    <tableColumn id="89" name="P4 Weekly Hours"/>
    <tableColumn id="90" name="P4 Recorded By"/>
    <tableColumn id="91" name="P5 Pairing ID"/>
    <tableColumn id="92" name="P5 Pairing Name"/>
    <tableColumn id="93" name="P5 Start"/>
    <tableColumn id="94" name="P5 End"/>
    <tableColumn id="95" name="P5 Weekly Hours"/>
    <tableColumn id="96" name="P5 Recorded By"/>
    <tableColumn id="97" name="IsApplicant"/>
    <tableColumn id="98" name="IsAdmitted"/>
    <tableColumn id="99" name="IsMatched"/>
    <tableColumn id="100" name="LeadTimesDays"/>
    <tableColumn id="101" name="DaysWaiting"/>
    <tableColumn id="102" name="MonthText"/>
    <tableColumn id="103" name="Age"/>
    <tableColumn id="104" name="AgeBand"/>
    <tableColumn id="105" name="Current Weekly Hours"/>
    <tableColumn id="106" name="Total Hours To Date"/>
    <tableColumn id="107" name="DayAvailabilityMon"/>
    <tableColumn id="108" name="DayAvailabilityTue"/>
    <tableColumn id="109" name="DayAvailabilityWed"/>
    <tableColumn id="110" name="DayAvailabilityThu"/>
    <tableColumn id="111" name="DayAvailabilityFri"/>
    <tableColumn id="112" name="DayAvailabilitySat"/>
    <tableColumn id="113" name="DayAvailabilitySun"/>
    <tableColumn id="114" name="CombinedAvailability"/>
  </tableColumns>
  <tableStyleInfo name="TableStyleLight1" showFirstColumn="0" showLastColumn="0" showRowStripes="0" showColumnStripes="0"/>
</table>
</file>

<file path=xl/tables/table2.xml><?xml version="1.0" encoding="utf-8"?>
<table xmlns="http://schemas.openxmlformats.org/spreadsheetml/2006/main" id="2" name="RegisterFeedback" displayName="RegisterFeedback" ref="A3:P37" headerRowCount="1">
  <autoFilter ref="A3:P37"/>
  <tableColumns count="16">
    <tableColumn id="1" name="Response ID"/>
    <tableColumn id="2" name="Submitted"/>
    <tableColumn id="3" name="Form"/>
    <tableColumn id="4" name="Respondent Name"/>
    <tableColumn id="5" name="Participant ID (link)"/>
    <tableColumn id="6" name="Participant Name"/>
    <tableColumn id="7" name="Filling form on own? (Tutee)"/>
    <tableColumn id="8" name="Overall Opinion"/>
    <tableColumn id="9" name="Support from RELT (Tutor)"/>
    <tableColumn id="10" name="English Confidence Change"/>
    <tableColumn id="11" name="Likelihood to Recommend"/>
    <tableColumn id="12" name="Ease of Communication"/>
    <tableColumn id="13" name="Experience so far (text)"/>
    <tableColumn id="14" name="Has tutoring helped? / outcomes (Tutee)"/>
    <tableColumn id="15" name="Tutor support &amp; recommendations (Tutor)"/>
    <tableColumn id="16" name="Improvement suggestions (text)"/>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D164"/>
  <sheetViews>
    <sheetView showGridLines="0" workbookViewId="0">
      <selection activeCell="A1" sqref="A1"/>
    </sheetView>
  </sheetViews>
  <sheetFormatPr baseColWidth="8" defaultRowHeight="15"/>
  <cols>
    <col width="3" customWidth="1" min="1" max="1"/>
    <col width="34" customWidth="1" min="2" max="2"/>
    <col width="30" customWidth="1" min="3" max="3"/>
    <col width="86" customWidth="1" min="4" max="4"/>
  </cols>
  <sheetData>
    <row r="2">
      <c r="B2" s="1" t="inlineStr">
        <is>
          <t>RELT — Register of Participants</t>
        </is>
      </c>
    </row>
    <row r="3">
      <c r="B3" s="2" t="inlineStr">
        <is>
          <t>Last updated (date):</t>
        </is>
      </c>
      <c r="C3" s="3" t="n"/>
    </row>
    <row r="4">
      <c r="B4" s="4" t="inlineStr">
        <is>
          <t>Last updated by:</t>
        </is>
      </c>
      <c r="C4" s="5" t="n"/>
    </row>
    <row r="6">
      <c r="B6" s="6" t="inlineStr">
        <is>
          <t>Purpose</t>
        </is>
      </c>
      <c r="C6" s="7" t="n"/>
      <c r="D6" s="8" t="n"/>
    </row>
    <row r="7" ht="56" customHeight="1">
      <c r="B7" s="9" t="inlineStr">
        <is>
          <t>This workbook stores information about RELT participants — tutors and the students they support — and is the central record the team uses to admit applicants, pair students with tutors, track tutoring delivery, and capture feedback and outcomes over time. It is designed to be maintained by many team members and to hold the program’s data for years.</t>
        </is>
      </c>
      <c r="C7" s="10" t="n"/>
      <c r="D7" s="11" t="n"/>
    </row>
    <row r="9">
      <c r="B9" s="6" t="inlineStr">
        <is>
          <t>How to use this Register</t>
        </is>
      </c>
      <c r="C9" s="7" t="n"/>
      <c r="D9" s="8" t="n"/>
    </row>
    <row r="10" ht="26" customHeight="1">
      <c r="B10" s="12" t="inlineStr">
        <is>
          <t>• Enter participant data only on "(B) Register of Participants". Coded fields use drop-downs — pick a value rather than free-typing.</t>
        </is>
      </c>
      <c r="C10" s="13" t="n"/>
      <c r="D10" s="14" t="n"/>
    </row>
    <row r="11" ht="26" customHeight="1">
      <c r="B11" s="12" t="inlineStr">
        <is>
          <t>• Hover any column heading on (B) for a note explaining what the column is for and what to enter.</t>
        </is>
      </c>
      <c r="C11" s="13" t="n"/>
      <c r="D11" s="14" t="n"/>
    </row>
    <row r="12" ht="26" customHeight="1">
      <c r="B12" s="12" t="inlineStr">
        <is>
          <t>• The grey "(H) HELPER COLUMNS" are formula-generated for the dashboard and Pairing Engine. Do not edit them.</t>
        </is>
      </c>
      <c r="C12" s="13" t="n"/>
      <c r="D12" s="14" t="n"/>
    </row>
    <row r="13" ht="26" customHeight="1">
      <c r="B13" s="9" t="inlineStr">
        <is>
          <t>• The "Validation Flags" column auto-flags impossible combinations. Resolve any flagged row.</t>
        </is>
      </c>
      <c r="C13" s="10" t="n"/>
      <c r="D13" s="11" t="n"/>
    </row>
    <row r="15">
      <c r="B15" s="6" t="inlineStr">
        <is>
          <t>Protecting the formatting when data is added</t>
        </is>
      </c>
      <c r="C15" s="7" t="n"/>
      <c r="D15" s="8" t="n"/>
    </row>
    <row r="16" ht="34" customHeight="1">
      <c r="B16" s="12" t="inlineStr">
        <is>
          <t>• The (B) and (C) data ranges are Excel Tables. Microsoft Forms data arrives via Power Automate using "Add a row into a table", which writes values only and inherits the table’s formatting and column formulas automatically — so the flow never disturbs the styling.</t>
        </is>
      </c>
      <c r="C16" s="13" t="n"/>
      <c r="D16" s="14" t="n"/>
    </row>
    <row r="17" ht="34" customHeight="1">
      <c r="B17" s="12" t="inlineStr">
        <is>
          <t>• When entering or pasting manually, use Paste Special → Values (Ctrl+Shift+V) so you copy data without overwriting fonts, colours, shading or formulas.</t>
        </is>
      </c>
      <c r="C17" s="13" t="n"/>
      <c r="D17" s="14" t="n"/>
    </row>
    <row r="18" ht="34" customHeight="1">
      <c r="B18" s="9" t="inlineStr">
        <is>
          <t>• To lock formatting, use Review ▸ Protect Sheet leaving cell editing allowed but the formatting options unticked; unprotect only for a deliberate structural change.</t>
        </is>
      </c>
      <c r="C18" s="10" t="n"/>
      <c r="D18" s="11" t="n"/>
    </row>
    <row r="20">
      <c r="B20" s="6" t="inlineStr">
        <is>
          <t>Unique ID convention</t>
        </is>
      </c>
      <c r="C20" s="7" t="n"/>
      <c r="D20" s="8" t="n"/>
    </row>
    <row r="21" ht="26" customHeight="1">
      <c r="B21" s="12" t="inlineStr">
        <is>
          <t>T-O-##### / T-N-##### — Tutor.  S-O-##### / S-N-##### — Student.</t>
        </is>
      </c>
      <c r="C21" s="13" t="n"/>
      <c r="D21" s="14" t="n"/>
    </row>
    <row r="22" ht="26" customHeight="1">
      <c r="B22" s="12" t="inlineStr">
        <is>
          <t>"O" (old) = a record carried over from the pre-July 2026 systems. "N" (new) = a record created in the post-July 2026 system. ID numbers run in application-date order.</t>
        </is>
      </c>
      <c r="C22" s="13" t="n"/>
      <c r="D22" s="14" t="n"/>
    </row>
    <row r="23" ht="26" customHeight="1">
      <c r="B23" s="9" t="inlineStr">
        <is>
          <t>For the underlying source data behind an "old" (O) record, contact John.</t>
        </is>
      </c>
      <c r="C23" s="10" t="n"/>
      <c r="D23" s="11" t="n"/>
    </row>
    <row r="25">
      <c r="B25" s="6" t="inlineStr">
        <is>
          <t>How pairings, concurrent matches and history are recorded</t>
        </is>
      </c>
      <c r="C25" s="7" t="n"/>
      <c r="D25" s="8" t="n"/>
    </row>
    <row r="26" ht="42" customHeight="1">
      <c r="B26" s="12" t="inlineStr">
        <is>
          <t>• Pairing history lives in the "(G) PAIRING HISTORY" columns at the end of (B). A tutor records each student they take (up to five over their involvement), with that pairing’s Start, End, Weekly Hours and Recorded By (the team member who made or last changed the entry). No End date = current; an End date = historical and is kept.</t>
        </is>
      </c>
      <c r="C26" s="13" t="n"/>
      <c r="D26" s="14" t="n"/>
    </row>
    <row r="27" ht="42" customHeight="1">
      <c r="B27" s="12" t="inlineStr">
        <is>
          <t>• A tutor with several students has several filled slots — that is how concurrent pairings are held. "Current Pairing(s)", "Current Pairings (count)" and "Total Pairings (historical)" are FORMULAS that read those slots.</t>
        </is>
      </c>
      <c r="C27" s="13" t="n"/>
      <c r="D27" s="14" t="n"/>
    </row>
    <row r="28" ht="42" customHeight="1">
      <c r="B28" s="9" t="inlineStr">
        <is>
          <t>• Pairings are recorded once, on the tutor’s row; a student’s current tutor is found automatically by reverse-lookup. Each slot carries dates and weekly hours, so the dashboard derives current hours per week and total hours tutored to date.</t>
        </is>
      </c>
      <c r="C28" s="10" t="n"/>
      <c r="D28" s="11" t="n"/>
    </row>
    <row r="30">
      <c r="B30" s="6" t="inlineStr">
        <is>
          <t>Time zones</t>
        </is>
      </c>
      <c r="C30" s="7" t="n"/>
      <c r="D30" s="8" t="n"/>
    </row>
    <row r="31" ht="40" customHeight="1">
      <c r="B31" s="9" t="inlineStr">
        <is>
          <t>Availability is recorded in AEST so it can be compared directly for pairing. The Timezone column records the participant’s Australian zone (AWST through AEST, including daylight-saving variants such as ACDT and AEDT) so coordinators can convert where needed.</t>
        </is>
      </c>
      <c r="C31" s="10" t="n"/>
      <c r="D31" s="11" t="n"/>
    </row>
    <row r="33">
      <c r="B33" s="15" t="inlineStr">
        <is>
          <t>Status taxonomy</t>
        </is>
      </c>
    </row>
    <row r="34">
      <c r="B34" s="16" t="inlineStr">
        <is>
          <t>Code</t>
        </is>
      </c>
      <c r="C34" s="17" t="inlineStr">
        <is>
          <t>Label</t>
        </is>
      </c>
      <c r="D34" s="18" t="inlineStr">
        <is>
          <t>Explanation</t>
        </is>
      </c>
    </row>
    <row r="35">
      <c r="B35" s="19" t="inlineStr">
        <is>
          <t>ERR-TST</t>
        </is>
      </c>
      <c r="C35" s="20" t="inlineStr">
        <is>
          <t>Error – Test</t>
        </is>
      </c>
      <c r="D35" s="21" t="inlineStr">
        <is>
          <t>Test entries to be discarded.</t>
        </is>
      </c>
    </row>
    <row r="36">
      <c r="B36" s="19" t="inlineStr">
        <is>
          <t>ERR-DUP</t>
        </is>
      </c>
      <c r="C36" s="20" t="inlineStr">
        <is>
          <t>Error – Duplication</t>
        </is>
      </c>
      <c r="D36" s="21" t="inlineStr">
        <is>
          <t>Duplicate entries to be discarded.</t>
        </is>
      </c>
    </row>
    <row r="37">
      <c r="B37" s="19" t="inlineStr">
        <is>
          <t>ERR-OTH</t>
        </is>
      </c>
      <c r="C37" s="20" t="inlineStr">
        <is>
          <t>Error – Other</t>
        </is>
      </c>
      <c r="D37" s="21" t="inlineStr">
        <is>
          <t>Errors of any other kind.</t>
        </is>
      </c>
    </row>
    <row r="38">
      <c r="B38" s="19" t="inlineStr">
        <is>
          <t>NADM-UNP</t>
        </is>
      </c>
      <c r="C38" s="20" t="inlineStr">
        <is>
          <t>Not Admitted – Unprocessed</t>
        </is>
      </c>
      <c r="D38" s="21" t="inlineStr">
        <is>
          <t>To be processed.</t>
        </is>
      </c>
    </row>
    <row r="39">
      <c r="B39" s="19" t="inlineStr">
        <is>
          <t>NADM-REJ-UNRES</t>
        </is>
      </c>
      <c r="C39" s="20" t="inlineStr">
        <is>
          <t>Not Admitted – Rejected (Unresponsive)</t>
        </is>
      </c>
      <c r="D39" s="21" t="inlineStr">
        <is>
          <t>Application made but contact could not be established.</t>
        </is>
      </c>
    </row>
    <row r="40">
      <c r="B40" s="19" t="inlineStr">
        <is>
          <t>NADM-REJ-UNSUIT</t>
        </is>
      </c>
      <c r="C40" s="20" t="inlineStr">
        <is>
          <t>Not Admitted – Rejected (Unsuitable)</t>
        </is>
      </c>
      <c r="D40" s="21" t="inlineStr">
        <is>
          <t>Application made but unsuitable for any reason.</t>
        </is>
      </c>
    </row>
    <row r="41">
      <c r="B41" s="19" t="inlineStr">
        <is>
          <t>ADM-ACT-UNMAT</t>
        </is>
      </c>
      <c r="C41" s="20" t="inlineStr">
        <is>
          <t>Admitted – Active – Unmatched</t>
        </is>
      </c>
      <c r="D41" s="21" t="inlineStr">
        <is>
          <t>To be paired.</t>
        </is>
      </c>
    </row>
    <row r="42">
      <c r="B42" s="19" t="inlineStr">
        <is>
          <t>ADM-ACT-MAT-CNE</t>
        </is>
      </c>
      <c r="C42" s="20" t="inlineStr">
        <is>
          <t>Admitted – Active – Matched (Capacity Not Exhausted)</t>
        </is>
      </c>
      <c r="D42" s="21" t="inlineStr">
        <is>
          <t>Paired, with capacity for further pairings (tutors only).</t>
        </is>
      </c>
    </row>
    <row r="43">
      <c r="B43" s="19" t="inlineStr">
        <is>
          <t>ADM-ACT-MAT-CE</t>
        </is>
      </c>
      <c r="C43" s="20" t="inlineStr">
        <is>
          <t>Admitted – Active – Matched (Capacity Exhausted)</t>
        </is>
      </c>
      <c r="D43" s="21" t="inlineStr">
        <is>
          <t>Paired, no remaining capacity. Students are always recorded here once paired.</t>
        </is>
      </c>
    </row>
    <row r="44">
      <c r="B44" s="19" t="inlineStr">
        <is>
          <t>ADM-INACT-M&amp;T</t>
        </is>
      </c>
      <c r="C44" s="20" t="inlineStr">
        <is>
          <t>Admitted – Inactive – Matched &amp; Tutored</t>
        </is>
      </c>
      <c r="D44" s="21" t="inlineStr">
        <is>
          <t>Admitted and tutored but no longer active.</t>
        </is>
      </c>
    </row>
    <row r="45">
      <c r="B45" s="22" t="inlineStr">
        <is>
          <t>ADM-INACT-NOM&amp;T</t>
        </is>
      </c>
      <c r="C45" s="23" t="inlineStr">
        <is>
          <t>Admitted – Inactive – Has Not Tutored</t>
        </is>
      </c>
      <c r="D45" s="24" t="inlineStr">
        <is>
          <t>Admitted, has never tutored, and has become inactive.</t>
        </is>
      </c>
    </row>
    <row r="47" ht="40" customHeight="1">
      <c r="B47" s="25" t="inlineStr">
        <is>
          <t>Capacity note: a tutor with room is ADM-ACT-MAT-CNE; a tutor at capacity is ADM-ACT-MAT-CE. A Student, once paired, is always ADM-ACT-MAT-CE; a Student recorded as CNE is flagged invalid.</t>
        </is>
      </c>
      <c r="C47" s="26" t="n"/>
      <c r="D47" s="27" t="n"/>
    </row>
    <row r="49">
      <c r="B49" s="15" t="inlineStr">
        <is>
          <t>Data dictionary — (B) Register of Participants</t>
        </is>
      </c>
    </row>
    <row r="50">
      <c r="B50" s="16" t="inlineStr">
        <is>
          <t>Group</t>
        </is>
      </c>
      <c r="C50" s="17" t="inlineStr">
        <is>
          <t>Column</t>
        </is>
      </c>
      <c r="D50" s="18" t="inlineStr">
        <is>
          <t>Notes</t>
        </is>
      </c>
    </row>
    <row r="51">
      <c r="B51" s="28" t="inlineStr">
        <is>
          <t>(A) BASIC INFORMATION</t>
        </is>
      </c>
      <c r="C51" s="29" t="inlineStr">
        <is>
          <t>Unique ID</t>
        </is>
      </c>
      <c r="D51" s="21" t="inlineStr">
        <is>
          <t>Primary key. Never reuse.</t>
        </is>
      </c>
    </row>
    <row r="52">
      <c r="B52" s="28" t="inlineStr">
        <is>
          <t>(A) BASIC INFORMATION</t>
        </is>
      </c>
      <c r="C52" s="29" t="inlineStr">
        <is>
          <t>Full Name</t>
        </is>
      </c>
      <c r="D52" s="21" t="inlineStr">
        <is>
          <t>—</t>
        </is>
      </c>
    </row>
    <row r="53">
      <c r="B53" s="28" t="inlineStr">
        <is>
          <t>(A) BASIC INFORMATION</t>
        </is>
      </c>
      <c r="C53" s="29" t="inlineStr">
        <is>
          <t>Email Address</t>
        </is>
      </c>
      <c r="D53" s="21" t="inlineStr">
        <is>
          <t>—</t>
        </is>
      </c>
    </row>
    <row r="54">
      <c r="B54" s="28" t="inlineStr">
        <is>
          <t>(A) BASIC INFORMATION</t>
        </is>
      </c>
      <c r="C54" s="29" t="inlineStr">
        <is>
          <t>Phone Number</t>
        </is>
      </c>
      <c r="D54" s="21" t="inlineStr">
        <is>
          <t>—</t>
        </is>
      </c>
    </row>
    <row r="55">
      <c r="B55" s="28" t="inlineStr">
        <is>
          <t>(A) BASIC INFORMATION</t>
        </is>
      </c>
      <c r="C55" s="29" t="inlineStr">
        <is>
          <t>Emergency Contact Name</t>
        </is>
      </c>
      <c r="D55" s="21" t="inlineStr">
        <is>
          <t>Person to contact in an emergency involving the participant.</t>
        </is>
      </c>
    </row>
    <row r="56">
      <c r="B56" s="28" t="inlineStr">
        <is>
          <t>(A) BASIC INFORMATION</t>
        </is>
      </c>
      <c r="C56" s="29" t="inlineStr">
        <is>
          <t>Emergency Contact Phone</t>
        </is>
      </c>
      <c r="D56" s="21" t="inlineStr">
        <is>
          <t>Emergency contact’s phone number.</t>
        </is>
      </c>
    </row>
    <row r="57">
      <c r="B57" s="28" t="inlineStr">
        <is>
          <t>(A) BASIC INFORMATION</t>
        </is>
      </c>
      <c r="C57" s="29" t="inlineStr">
        <is>
          <t>Emergency Contact Relationship</t>
        </is>
      </c>
      <c r="D57" s="21" t="inlineStr">
        <is>
          <t>Emergency contact’s relationship to the participant.</t>
        </is>
      </c>
    </row>
    <row r="58">
      <c r="B58" s="28" t="inlineStr">
        <is>
          <t>(A) BASIC INFORMATION</t>
        </is>
      </c>
      <c r="C58" s="29" t="inlineStr">
        <is>
          <t>Role</t>
        </is>
      </c>
      <c r="D58" s="21" t="inlineStr">
        <is>
          <t>Tutor or Student.</t>
        </is>
      </c>
    </row>
    <row r="59">
      <c r="B59" s="28" t="inlineStr">
        <is>
          <t>(A) BASIC INFORMATION</t>
        </is>
      </c>
      <c r="C59" s="29" t="inlineStr">
        <is>
          <t>Application Date</t>
        </is>
      </c>
      <c r="D59" s="21" t="inlineStr">
        <is>
          <t>—</t>
        </is>
      </c>
    </row>
    <row r="60">
      <c r="B60" s="28" t="inlineStr">
        <is>
          <t>(B) STATUS &amp; ENROLMENT</t>
        </is>
      </c>
      <c r="C60" s="29" t="inlineStr">
        <is>
          <t>Status (code)</t>
        </is>
      </c>
      <c r="D60" s="21" t="inlineStr">
        <is>
          <t>Coded status (drop-down).</t>
        </is>
      </c>
    </row>
    <row r="61">
      <c r="B61" s="28" t="inlineStr">
        <is>
          <t>(B) STATUS &amp; ENROLMENT</t>
        </is>
      </c>
      <c r="C61" s="29" t="inlineStr">
        <is>
          <t>Status (plain English)</t>
        </is>
      </c>
      <c r="D61" s="21" t="inlineStr">
        <is>
          <t>Auto-translated from the code.</t>
        </is>
      </c>
    </row>
    <row r="62">
      <c r="B62" s="28" t="inlineStr">
        <is>
          <t>(B) STATUS &amp; ENROLMENT</t>
        </is>
      </c>
      <c r="C62" s="29" t="inlineStr">
        <is>
          <t>Blacklisted</t>
        </is>
      </c>
      <c r="D62" s="21" t="inlineStr">
        <is>
          <t>Safeguarding flag; cell turns red when set.</t>
        </is>
      </c>
    </row>
    <row r="63">
      <c r="B63" s="28" t="inlineStr">
        <is>
          <t>(B) STATUS &amp; ENROLMENT</t>
        </is>
      </c>
      <c r="C63" s="29" t="inlineStr">
        <is>
          <t>Start Date</t>
        </is>
      </c>
      <c r="D63" s="21" t="inlineStr">
        <is>
          <t>—</t>
        </is>
      </c>
    </row>
    <row r="64">
      <c r="B64" s="28" t="inlineStr">
        <is>
          <t>(B) STATUS &amp; ENROLMENT</t>
        </is>
      </c>
      <c r="C64" s="29" t="inlineStr">
        <is>
          <t>End Date</t>
        </is>
      </c>
      <c r="D64" s="21" t="inlineStr">
        <is>
          <t>—</t>
        </is>
      </c>
    </row>
    <row r="65">
      <c r="B65" s="28" t="inlineStr">
        <is>
          <t>(B) STATUS &amp; ENROLMENT</t>
        </is>
      </c>
      <c r="C65" s="29" t="inlineStr">
        <is>
          <t>Student Number Capacity</t>
        </is>
      </c>
      <c r="D65" s="21" t="inlineStr">
        <is>
          <t>Tutors: concurrent students they can take. Students: NA.</t>
        </is>
      </c>
    </row>
    <row r="66">
      <c r="B66" s="28" t="inlineStr">
        <is>
          <t>(B) STATUS &amp; ENROLMENT</t>
        </is>
      </c>
      <c r="C66" s="29" t="inlineStr">
        <is>
          <t>Current Pairings (count)</t>
        </is>
      </c>
      <c r="D66" s="21" t="inlineStr">
        <is>
          <t>FORMULA from the pairing slots (active).</t>
        </is>
      </c>
    </row>
    <row r="67">
      <c r="B67" s="28" t="inlineStr">
        <is>
          <t>(B) STATUS &amp; ENROLMENT</t>
        </is>
      </c>
      <c r="C67" s="29" t="inlineStr">
        <is>
          <t>Total Pairings (historical)</t>
        </is>
      </c>
      <c r="D67" s="21" t="inlineStr">
        <is>
          <t>FORMULA from the pairing slots (all).</t>
        </is>
      </c>
    </row>
    <row r="68">
      <c r="B68" s="28" t="inlineStr">
        <is>
          <t>(B) STATUS &amp; ENROLMENT</t>
        </is>
      </c>
      <c r="C68" s="29" t="inlineStr">
        <is>
          <t>Current Pairing(s)</t>
        </is>
      </c>
      <c r="D68" s="21" t="inlineStr">
        <is>
          <t>FORMULA: current pairing(s). Tutor -&gt; current students; Student -&gt; current tutor.</t>
        </is>
      </c>
    </row>
    <row r="69">
      <c r="B69" s="28" t="inlineStr">
        <is>
          <t>(B) STATUS &amp; ENROLMENT</t>
        </is>
      </c>
      <c r="C69" s="29" t="inlineStr">
        <is>
          <t>Questionnaire and First Lesson Plan</t>
        </is>
      </c>
      <c r="D69" s="21" t="inlineStr">
        <is>
          <t>—</t>
        </is>
      </c>
    </row>
    <row r="70">
      <c r="B70" s="28" t="inlineStr">
        <is>
          <t>(B) STATUS &amp; ENROLMENT</t>
        </is>
      </c>
      <c r="C70" s="29" t="inlineStr">
        <is>
          <t>Current Session Location</t>
        </is>
      </c>
      <c r="D70" s="21" t="inlineStr">
        <is>
          <t>—</t>
        </is>
      </c>
    </row>
    <row r="71">
      <c r="B71" s="28" t="inlineStr">
        <is>
          <t>(B) STATUS &amp; ENROLMENT</t>
        </is>
      </c>
      <c r="C71" s="29" t="inlineStr">
        <is>
          <t>Current Session Time</t>
        </is>
      </c>
      <c r="D71" s="21" t="inlineStr">
        <is>
          <t>—</t>
        </is>
      </c>
    </row>
    <row r="72">
      <c r="B72" s="28" t="inlineStr">
        <is>
          <t>(B) STATUS &amp; ENROLMENT</t>
        </is>
      </c>
      <c r="C72" s="29" t="inlineStr">
        <is>
          <t>Date of Last Check In</t>
        </is>
      </c>
      <c r="D72" s="21" t="inlineStr">
        <is>
          <t>—</t>
        </is>
      </c>
    </row>
    <row r="73">
      <c r="B73" s="28" t="inlineStr">
        <is>
          <t>(C) PAIRING – DELIVERY</t>
        </is>
      </c>
      <c r="C73" s="29" t="inlineStr">
        <is>
          <t>Timezone</t>
        </is>
      </c>
      <c r="D73" s="21" t="inlineStr">
        <is>
          <t>—</t>
        </is>
      </c>
    </row>
    <row r="74">
      <c r="B74" s="28" t="inlineStr">
        <is>
          <t>(C) PAIRING – DELIVERY</t>
        </is>
      </c>
      <c r="C74" s="29" t="inlineStr">
        <is>
          <t>Availability – Monday (AEST)</t>
        </is>
      </c>
      <c r="D74" s="21" t="inlineStr">
        <is>
          <t>—</t>
        </is>
      </c>
    </row>
    <row r="75">
      <c r="B75" s="28" t="inlineStr">
        <is>
          <t>(C) PAIRING – DELIVERY</t>
        </is>
      </c>
      <c r="C75" s="29" t="inlineStr">
        <is>
          <t>Availability – Tuesday (AEST)</t>
        </is>
      </c>
      <c r="D75" s="21" t="inlineStr">
        <is>
          <t>—</t>
        </is>
      </c>
    </row>
    <row r="76">
      <c r="B76" s="28" t="inlineStr">
        <is>
          <t>(C) PAIRING – DELIVERY</t>
        </is>
      </c>
      <c r="C76" s="29" t="inlineStr">
        <is>
          <t>Availability – Wednesday (AEST)</t>
        </is>
      </c>
      <c r="D76" s="21" t="inlineStr">
        <is>
          <t>—</t>
        </is>
      </c>
    </row>
    <row r="77">
      <c r="B77" s="28" t="inlineStr">
        <is>
          <t>(C) PAIRING – DELIVERY</t>
        </is>
      </c>
      <c r="C77" s="29" t="inlineStr">
        <is>
          <t>Availability – Thursday (AEST)</t>
        </is>
      </c>
      <c r="D77" s="21" t="inlineStr">
        <is>
          <t>—</t>
        </is>
      </c>
    </row>
    <row r="78">
      <c r="B78" s="28" t="inlineStr">
        <is>
          <t>(C) PAIRING – DELIVERY</t>
        </is>
      </c>
      <c r="C78" s="29" t="inlineStr">
        <is>
          <t>Availability – Friday (AEST)</t>
        </is>
      </c>
      <c r="D78" s="21" t="inlineStr">
        <is>
          <t>—</t>
        </is>
      </c>
    </row>
    <row r="79">
      <c r="B79" s="28" t="inlineStr">
        <is>
          <t>(C) PAIRING – DELIVERY</t>
        </is>
      </c>
      <c r="C79" s="29" t="inlineStr">
        <is>
          <t>Availability – Saturday (AEST)</t>
        </is>
      </c>
      <c r="D79" s="21" t="inlineStr">
        <is>
          <t>—</t>
        </is>
      </c>
    </row>
    <row r="80">
      <c r="B80" s="28" t="inlineStr">
        <is>
          <t>(C) PAIRING – DELIVERY</t>
        </is>
      </c>
      <c r="C80" s="29" t="inlineStr">
        <is>
          <t>Availability – Sunday (AEST)</t>
        </is>
      </c>
      <c r="D80" s="21" t="inlineStr">
        <is>
          <t>—</t>
        </is>
      </c>
    </row>
    <row r="81">
      <c r="B81" s="28" t="inlineStr">
        <is>
          <t>(C) PAIRING – DELIVERY</t>
        </is>
      </c>
      <c r="C81" s="29" t="inlineStr">
        <is>
          <t>Mode</t>
        </is>
      </c>
      <c r="D81" s="21" t="inlineStr">
        <is>
          <t>—</t>
        </is>
      </c>
    </row>
    <row r="82">
      <c r="B82" s="28" t="inlineStr">
        <is>
          <t>(C) PAIRING – DELIVERY</t>
        </is>
      </c>
      <c r="C82" s="29" t="inlineStr">
        <is>
          <t>Technology Access</t>
        </is>
      </c>
      <c r="D82" s="21" t="inlineStr">
        <is>
          <t>—</t>
        </is>
      </c>
    </row>
    <row r="83">
      <c r="B83" s="28" t="inlineStr">
        <is>
          <t>(D) PAIRING – SUBSTANTIVE</t>
        </is>
      </c>
      <c r="C83" s="29" t="inlineStr">
        <is>
          <t>Country of Residence</t>
        </is>
      </c>
      <c r="D83" s="21" t="inlineStr">
        <is>
          <t>—</t>
        </is>
      </c>
    </row>
    <row r="84">
      <c r="B84" s="28" t="inlineStr">
        <is>
          <t>(D) PAIRING – SUBSTANTIVE</t>
        </is>
      </c>
      <c r="C84" s="29" t="inlineStr">
        <is>
          <t>State/Territory</t>
        </is>
      </c>
      <c r="D84" s="21" t="inlineStr">
        <is>
          <t>—</t>
        </is>
      </c>
    </row>
    <row r="85">
      <c r="B85" s="28" t="inlineStr">
        <is>
          <t>(D) PAIRING – SUBSTANTIVE</t>
        </is>
      </c>
      <c r="C85" s="29" t="inlineStr">
        <is>
          <t>Suburb</t>
        </is>
      </c>
      <c r="D85" s="21" t="inlineStr">
        <is>
          <t>—</t>
        </is>
      </c>
    </row>
    <row r="86">
      <c r="B86" s="28" t="inlineStr">
        <is>
          <t>(D) PAIRING – SUBSTANTIVE</t>
        </is>
      </c>
      <c r="C86" s="29" t="inlineStr">
        <is>
          <t>Postcode</t>
        </is>
      </c>
      <c r="D86" s="21" t="inlineStr">
        <is>
          <t>—</t>
        </is>
      </c>
    </row>
    <row r="87">
      <c r="B87" s="28" t="inlineStr">
        <is>
          <t>(D) PAIRING – SUBSTANTIVE</t>
        </is>
      </c>
      <c r="C87" s="29" t="inlineStr">
        <is>
          <t>Date of Birth</t>
        </is>
      </c>
      <c r="D87" s="21" t="inlineStr">
        <is>
          <t>—</t>
        </is>
      </c>
    </row>
    <row r="88">
      <c r="B88" s="28" t="inlineStr">
        <is>
          <t>(D) PAIRING – SUBSTANTIVE</t>
        </is>
      </c>
      <c r="C88" s="29" t="inlineStr">
        <is>
          <t>Gender</t>
        </is>
      </c>
      <c r="D88" s="21" t="inlineStr">
        <is>
          <t>—</t>
        </is>
      </c>
    </row>
    <row r="89">
      <c r="B89" s="28" t="inlineStr">
        <is>
          <t>(D) PAIRING – SUBSTANTIVE</t>
        </is>
      </c>
      <c r="C89" s="29" t="inlineStr">
        <is>
          <t>Same-Gender Pairing Required (opt-in)</t>
        </is>
      </c>
      <c r="D89" s="21" t="inlineStr">
        <is>
          <t>Yes = the participant requires a same-gender pairing (hard gate in the Pairing Engine).</t>
        </is>
      </c>
    </row>
    <row r="90">
      <c r="B90" s="28" t="inlineStr">
        <is>
          <t>(D) PAIRING – SUBSTANTIVE</t>
        </is>
      </c>
      <c r="C90" s="29" t="inlineStr">
        <is>
          <t>English Level (CEFR)</t>
        </is>
      </c>
      <c r="D90" s="21" t="inlineStr">
        <is>
          <t>—</t>
        </is>
      </c>
    </row>
    <row r="91">
      <c r="B91" s="28" t="inlineStr">
        <is>
          <t>(D) PAIRING – SUBSTANTIVE</t>
        </is>
      </c>
      <c r="C91" s="29" t="inlineStr">
        <is>
          <t>Qualitative Assessment</t>
        </is>
      </c>
      <c r="D91" s="21" t="inlineStr">
        <is>
          <t>Assessor’s overall judgement of suitability: Low / Moderate / High / Outstanding.</t>
        </is>
      </c>
    </row>
    <row r="92">
      <c r="B92" s="28" t="inlineStr">
        <is>
          <t>(D) PAIRING – SUBSTANTIVE</t>
        </is>
      </c>
      <c r="C92" s="29" t="inlineStr">
        <is>
          <t>National Background</t>
        </is>
      </c>
      <c r="D92" s="21" t="inlineStr">
        <is>
          <t>Nationality. May hold more than one, separated by "; " (e.g. "Australia; Israel"). Used for same-nationality scoring and the acrimonious-pairing safeguard.</t>
        </is>
      </c>
    </row>
    <row r="93">
      <c r="B93" s="28" t="inlineStr">
        <is>
          <t>(D) PAIRING – SUBSTANTIVE</t>
        </is>
      </c>
      <c r="C93" s="29" t="inlineStr">
        <is>
          <t>Ethnic Background</t>
        </is>
      </c>
      <c r="D93" s="21" t="inlineStr">
        <is>
          <t>—</t>
        </is>
      </c>
    </row>
    <row r="94">
      <c r="B94" s="28" t="inlineStr">
        <is>
          <t>(D) PAIRING – SUBSTANTIVE</t>
        </is>
      </c>
      <c r="C94" s="29" t="inlineStr">
        <is>
          <t>Linguistic Background</t>
        </is>
      </c>
      <c r="D94" s="21" t="inlineStr">
        <is>
          <t>Languages the person speaks and level. Tutors who are heritage/bilingual speakers should list their other language so the Pairing Engine can match it.</t>
        </is>
      </c>
    </row>
    <row r="95">
      <c r="B95" s="28" t="inlineStr">
        <is>
          <t>(D) PAIRING – SUBSTANTIVE</t>
        </is>
      </c>
      <c r="C95" s="29" t="inlineStr">
        <is>
          <t>Religious Background</t>
        </is>
      </c>
      <c r="D95" s="21" t="inlineStr">
        <is>
          <t>—</t>
        </is>
      </c>
    </row>
    <row r="96">
      <c r="B96" s="28" t="inlineStr">
        <is>
          <t>(D) PAIRING – SUBSTANTIVE</t>
        </is>
      </c>
      <c r="C96" s="29" t="inlineStr">
        <is>
          <t>Job / Study Category</t>
        </is>
      </c>
      <c r="D96" s="21" t="inlineStr">
        <is>
          <t>—</t>
        </is>
      </c>
    </row>
    <row r="97">
      <c r="B97" s="28" t="inlineStr">
        <is>
          <t>(D) PAIRING – SUBSTANTIVE</t>
        </is>
      </c>
      <c r="C97" s="29" t="inlineStr">
        <is>
          <t>Current Profession or Study</t>
        </is>
      </c>
      <c r="D97" s="21" t="inlineStr">
        <is>
          <t>—</t>
        </is>
      </c>
    </row>
    <row r="98">
      <c r="B98" s="28" t="inlineStr">
        <is>
          <t>(D) PAIRING – SUBSTANTIVE</t>
        </is>
      </c>
      <c r="C98" s="29" t="inlineStr">
        <is>
          <t>Intended Profession or Study</t>
        </is>
      </c>
      <c r="D98" s="21" t="inlineStr">
        <is>
          <t>—</t>
        </is>
      </c>
    </row>
    <row r="99">
      <c r="B99" s="28" t="inlineStr">
        <is>
          <t>(D) PAIRING – SUBSTANTIVE</t>
        </is>
      </c>
      <c r="C99" s="29" t="inlineStr">
        <is>
          <t>Hobbies and Interests</t>
        </is>
      </c>
      <c r="D99" s="21" t="inlineStr">
        <is>
          <t>—</t>
        </is>
      </c>
    </row>
    <row r="100">
      <c r="B100" s="28" t="inlineStr">
        <is>
          <t>(E) VETTING</t>
        </is>
      </c>
      <c r="C100" s="29" t="inlineStr">
        <is>
          <t>Refugee / Asylum Seeker Assessment</t>
        </is>
      </c>
      <c r="D100" s="21" t="inlineStr">
        <is>
          <t>—</t>
        </is>
      </c>
    </row>
    <row r="101">
      <c r="B101" s="28" t="inlineStr">
        <is>
          <t>(E) VETTING</t>
        </is>
      </c>
      <c r="C101" s="29" t="inlineStr">
        <is>
          <t>Interview Conducted</t>
        </is>
      </c>
      <c r="D101" s="21" t="inlineStr">
        <is>
          <t>—</t>
        </is>
      </c>
    </row>
    <row r="102">
      <c r="B102" s="28" t="inlineStr">
        <is>
          <t>(E) VETTING</t>
        </is>
      </c>
      <c r="C102" s="29" t="inlineStr">
        <is>
          <t>Reference Check Conducted</t>
        </is>
      </c>
      <c r="D102" s="21" t="inlineStr">
        <is>
          <t>—</t>
        </is>
      </c>
    </row>
    <row r="103">
      <c r="B103" s="28" t="inlineStr">
        <is>
          <t>(E) VETTING</t>
        </is>
      </c>
      <c r="C103" s="29" t="inlineStr">
        <is>
          <t>Referee Name</t>
        </is>
      </c>
      <c r="D103" s="21" t="inlineStr">
        <is>
          <t>Referee provided in the application (referenced by the Reference Check).</t>
        </is>
      </c>
    </row>
    <row r="104">
      <c r="B104" s="28" t="inlineStr">
        <is>
          <t>(E) VETTING</t>
        </is>
      </c>
      <c r="C104" s="29" t="inlineStr">
        <is>
          <t>Referee Relationship</t>
        </is>
      </c>
      <c r="D104" s="21" t="inlineStr">
        <is>
          <t>Referee’s relationship to the applicant.</t>
        </is>
      </c>
    </row>
    <row r="105">
      <c r="B105" s="28" t="inlineStr">
        <is>
          <t>(E) VETTING</t>
        </is>
      </c>
      <c r="C105" s="29" t="inlineStr">
        <is>
          <t>Referee Contact</t>
        </is>
      </c>
      <c r="D105" s="21" t="inlineStr">
        <is>
          <t>Referee’s email or phone.</t>
        </is>
      </c>
    </row>
    <row r="106">
      <c r="B106" s="28" t="inlineStr">
        <is>
          <t>(E) VETTING</t>
        </is>
      </c>
      <c r="C106" s="29" t="inlineStr">
        <is>
          <t>WWCC Provided</t>
        </is>
      </c>
      <c r="D106" s="21" t="inlineStr">
        <is>
          <t>—</t>
        </is>
      </c>
    </row>
    <row r="107">
      <c r="B107" s="28" t="inlineStr">
        <is>
          <t>(E) VETTING</t>
        </is>
      </c>
      <c r="C107" s="29" t="inlineStr">
        <is>
          <t>WWCC Number</t>
        </is>
      </c>
      <c r="D107" s="21" t="inlineStr">
        <is>
          <t>—</t>
        </is>
      </c>
    </row>
    <row r="108">
      <c r="B108" s="28" t="inlineStr">
        <is>
          <t>(E) VETTING</t>
        </is>
      </c>
      <c r="C108" s="29" t="inlineStr">
        <is>
          <t>WWCC Expiry</t>
        </is>
      </c>
      <c r="D108" s="21" t="inlineStr">
        <is>
          <t>—</t>
        </is>
      </c>
    </row>
    <row r="109">
      <c r="B109" s="28" t="inlineStr">
        <is>
          <t>(E) VETTING</t>
        </is>
      </c>
      <c r="C109" s="29" t="inlineStr">
        <is>
          <t>WWCC Confirmed</t>
        </is>
      </c>
      <c r="D109" s="21" t="inlineStr">
        <is>
          <t>—</t>
        </is>
      </c>
    </row>
    <row r="110">
      <c r="B110" s="28" t="inlineStr">
        <is>
          <t>(E) VETTING</t>
        </is>
      </c>
      <c r="C110" s="29" t="inlineStr">
        <is>
          <t>Approved to Tutor</t>
        </is>
      </c>
      <c r="D110" s="21" t="inlineStr">
        <is>
          <t>Tutors: categories of person they may tutor — No One / Adults Only / Everyone. “Everyone” requires a provided and confirmed WWCC (auto-flagged otherwise). Students: NA - Student.</t>
        </is>
      </c>
    </row>
    <row r="111">
      <c r="B111" s="28" t="inlineStr">
        <is>
          <t>(E) VETTING</t>
        </is>
      </c>
      <c r="C111" s="29" t="inlineStr">
        <is>
          <t>Pathway to the Program</t>
        </is>
      </c>
      <c r="D111" s="21" t="inlineStr">
        <is>
          <t>—</t>
        </is>
      </c>
    </row>
    <row r="112">
      <c r="B112" s="28" t="inlineStr">
        <is>
          <t>(E) VETTING</t>
        </is>
      </c>
      <c r="C112" s="29" t="inlineStr">
        <is>
          <t>Assessor</t>
        </is>
      </c>
      <c r="D112" s="21" t="inlineStr">
        <is>
          <t>—</t>
        </is>
      </c>
    </row>
    <row r="113">
      <c r="B113" s="28" t="inlineStr">
        <is>
          <t>(E) VETTING</t>
        </is>
      </c>
      <c r="C113" s="29" t="inlineStr">
        <is>
          <t>Matcher</t>
        </is>
      </c>
      <c r="D113" s="21" t="inlineStr">
        <is>
          <t>—</t>
        </is>
      </c>
    </row>
    <row r="114">
      <c r="B114" s="28" t="inlineStr">
        <is>
          <t>(F) GENERAL</t>
        </is>
      </c>
      <c r="C114" s="29" t="inlineStr">
        <is>
          <t>General Comments</t>
        </is>
      </c>
      <c r="D114" s="21" t="inlineStr">
        <is>
          <t>—</t>
        </is>
      </c>
    </row>
    <row r="115">
      <c r="B115" s="28" t="inlineStr">
        <is>
          <t>(F) GENERAL</t>
        </is>
      </c>
      <c r="C115" s="29" t="inlineStr">
        <is>
          <t>Matching Comments</t>
        </is>
      </c>
      <c r="D115" s="21" t="inlineStr">
        <is>
          <t>—</t>
        </is>
      </c>
    </row>
    <row r="116">
      <c r="B116" s="28" t="inlineStr">
        <is>
          <t>(F) GENERAL</t>
        </is>
      </c>
      <c r="C116" s="29" t="inlineStr">
        <is>
          <t>Validation Flags</t>
        </is>
      </c>
      <c r="D116" s="21" t="inlineStr">
        <is>
          <t>—</t>
        </is>
      </c>
    </row>
    <row r="117">
      <c r="B117" s="28" t="inlineStr">
        <is>
          <t>(G) PAIRING HISTORY (recor</t>
        </is>
      </c>
      <c r="C117" s="29" t="inlineStr">
        <is>
          <t>P1 Pairing ID</t>
        </is>
      </c>
      <c r="D117" s="21" t="inlineStr">
        <is>
          <t>Pairing slot: enter the partner’s Unique ID. Name auto-fills.</t>
        </is>
      </c>
    </row>
    <row r="118">
      <c r="B118" s="28" t="inlineStr">
        <is>
          <t>(G) PAIRING HISTORY (recor</t>
        </is>
      </c>
      <c r="C118" s="29" t="inlineStr">
        <is>
          <t>P1 Pairing Name</t>
        </is>
      </c>
      <c r="D118" s="21" t="inlineStr">
        <is>
          <t>—</t>
        </is>
      </c>
    </row>
    <row r="119">
      <c r="B119" s="28" t="inlineStr">
        <is>
          <t>(G) PAIRING HISTORY (recor</t>
        </is>
      </c>
      <c r="C119" s="29" t="inlineStr">
        <is>
          <t>P1 Start</t>
        </is>
      </c>
      <c r="D119" s="21" t="inlineStr">
        <is>
          <t>—</t>
        </is>
      </c>
    </row>
    <row r="120">
      <c r="B120" s="28" t="inlineStr">
        <is>
          <t>(G) PAIRING HISTORY (recor</t>
        </is>
      </c>
      <c r="C120" s="29" t="inlineStr">
        <is>
          <t>P1 End</t>
        </is>
      </c>
      <c r="D120" s="21" t="inlineStr">
        <is>
          <t>—</t>
        </is>
      </c>
    </row>
    <row r="121">
      <c r="B121" s="28" t="inlineStr">
        <is>
          <t>(G) PAIRING HISTORY (recor</t>
        </is>
      </c>
      <c r="C121" s="29" t="inlineStr">
        <is>
          <t>P1 Weekly Hours</t>
        </is>
      </c>
      <c r="D121" s="21" t="inlineStr">
        <is>
          <t>—</t>
        </is>
      </c>
    </row>
    <row r="122">
      <c r="B122" s="28" t="inlineStr">
        <is>
          <t>(G) PAIRING HISTORY (recor</t>
        </is>
      </c>
      <c r="C122" s="29" t="inlineStr">
        <is>
          <t>P1 Recorded By</t>
        </is>
      </c>
      <c r="D122" s="21" t="inlineStr">
        <is>
          <t>Team member who recorded or last changed this pairing slot.</t>
        </is>
      </c>
    </row>
    <row r="123">
      <c r="B123" s="28" t="inlineStr">
        <is>
          <t>(G) PAIRING HISTORY (recor</t>
        </is>
      </c>
      <c r="C123" s="29" t="inlineStr">
        <is>
          <t>P2 Pairing ID</t>
        </is>
      </c>
      <c r="D123" s="21" t="inlineStr">
        <is>
          <t>—</t>
        </is>
      </c>
    </row>
    <row r="124">
      <c r="B124" s="28" t="inlineStr">
        <is>
          <t>(G) PAIRING HISTORY (recor</t>
        </is>
      </c>
      <c r="C124" s="29" t="inlineStr">
        <is>
          <t>P2 Pairing Name</t>
        </is>
      </c>
      <c r="D124" s="21" t="inlineStr">
        <is>
          <t>—</t>
        </is>
      </c>
    </row>
    <row r="125">
      <c r="B125" s="28" t="inlineStr">
        <is>
          <t>(G) PAIRING HISTORY (recor</t>
        </is>
      </c>
      <c r="C125" s="29" t="inlineStr">
        <is>
          <t>P2 Start</t>
        </is>
      </c>
      <c r="D125" s="21" t="inlineStr">
        <is>
          <t>—</t>
        </is>
      </c>
    </row>
    <row r="126">
      <c r="B126" s="28" t="inlineStr">
        <is>
          <t>(G) PAIRING HISTORY (recor</t>
        </is>
      </c>
      <c r="C126" s="29" t="inlineStr">
        <is>
          <t>P2 End</t>
        </is>
      </c>
      <c r="D126" s="21" t="inlineStr">
        <is>
          <t>—</t>
        </is>
      </c>
    </row>
    <row r="127">
      <c r="B127" s="28" t="inlineStr">
        <is>
          <t>(G) PAIRING HISTORY (recor</t>
        </is>
      </c>
      <c r="C127" s="29" t="inlineStr">
        <is>
          <t>P2 Weekly Hours</t>
        </is>
      </c>
      <c r="D127" s="21" t="inlineStr">
        <is>
          <t>—</t>
        </is>
      </c>
    </row>
    <row r="128">
      <c r="B128" s="28" t="inlineStr">
        <is>
          <t>(G) PAIRING HISTORY (recor</t>
        </is>
      </c>
      <c r="C128" s="29" t="inlineStr">
        <is>
          <t>P2 Recorded By</t>
        </is>
      </c>
      <c r="D128" s="21" t="inlineStr">
        <is>
          <t>—</t>
        </is>
      </c>
    </row>
    <row r="129">
      <c r="B129" s="28" t="inlineStr">
        <is>
          <t>(G) PAIRING HISTORY (recor</t>
        </is>
      </c>
      <c r="C129" s="29" t="inlineStr">
        <is>
          <t>P3 Pairing ID</t>
        </is>
      </c>
      <c r="D129" s="21" t="inlineStr">
        <is>
          <t>—</t>
        </is>
      </c>
    </row>
    <row r="130">
      <c r="B130" s="28" t="inlineStr">
        <is>
          <t>(G) PAIRING HISTORY (recor</t>
        </is>
      </c>
      <c r="C130" s="29" t="inlineStr">
        <is>
          <t>P3 Pairing Name</t>
        </is>
      </c>
      <c r="D130" s="21" t="inlineStr">
        <is>
          <t>—</t>
        </is>
      </c>
    </row>
    <row r="131">
      <c r="B131" s="28" t="inlineStr">
        <is>
          <t>(G) PAIRING HISTORY (recor</t>
        </is>
      </c>
      <c r="C131" s="29" t="inlineStr">
        <is>
          <t>P3 Start</t>
        </is>
      </c>
      <c r="D131" s="21" t="inlineStr">
        <is>
          <t>—</t>
        </is>
      </c>
    </row>
    <row r="132">
      <c r="B132" s="28" t="inlineStr">
        <is>
          <t>(G) PAIRING HISTORY (recor</t>
        </is>
      </c>
      <c r="C132" s="29" t="inlineStr">
        <is>
          <t>P3 End</t>
        </is>
      </c>
      <c r="D132" s="21" t="inlineStr">
        <is>
          <t>—</t>
        </is>
      </c>
    </row>
    <row r="133">
      <c r="B133" s="28" t="inlineStr">
        <is>
          <t>(G) PAIRING HISTORY (recor</t>
        </is>
      </c>
      <c r="C133" s="29" t="inlineStr">
        <is>
          <t>P3 Weekly Hours</t>
        </is>
      </c>
      <c r="D133" s="21" t="inlineStr">
        <is>
          <t>—</t>
        </is>
      </c>
    </row>
    <row r="134">
      <c r="B134" s="28" t="inlineStr">
        <is>
          <t>(G) PAIRING HISTORY (recor</t>
        </is>
      </c>
      <c r="C134" s="29" t="inlineStr">
        <is>
          <t>P3 Recorded By</t>
        </is>
      </c>
      <c r="D134" s="21" t="inlineStr">
        <is>
          <t>—</t>
        </is>
      </c>
    </row>
    <row r="135">
      <c r="B135" s="28" t="inlineStr">
        <is>
          <t>(G) PAIRING HISTORY (recor</t>
        </is>
      </c>
      <c r="C135" s="29" t="inlineStr">
        <is>
          <t>P4 Pairing ID</t>
        </is>
      </c>
      <c r="D135" s="21" t="inlineStr">
        <is>
          <t>—</t>
        </is>
      </c>
    </row>
    <row r="136">
      <c r="B136" s="28" t="inlineStr">
        <is>
          <t>(G) PAIRING HISTORY (recor</t>
        </is>
      </c>
      <c r="C136" s="29" t="inlineStr">
        <is>
          <t>P4 Pairing Name</t>
        </is>
      </c>
      <c r="D136" s="21" t="inlineStr">
        <is>
          <t>—</t>
        </is>
      </c>
    </row>
    <row r="137">
      <c r="B137" s="28" t="inlineStr">
        <is>
          <t>(G) PAIRING HISTORY (recor</t>
        </is>
      </c>
      <c r="C137" s="29" t="inlineStr">
        <is>
          <t>P4 Start</t>
        </is>
      </c>
      <c r="D137" s="21" t="inlineStr">
        <is>
          <t>—</t>
        </is>
      </c>
    </row>
    <row r="138">
      <c r="B138" s="28" t="inlineStr">
        <is>
          <t>(G) PAIRING HISTORY (recor</t>
        </is>
      </c>
      <c r="C138" s="29" t="inlineStr">
        <is>
          <t>P4 End</t>
        </is>
      </c>
      <c r="D138" s="21" t="inlineStr">
        <is>
          <t>—</t>
        </is>
      </c>
    </row>
    <row r="139">
      <c r="B139" s="28" t="inlineStr">
        <is>
          <t>(G) PAIRING HISTORY (recor</t>
        </is>
      </c>
      <c r="C139" s="29" t="inlineStr">
        <is>
          <t>P4 Weekly Hours</t>
        </is>
      </c>
      <c r="D139" s="21" t="inlineStr">
        <is>
          <t>—</t>
        </is>
      </c>
    </row>
    <row r="140">
      <c r="B140" s="28" t="inlineStr">
        <is>
          <t>(G) PAIRING HISTORY (recor</t>
        </is>
      </c>
      <c r="C140" s="29" t="inlineStr">
        <is>
          <t>P4 Recorded By</t>
        </is>
      </c>
      <c r="D140" s="21" t="inlineStr">
        <is>
          <t>—</t>
        </is>
      </c>
    </row>
    <row r="141">
      <c r="B141" s="28" t="inlineStr">
        <is>
          <t>(G) PAIRING HISTORY (recor</t>
        </is>
      </c>
      <c r="C141" s="29" t="inlineStr">
        <is>
          <t>P5 Pairing ID</t>
        </is>
      </c>
      <c r="D141" s="21" t="inlineStr">
        <is>
          <t>—</t>
        </is>
      </c>
    </row>
    <row r="142">
      <c r="B142" s="28" t="inlineStr">
        <is>
          <t>(G) PAIRING HISTORY (recor</t>
        </is>
      </c>
      <c r="C142" s="29" t="inlineStr">
        <is>
          <t>P5 Pairing Name</t>
        </is>
      </c>
      <c r="D142" s="21" t="inlineStr">
        <is>
          <t>—</t>
        </is>
      </c>
    </row>
    <row r="143">
      <c r="B143" s="28" t="inlineStr">
        <is>
          <t>(G) PAIRING HISTORY (recor</t>
        </is>
      </c>
      <c r="C143" s="29" t="inlineStr">
        <is>
          <t>P5 Start</t>
        </is>
      </c>
      <c r="D143" s="21" t="inlineStr">
        <is>
          <t>—</t>
        </is>
      </c>
    </row>
    <row r="144">
      <c r="B144" s="28" t="inlineStr">
        <is>
          <t>(G) PAIRING HISTORY (recor</t>
        </is>
      </c>
      <c r="C144" s="29" t="inlineStr">
        <is>
          <t>P5 End</t>
        </is>
      </c>
      <c r="D144" s="21" t="inlineStr">
        <is>
          <t>—</t>
        </is>
      </c>
    </row>
    <row r="145">
      <c r="B145" s="28" t="inlineStr">
        <is>
          <t>(G) PAIRING HISTORY (recor</t>
        </is>
      </c>
      <c r="C145" s="29" t="inlineStr">
        <is>
          <t>P5 Weekly Hours</t>
        </is>
      </c>
      <c r="D145" s="21" t="inlineStr">
        <is>
          <t>—</t>
        </is>
      </c>
    </row>
    <row r="146">
      <c r="B146" s="28" t="inlineStr">
        <is>
          <t>(G) PAIRING HISTORY (recor</t>
        </is>
      </c>
      <c r="C146" s="29" t="inlineStr">
        <is>
          <t>P5 Recorded By</t>
        </is>
      </c>
      <c r="D146" s="21" t="inlineStr">
        <is>
          <t>—</t>
        </is>
      </c>
    </row>
    <row r="147">
      <c r="B147" s="28" t="inlineStr">
        <is>
          <t>(H) HELPER COLUMNS (auto —</t>
        </is>
      </c>
      <c r="C147" s="29" t="inlineStr">
        <is>
          <t>IsApplicant</t>
        </is>
      </c>
      <c r="D147" s="21" t="inlineStr">
        <is>
          <t>—</t>
        </is>
      </c>
    </row>
    <row r="148">
      <c r="B148" s="28" t="inlineStr">
        <is>
          <t>(H) HELPER COLUMNS (auto —</t>
        </is>
      </c>
      <c r="C148" s="29" t="inlineStr">
        <is>
          <t>IsAdmitted</t>
        </is>
      </c>
      <c r="D148" s="21" t="inlineStr">
        <is>
          <t>—</t>
        </is>
      </c>
    </row>
    <row r="149">
      <c r="B149" s="28" t="inlineStr">
        <is>
          <t>(H) HELPER COLUMNS (auto —</t>
        </is>
      </c>
      <c r="C149" s="29" t="inlineStr">
        <is>
          <t>IsMatched</t>
        </is>
      </c>
      <c r="D149" s="21" t="inlineStr">
        <is>
          <t>—</t>
        </is>
      </c>
    </row>
    <row r="150">
      <c r="B150" s="28" t="inlineStr">
        <is>
          <t>(H) HELPER COLUMNS (auto —</t>
        </is>
      </c>
      <c r="C150" s="29" t="inlineStr">
        <is>
          <t>LeadTimesDays</t>
        </is>
      </c>
      <c r="D150" s="21" t="inlineStr">
        <is>
          <t>—</t>
        </is>
      </c>
    </row>
    <row r="151">
      <c r="B151" s="28" t="inlineStr">
        <is>
          <t>(H) HELPER COLUMNS (auto —</t>
        </is>
      </c>
      <c r="C151" s="29" t="inlineStr">
        <is>
          <t>DaysWaiting</t>
        </is>
      </c>
      <c r="D151" s="21" t="inlineStr">
        <is>
          <t>FORMULA: days since application (drives the long-wait bonus in the Pairing Engine).</t>
        </is>
      </c>
    </row>
    <row r="152">
      <c r="B152" s="28" t="inlineStr">
        <is>
          <t>(H) HELPER COLUMNS (auto —</t>
        </is>
      </c>
      <c r="C152" s="29" t="inlineStr">
        <is>
          <t>MonthText</t>
        </is>
      </c>
      <c r="D152" s="21" t="inlineStr">
        <is>
          <t>—</t>
        </is>
      </c>
    </row>
    <row r="153">
      <c r="B153" s="28" t="inlineStr">
        <is>
          <t>(H) HELPER COLUMNS (auto —</t>
        </is>
      </c>
      <c r="C153" s="29" t="inlineStr">
        <is>
          <t>Age</t>
        </is>
      </c>
      <c r="D153" s="21" t="inlineStr">
        <is>
          <t>—</t>
        </is>
      </c>
    </row>
    <row r="154">
      <c r="B154" s="28" t="inlineStr">
        <is>
          <t>(H) HELPER COLUMNS (auto —</t>
        </is>
      </c>
      <c r="C154" s="29" t="inlineStr">
        <is>
          <t>AgeBand</t>
        </is>
      </c>
      <c r="D154" s="21" t="inlineStr">
        <is>
          <t>—</t>
        </is>
      </c>
    </row>
    <row r="155">
      <c r="B155" s="28" t="inlineStr">
        <is>
          <t>(H) HELPER COLUMNS (auto —</t>
        </is>
      </c>
      <c r="C155" s="29" t="inlineStr">
        <is>
          <t>Current Weekly Hours</t>
        </is>
      </c>
      <c r="D155" s="21" t="inlineStr">
        <is>
          <t>FORMULA: hours/week across this tutor’s active pairings.</t>
        </is>
      </c>
    </row>
    <row r="156">
      <c r="B156" s="28" t="inlineStr">
        <is>
          <t>(H) HELPER COLUMNS (auto —</t>
        </is>
      </c>
      <c r="C156" s="29" t="inlineStr">
        <is>
          <t>Total Hours To Date</t>
        </is>
      </c>
      <c r="D156" s="21" t="inlineStr">
        <is>
          <t>FORMULA: weeks x weekly hours across all pairings.</t>
        </is>
      </c>
    </row>
    <row r="157">
      <c r="B157" s="28" t="inlineStr">
        <is>
          <t>(H) HELPER COLUMNS (auto —</t>
        </is>
      </c>
      <c r="C157" s="29" t="inlineStr">
        <is>
          <t>DayAvailabilityMon</t>
        </is>
      </c>
      <c r="D157" s="21" t="inlineStr">
        <is>
          <t>—</t>
        </is>
      </c>
    </row>
    <row r="158">
      <c r="B158" s="28" t="inlineStr">
        <is>
          <t>(H) HELPER COLUMNS (auto —</t>
        </is>
      </c>
      <c r="C158" s="29" t="inlineStr">
        <is>
          <t>DayAvailabilityTue</t>
        </is>
      </c>
      <c r="D158" s="21" t="inlineStr">
        <is>
          <t>—</t>
        </is>
      </c>
    </row>
    <row r="159">
      <c r="B159" s="28" t="inlineStr">
        <is>
          <t>(H) HELPER COLUMNS (auto —</t>
        </is>
      </c>
      <c r="C159" s="29" t="inlineStr">
        <is>
          <t>DayAvailabilityWed</t>
        </is>
      </c>
      <c r="D159" s="21" t="inlineStr">
        <is>
          <t>—</t>
        </is>
      </c>
    </row>
    <row r="160">
      <c r="B160" s="28" t="inlineStr">
        <is>
          <t>(H) HELPER COLUMNS (auto —</t>
        </is>
      </c>
      <c r="C160" s="29" t="inlineStr">
        <is>
          <t>DayAvailabilityThu</t>
        </is>
      </c>
      <c r="D160" s="21" t="inlineStr">
        <is>
          <t>—</t>
        </is>
      </c>
    </row>
    <row r="161">
      <c r="B161" s="28" t="inlineStr">
        <is>
          <t>(H) HELPER COLUMNS (auto —</t>
        </is>
      </c>
      <c r="C161" s="29" t="inlineStr">
        <is>
          <t>DayAvailabilityFri</t>
        </is>
      </c>
      <c r="D161" s="21" t="inlineStr">
        <is>
          <t>—</t>
        </is>
      </c>
    </row>
    <row r="162">
      <c r="B162" s="28" t="inlineStr">
        <is>
          <t>(H) HELPER COLUMNS (auto —</t>
        </is>
      </c>
      <c r="C162" s="29" t="inlineStr">
        <is>
          <t>DayAvailabilitySat</t>
        </is>
      </c>
      <c r="D162" s="21" t="inlineStr">
        <is>
          <t>—</t>
        </is>
      </c>
    </row>
    <row r="163">
      <c r="B163" s="28" t="inlineStr">
        <is>
          <t>(H) HELPER COLUMNS (auto —</t>
        </is>
      </c>
      <c r="C163" s="29" t="inlineStr">
        <is>
          <t>DayAvailabilitySun</t>
        </is>
      </c>
      <c r="D163" s="21" t="inlineStr">
        <is>
          <t>—</t>
        </is>
      </c>
    </row>
    <row r="164">
      <c r="B164" s="30" t="inlineStr">
        <is>
          <t>(H) HELPER COLUMNS (auto —</t>
        </is>
      </c>
      <c r="C164" s="31" t="inlineStr">
        <is>
          <t>CombinedAvailability</t>
        </is>
      </c>
      <c r="D164" s="24" t="inlineStr">
        <is>
          <t>—</t>
        </is>
      </c>
    </row>
  </sheetData>
  <mergeCells count="16">
    <mergeCell ref="B10:D10"/>
    <mergeCell ref="B11:D11"/>
    <mergeCell ref="B28:D28"/>
    <mergeCell ref="B31:D31"/>
    <mergeCell ref="B23:D23"/>
    <mergeCell ref="B22:D22"/>
    <mergeCell ref="B17:D17"/>
    <mergeCell ref="B18:D18"/>
    <mergeCell ref="B13:D13"/>
    <mergeCell ref="B26:D26"/>
    <mergeCell ref="B27:D27"/>
    <mergeCell ref="B21:D21"/>
    <mergeCell ref="B12:D12"/>
    <mergeCell ref="B7:D7"/>
    <mergeCell ref="B47:D47"/>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J202"/>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6" customWidth="1" min="3" max="3"/>
    <col width="16" customWidth="1" min="4" max="4"/>
    <col width="13" customWidth="1" min="5" max="5"/>
    <col width="13" customWidth="1" min="6" max="6"/>
    <col width="13" customWidth="1" min="7" max="7"/>
    <col width="13" customWidth="1" min="8" max="8"/>
    <col width="13" customWidth="1" min="9" max="9"/>
    <col width="16" customWidth="1" min="10" max="10"/>
    <col width="28" customWidth="1" min="11" max="11"/>
    <col width="13" customWidth="1" min="12" max="12"/>
    <col width="13" customWidth="1" min="13" max="13"/>
    <col width="13" customWidth="1" min="14" max="14"/>
    <col width="13" customWidth="1" min="15" max="15"/>
    <col width="13" customWidth="1" min="16" max="16"/>
    <col width="13" customWidth="1" min="17" max="17"/>
    <col width="22"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8" customWidth="1" min="39" max="39"/>
    <col width="13" customWidth="1" min="40" max="40"/>
    <col width="14" customWidth="1" min="41" max="41"/>
    <col width="18" customWidth="1" min="42" max="42"/>
    <col width="13" customWidth="1" min="43" max="43"/>
    <col width="18" customWidth="1" min="44" max="44"/>
    <col width="13" customWidth="1" min="45" max="45"/>
    <col width="20" customWidth="1" min="46" max="46"/>
    <col width="13" customWidth="1" min="47" max="47"/>
    <col width="13" customWidth="1" min="48" max="48"/>
    <col width="22"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6" customWidth="1" min="61" max="61"/>
    <col width="16" customWidth="1" min="62" max="62"/>
    <col width="16" customWidth="1" min="63" max="63"/>
    <col width="48" customWidth="1" min="64" max="64"/>
    <col width="48" customWidth="1" min="65" max="65"/>
    <col width="30" customWidth="1" min="66" max="66"/>
    <col width="13" customWidth="1" min="67" max="67"/>
    <col width="16" customWidth="1" min="68" max="68"/>
    <col width="13" customWidth="1" min="69" max="69"/>
    <col width="13" customWidth="1" min="70" max="70"/>
    <col width="13" customWidth="1" min="71" max="71"/>
    <col width="13" customWidth="1" min="72" max="72"/>
    <col width="13" customWidth="1" min="73" max="73"/>
    <col width="16" customWidth="1" min="74" max="74"/>
    <col width="13" customWidth="1" min="75" max="75"/>
    <col width="13" customWidth="1" min="76" max="76"/>
    <col width="13" customWidth="1" min="77" max="77"/>
    <col width="13" customWidth="1" min="78" max="78"/>
    <col width="13" customWidth="1" min="79" max="79"/>
    <col width="16" customWidth="1" min="80" max="80"/>
    <col width="13" customWidth="1" min="81" max="81"/>
    <col width="13" customWidth="1" min="82" max="82"/>
    <col width="13" customWidth="1" min="83" max="83"/>
    <col width="13" customWidth="1" min="84" max="84"/>
    <col width="13" customWidth="1" min="85" max="85"/>
    <col width="16" customWidth="1" min="86" max="86"/>
    <col width="13" customWidth="1" min="87" max="87"/>
    <col width="13" customWidth="1" min="88" max="88"/>
    <col width="13" customWidth="1" min="89" max="89"/>
    <col width="13" customWidth="1" min="90" max="90"/>
    <col width="13" customWidth="1" min="91" max="91"/>
    <col width="16"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6" customWidth="1" min="114" max="114"/>
  </cols>
  <sheetData>
    <row r="1" ht="22" customHeight="1">
      <c r="A1" s="32" t="inlineStr">
        <is>
          <t>(A) BASIC INFORMATION</t>
        </is>
      </c>
      <c r="J1" s="33" t="inlineStr">
        <is>
          <t>(B) STATUS &amp; ENROLMENT</t>
        </is>
      </c>
      <c r="W1" s="34" t="inlineStr">
        <is>
          <t>(C) PAIRING – DELIVERY</t>
        </is>
      </c>
      <c r="AG1" s="35" t="inlineStr">
        <is>
          <t>(D) PAIRING – SUBSTANTIVE</t>
        </is>
      </c>
      <c r="AX1" s="36" t="inlineStr">
        <is>
          <t>(E) VETTING</t>
        </is>
      </c>
      <c r="BL1" s="37" t="inlineStr">
        <is>
          <t>(F) GENERAL</t>
        </is>
      </c>
      <c r="BO1" s="38" t="inlineStr">
        <is>
          <t>(G) PAIRING HISTORY (record on tutor row; up to 5 over lifecycle)</t>
        </is>
      </c>
      <c r="CS1" s="39" t="inlineStr">
        <is>
          <t>(H) HELPER COLUMNS (auto — do not edit)</t>
        </is>
      </c>
    </row>
    <row r="2" ht="42" customHeight="1">
      <c r="A2" s="40" t="inlineStr">
        <is>
          <t>Unique ID</t>
        </is>
      </c>
      <c r="B2" s="40" t="inlineStr">
        <is>
          <t>Full Name</t>
        </is>
      </c>
      <c r="C2" s="40" t="inlineStr">
        <is>
          <t>Email Address</t>
        </is>
      </c>
      <c r="D2" s="40" t="inlineStr">
        <is>
          <t>Phone Number</t>
        </is>
      </c>
      <c r="E2" s="40" t="inlineStr">
        <is>
          <t>Emergency Contact Name</t>
        </is>
      </c>
      <c r="F2" s="40" t="inlineStr">
        <is>
          <t>Emergency Contact Phone</t>
        </is>
      </c>
      <c r="G2" s="40" t="inlineStr">
        <is>
          <t>Emergency Contact Relationship</t>
        </is>
      </c>
      <c r="H2" s="40" t="inlineStr">
        <is>
          <t>Role</t>
        </is>
      </c>
      <c r="I2" s="40" t="inlineStr">
        <is>
          <t>Application Date</t>
        </is>
      </c>
      <c r="J2" s="41" t="inlineStr">
        <is>
          <t>Status (code)</t>
        </is>
      </c>
      <c r="K2" s="41" t="inlineStr">
        <is>
          <t>Status (plain English)</t>
        </is>
      </c>
      <c r="L2" s="41" t="inlineStr">
        <is>
          <t>Blacklisted</t>
        </is>
      </c>
      <c r="M2" s="41" t="inlineStr">
        <is>
          <t>Start Date</t>
        </is>
      </c>
      <c r="N2" s="41" t="inlineStr">
        <is>
          <t>End Date</t>
        </is>
      </c>
      <c r="O2" s="41" t="inlineStr">
        <is>
          <t>Student Number Capacity</t>
        </is>
      </c>
      <c r="P2" s="41" t="inlineStr">
        <is>
          <t>Current Pairings (count)</t>
        </is>
      </c>
      <c r="Q2" s="41" t="inlineStr">
        <is>
          <t>Total Pairings (historical)</t>
        </is>
      </c>
      <c r="R2" s="41" t="inlineStr">
        <is>
          <t>Current Pairing(s)</t>
        </is>
      </c>
      <c r="S2" s="41" t="inlineStr">
        <is>
          <t>Questionnaire and First Lesson Plan</t>
        </is>
      </c>
      <c r="T2" s="41" t="inlineStr">
        <is>
          <t>Current Session Location</t>
        </is>
      </c>
      <c r="U2" s="41" t="inlineStr">
        <is>
          <t>Current Session Time</t>
        </is>
      </c>
      <c r="V2" s="41" t="inlineStr">
        <is>
          <t>Date of Last Check In</t>
        </is>
      </c>
      <c r="W2" s="42" t="inlineStr">
        <is>
          <t>Timezone</t>
        </is>
      </c>
      <c r="X2" s="42" t="inlineStr">
        <is>
          <t>Availability – Monday (AEST)</t>
        </is>
      </c>
      <c r="Y2" s="42" t="inlineStr">
        <is>
          <t>Availability – Tuesday (AEST)</t>
        </is>
      </c>
      <c r="Z2" s="42" t="inlineStr">
        <is>
          <t>Availability – Wednesday (AEST)</t>
        </is>
      </c>
      <c r="AA2" s="42" t="inlineStr">
        <is>
          <t>Availability – Thursday (AEST)</t>
        </is>
      </c>
      <c r="AB2" s="42" t="inlineStr">
        <is>
          <t>Availability – Friday (AEST)</t>
        </is>
      </c>
      <c r="AC2" s="42" t="inlineStr">
        <is>
          <t>Availability – Saturday (AEST)</t>
        </is>
      </c>
      <c r="AD2" s="42" t="inlineStr">
        <is>
          <t>Availability – Sunday (AEST)</t>
        </is>
      </c>
      <c r="AE2" s="42" t="inlineStr">
        <is>
          <t>Mode</t>
        </is>
      </c>
      <c r="AF2" s="42" t="inlineStr">
        <is>
          <t>Technology Access</t>
        </is>
      </c>
      <c r="AG2" s="43" t="inlineStr">
        <is>
          <t>Country of Residence</t>
        </is>
      </c>
      <c r="AH2" s="43" t="inlineStr">
        <is>
          <t>State/Territory</t>
        </is>
      </c>
      <c r="AI2" s="43" t="inlineStr">
        <is>
          <t>Suburb</t>
        </is>
      </c>
      <c r="AJ2" s="43" t="inlineStr">
        <is>
          <t>Postcode</t>
        </is>
      </c>
      <c r="AK2" s="43" t="inlineStr">
        <is>
          <t>Date of Birth</t>
        </is>
      </c>
      <c r="AL2" s="43" t="inlineStr">
        <is>
          <t>Gender</t>
        </is>
      </c>
      <c r="AM2" s="43" t="inlineStr">
        <is>
          <t>Same-Gender Pairing Required (opt-in)</t>
        </is>
      </c>
      <c r="AN2" s="43" t="inlineStr">
        <is>
          <t>English Level (CEFR)</t>
        </is>
      </c>
      <c r="AO2" s="43" t="inlineStr">
        <is>
          <t>Qualitative Assessment</t>
        </is>
      </c>
      <c r="AP2" s="43" t="inlineStr">
        <is>
          <t>National Background</t>
        </is>
      </c>
      <c r="AQ2" s="43" t="inlineStr">
        <is>
          <t>Ethnic Background</t>
        </is>
      </c>
      <c r="AR2" s="43" t="inlineStr">
        <is>
          <t>Linguistic Background</t>
        </is>
      </c>
      <c r="AS2" s="43" t="inlineStr">
        <is>
          <t>Religious Background</t>
        </is>
      </c>
      <c r="AT2" s="43" t="inlineStr">
        <is>
          <t>Job / Study Category</t>
        </is>
      </c>
      <c r="AU2" s="43" t="inlineStr">
        <is>
          <t>Current Profession or Study</t>
        </is>
      </c>
      <c r="AV2" s="43" t="inlineStr">
        <is>
          <t>Intended Profession or Study</t>
        </is>
      </c>
      <c r="AW2" s="43" t="inlineStr">
        <is>
          <t>Hobbies and Interests</t>
        </is>
      </c>
      <c r="AX2" s="44" t="inlineStr">
        <is>
          <t>Refugee / Asylum Seeker Assessment</t>
        </is>
      </c>
      <c r="AY2" s="44" t="inlineStr">
        <is>
          <t>Interview Conducted</t>
        </is>
      </c>
      <c r="AZ2" s="44" t="inlineStr">
        <is>
          <t>Reference Check Conducted</t>
        </is>
      </c>
      <c r="BA2" s="44" t="inlineStr">
        <is>
          <t>Referee Name</t>
        </is>
      </c>
      <c r="BB2" s="44" t="inlineStr">
        <is>
          <t>Referee Relationship</t>
        </is>
      </c>
      <c r="BC2" s="44" t="inlineStr">
        <is>
          <t>Referee Contact</t>
        </is>
      </c>
      <c r="BD2" s="44" t="inlineStr">
        <is>
          <t>WWCC Provided</t>
        </is>
      </c>
      <c r="BE2" s="44" t="inlineStr">
        <is>
          <t>WWCC Number</t>
        </is>
      </c>
      <c r="BF2" s="44" t="inlineStr">
        <is>
          <t>WWCC Expiry</t>
        </is>
      </c>
      <c r="BG2" s="44" t="inlineStr">
        <is>
          <t>WWCC Confirmed</t>
        </is>
      </c>
      <c r="BH2" s="44" t="inlineStr">
        <is>
          <t>Approved to Tutor</t>
        </is>
      </c>
      <c r="BI2" s="44" t="inlineStr">
        <is>
          <t>Pathway to the Program</t>
        </is>
      </c>
      <c r="BJ2" s="44" t="inlineStr">
        <is>
          <t>Assessor</t>
        </is>
      </c>
      <c r="BK2" s="44" t="inlineStr">
        <is>
          <t>Matcher</t>
        </is>
      </c>
      <c r="BL2" s="45" t="inlineStr">
        <is>
          <t>General Comments</t>
        </is>
      </c>
      <c r="BM2" s="45" t="inlineStr">
        <is>
          <t>Matching Comments</t>
        </is>
      </c>
      <c r="BN2" s="45" t="inlineStr">
        <is>
          <t>Validation Flags</t>
        </is>
      </c>
      <c r="BO2" s="46" t="inlineStr">
        <is>
          <t>P1 Pairing ID</t>
        </is>
      </c>
      <c r="BP2" s="46" t="inlineStr">
        <is>
          <t>P1 Pairing Name</t>
        </is>
      </c>
      <c r="BQ2" s="46" t="inlineStr">
        <is>
          <t>P1 Start</t>
        </is>
      </c>
      <c r="BR2" s="46" t="inlineStr">
        <is>
          <t>P1 End</t>
        </is>
      </c>
      <c r="BS2" s="46" t="inlineStr">
        <is>
          <t>P1 Weekly Hours</t>
        </is>
      </c>
      <c r="BT2" s="46" t="inlineStr">
        <is>
          <t>P1 Recorded By</t>
        </is>
      </c>
      <c r="BU2" s="46" t="inlineStr">
        <is>
          <t>P2 Pairing ID</t>
        </is>
      </c>
      <c r="BV2" s="46" t="inlineStr">
        <is>
          <t>P2 Pairing Name</t>
        </is>
      </c>
      <c r="BW2" s="46" t="inlineStr">
        <is>
          <t>P2 Start</t>
        </is>
      </c>
      <c r="BX2" s="46" t="inlineStr">
        <is>
          <t>P2 End</t>
        </is>
      </c>
      <c r="BY2" s="46" t="inlineStr">
        <is>
          <t>P2 Weekly Hours</t>
        </is>
      </c>
      <c r="BZ2" s="46" t="inlineStr">
        <is>
          <t>P2 Recorded By</t>
        </is>
      </c>
      <c r="CA2" s="46" t="inlineStr">
        <is>
          <t>P3 Pairing ID</t>
        </is>
      </c>
      <c r="CB2" s="46" t="inlineStr">
        <is>
          <t>P3 Pairing Name</t>
        </is>
      </c>
      <c r="CC2" s="46" t="inlineStr">
        <is>
          <t>P3 Start</t>
        </is>
      </c>
      <c r="CD2" s="46" t="inlineStr">
        <is>
          <t>P3 End</t>
        </is>
      </c>
      <c r="CE2" s="46" t="inlineStr">
        <is>
          <t>P3 Weekly Hours</t>
        </is>
      </c>
      <c r="CF2" s="46" t="inlineStr">
        <is>
          <t>P3 Recorded By</t>
        </is>
      </c>
      <c r="CG2" s="46" t="inlineStr">
        <is>
          <t>P4 Pairing ID</t>
        </is>
      </c>
      <c r="CH2" s="46" t="inlineStr">
        <is>
          <t>P4 Pairing Name</t>
        </is>
      </c>
      <c r="CI2" s="46" t="inlineStr">
        <is>
          <t>P4 Start</t>
        </is>
      </c>
      <c r="CJ2" s="46" t="inlineStr">
        <is>
          <t>P4 End</t>
        </is>
      </c>
      <c r="CK2" s="46" t="inlineStr">
        <is>
          <t>P4 Weekly Hours</t>
        </is>
      </c>
      <c r="CL2" s="46" t="inlineStr">
        <is>
          <t>P4 Recorded By</t>
        </is>
      </c>
      <c r="CM2" s="46" t="inlineStr">
        <is>
          <t>P5 Pairing ID</t>
        </is>
      </c>
      <c r="CN2" s="46" t="inlineStr">
        <is>
          <t>P5 Pairing Name</t>
        </is>
      </c>
      <c r="CO2" s="46" t="inlineStr">
        <is>
          <t>P5 Start</t>
        </is>
      </c>
      <c r="CP2" s="46" t="inlineStr">
        <is>
          <t>P5 End</t>
        </is>
      </c>
      <c r="CQ2" s="46" t="inlineStr">
        <is>
          <t>P5 Weekly Hours</t>
        </is>
      </c>
      <c r="CR2" s="46" t="inlineStr">
        <is>
          <t>P5 Recorded By</t>
        </is>
      </c>
      <c r="CS2" s="47" t="inlineStr">
        <is>
          <t>IsApplicant</t>
        </is>
      </c>
      <c r="CT2" s="47" t="inlineStr">
        <is>
          <t>IsAdmitted</t>
        </is>
      </c>
      <c r="CU2" s="47" t="inlineStr">
        <is>
          <t>IsMatched</t>
        </is>
      </c>
      <c r="CV2" s="47" t="inlineStr">
        <is>
          <t>LeadTimesDays</t>
        </is>
      </c>
      <c r="CW2" s="47" t="inlineStr">
        <is>
          <t>DaysWaiting</t>
        </is>
      </c>
      <c r="CX2" s="47" t="inlineStr">
        <is>
          <t>MonthText</t>
        </is>
      </c>
      <c r="CY2" s="47" t="inlineStr">
        <is>
          <t>Age</t>
        </is>
      </c>
      <c r="CZ2" s="47" t="inlineStr">
        <is>
          <t>AgeBand</t>
        </is>
      </c>
      <c r="DA2" s="47" t="inlineStr">
        <is>
          <t>Current Weekly Hours</t>
        </is>
      </c>
      <c r="DB2" s="47" t="inlineStr">
        <is>
          <t>Total Hours To Date</t>
        </is>
      </c>
      <c r="DC2" s="47" t="inlineStr">
        <is>
          <t>DayAvailabilityMon</t>
        </is>
      </c>
      <c r="DD2" s="47" t="inlineStr">
        <is>
          <t>DayAvailabilityTue</t>
        </is>
      </c>
      <c r="DE2" s="47" t="inlineStr">
        <is>
          <t>DayAvailabilityWed</t>
        </is>
      </c>
      <c r="DF2" s="47" t="inlineStr">
        <is>
          <t>DayAvailabilityThu</t>
        </is>
      </c>
      <c r="DG2" s="47" t="inlineStr">
        <is>
          <t>DayAvailabilityFri</t>
        </is>
      </c>
      <c r="DH2" s="47" t="inlineStr">
        <is>
          <t>DayAvailabilitySat</t>
        </is>
      </c>
      <c r="DI2" s="47" t="inlineStr">
        <is>
          <t>DayAvailabilitySun</t>
        </is>
      </c>
      <c r="DJ2" s="47" t="inlineStr">
        <is>
          <t>CombinedAvailability</t>
        </is>
      </c>
    </row>
    <row r="3">
      <c r="A3" s="48" t="inlineStr">
        <is>
          <t>T-O-00001</t>
        </is>
      </c>
      <c r="B3" s="48" t="inlineStr">
        <is>
          <t>Aisha Yusuf</t>
        </is>
      </c>
      <c r="C3" s="48" t="inlineStr">
        <is>
          <t>aisha.yusuf1@example.com</t>
        </is>
      </c>
      <c r="D3" s="48" t="inlineStr">
        <is>
          <t>+61 451 687 665</t>
        </is>
      </c>
      <c r="E3" s="48" t="inlineStr">
        <is>
          <t>Nadia King</t>
        </is>
      </c>
      <c r="F3" s="48" t="inlineStr">
        <is>
          <t>+61 473 484 248</t>
        </is>
      </c>
      <c r="G3" s="48" t="inlineStr">
        <is>
          <t>Adult Child</t>
        </is>
      </c>
      <c r="H3" s="48" t="inlineStr">
        <is>
          <t>Tutor</t>
        </is>
      </c>
      <c r="I3" s="49" t="n">
        <v>45302</v>
      </c>
      <c r="J3" s="48" t="inlineStr">
        <is>
          <t>ADM-ACT-UNMAT</t>
        </is>
      </c>
      <c r="K3" s="48">
        <f>IFERROR(VLOOKUP(J3,'(A) Introduction'!$B$35:$C$45,2,FALSE),"")</f>
        <v/>
      </c>
      <c r="L3" s="48" t="inlineStr">
        <is>
          <t>No</t>
        </is>
      </c>
      <c r="M3" s="48" t="inlineStr"/>
      <c r="N3" s="48" t="inlineStr"/>
      <c r="O3" s="48" t="n">
        <v>2</v>
      </c>
      <c r="P3" s="48">
        <f>IF($H3="Tutor",((BQ3&lt;&gt;"")*(BR3=""))+((BW3&lt;&gt;"")*(BX3=""))+((CC3&lt;&gt;"")*(CD3=""))+((CI3&lt;&gt;"")*(CJ3=""))+((CO3&lt;&gt;"")*(CP3="")),SUMPRODUCT(--($BO$3:$BO$202=$A3),--($BR$3:$BR$202=""))+SUMPRODUCT(--($BU$3:$BU$202=$A3),--($BX$3:$BX$202=""))+SUMPRODUCT(--($CA$3:$CA$202=$A3),--($CD$3:$CD$202=""))+SUMPRODUCT(--($CG$3:$CG$202=$A3),--($CJ$3:$CJ$202=""))+SUMPRODUCT(--($CM$3:$CM$202=$A3),--($CP$3:$CP$202="")))</f>
        <v/>
      </c>
      <c r="Q3" s="48">
        <f>IF($H3="Tutor",(BQ3&lt;&gt;"")+(BW3&lt;&gt;"")+(CC3&lt;&gt;"")+(CI3&lt;&gt;"")+(CO3&lt;&gt;""),SUMPRODUCT(--($BO$3:$BO$202=$A3))+SUMPRODUCT(--($BU$3:$BU$202=$A3))+SUMPRODUCT(--($CA$3:$CA$202=$A3))+SUMPRODUCT(--($CG$3:$CG$202=$A3))+SUMPRODUCT(--($CM$3:$CM$202=$A3)))</f>
        <v/>
      </c>
      <c r="R3" s="48">
        <f>IF($H3="Tutor",TRIM(IF(AND(BQ3&lt;&gt;"",BR3=""),BP3&amp;"; ","")&amp;IF(AND(BW3&lt;&gt;"",BX3=""),BV3&amp;"; ","")&amp;IF(AND(CC3&lt;&gt;"",CD3=""),CB3&amp;"; ","")&amp;IF(AND(CI3&lt;&gt;"",CJ3=""),CH3&amp;"; ","")&amp;IF(AND(CO3&lt;&gt;"",CP3=""),CN3&amp;"; ","")),IFERROR(INDEX($A$3:$B$202,(SUMPRODUCT(($BO$3:$BO$202=$A3)*($BR$3:$BR$202="")*ROW($BO$3:$BO$202))+SUMPRODUCT(($BU$3:$BU$202=$A3)*($BX$3:$BX$202="")*ROW($BU$3:$BU$202))+SUMPRODUCT(($CA$3:$CA$202=$A3)*($CD$3:$CD$202="")*ROW($CA$3:$CA$202))+SUMPRODUCT(($CG$3:$CG$202=$A3)*($CJ$3:$CJ$202="")*ROW($CG$3:$CG$202))+SUMPRODUCT(($CM$3:$CM$202=$A3)*($CP$3:$CP$202="")*ROW($CM$3:$CM$202)))-2,2),""))</f>
        <v/>
      </c>
      <c r="S3" s="48" t="inlineStr">
        <is>
          <t>Not Provided</t>
        </is>
      </c>
      <c r="T3" s="48" t="inlineStr"/>
      <c r="U3" s="48" t="inlineStr"/>
      <c r="V3" s="49" t="n">
        <v>45898</v>
      </c>
      <c r="W3" s="48" t="inlineStr">
        <is>
          <t>ACST (UTC+9:30)</t>
        </is>
      </c>
      <c r="X3" s="48" t="inlineStr">
        <is>
          <t>6pm-9pm;</t>
        </is>
      </c>
      <c r="Y3" s="48" t="inlineStr">
        <is>
          <t>6pm-9pm;</t>
        </is>
      </c>
      <c r="Z3" s="48" t="inlineStr">
        <is>
          <t>12pm-3pm;</t>
        </is>
      </c>
      <c r="AA3" s="48" t="inlineStr">
        <is>
          <t>12pm-3pm;</t>
        </is>
      </c>
      <c r="AB3" s="48" t="inlineStr">
        <is>
          <t>6pm-9pm;</t>
        </is>
      </c>
      <c r="AC3" s="48" t="inlineStr">
        <is>
          <t>6am-9am;9am-12pm;</t>
        </is>
      </c>
      <c r="AD3" s="48" t="inlineStr">
        <is>
          <t>NA;</t>
        </is>
      </c>
      <c r="AE3" s="48" t="inlineStr">
        <is>
          <t>Either</t>
        </is>
      </c>
      <c r="AF3" s="48" t="inlineStr">
        <is>
          <t>NA - Tutor</t>
        </is>
      </c>
      <c r="AG3" s="48" t="inlineStr">
        <is>
          <t>Australia</t>
        </is>
      </c>
      <c r="AH3" s="48" t="inlineStr">
        <is>
          <t>New South Wales</t>
        </is>
      </c>
      <c r="AI3" s="48" t="inlineStr">
        <is>
          <t>Auburn</t>
        </is>
      </c>
      <c r="AJ3" s="48" t="inlineStr">
        <is>
          <t>2144</t>
        </is>
      </c>
      <c r="AK3" s="49" t="n">
        <v>31722</v>
      </c>
      <c r="AL3" s="48" t="inlineStr">
        <is>
          <t>Female</t>
        </is>
      </c>
      <c r="AM3" s="48" t="inlineStr">
        <is>
          <t>NA</t>
        </is>
      </c>
      <c r="AN3" s="48" t="inlineStr">
        <is>
          <t>NA - Tutor</t>
        </is>
      </c>
      <c r="AO3" s="48" t="inlineStr">
        <is>
          <t>Moderate</t>
        </is>
      </c>
      <c r="AP3" s="48" t="inlineStr">
        <is>
          <t>Australia; Lebanon</t>
        </is>
      </c>
      <c r="AQ3" s="48" t="inlineStr">
        <is>
          <t>NA</t>
        </is>
      </c>
      <c r="AR3" s="48" t="inlineStr">
        <is>
          <t>English (C2)</t>
        </is>
      </c>
      <c r="AS3" s="48" t="inlineStr">
        <is>
          <t>Christian (Orthodox)</t>
        </is>
      </c>
      <c r="AT3" s="48" t="inlineStr">
        <is>
          <t>Business &amp; Finance</t>
        </is>
      </c>
      <c r="AU3" s="48" t="inlineStr">
        <is>
          <t>Engineer</t>
        </is>
      </c>
      <c r="AV3" s="48" t="inlineStr">
        <is>
          <t>NA - Tutor</t>
        </is>
      </c>
      <c r="AW3" s="48" t="inlineStr">
        <is>
          <t>Gardening; Cooking; Walking</t>
        </is>
      </c>
      <c r="AX3" s="48" t="inlineStr">
        <is>
          <t>NA - Tutor</t>
        </is>
      </c>
      <c r="AY3" s="48" t="inlineStr">
        <is>
          <t>NA - Partner Organisation Verified</t>
        </is>
      </c>
      <c r="AZ3" s="48" t="inlineStr">
        <is>
          <t>Yes</t>
        </is>
      </c>
      <c r="BA3" s="48" t="inlineStr">
        <is>
          <t>Pedro Yusuf</t>
        </is>
      </c>
      <c r="BB3" s="48" t="inlineStr">
        <is>
          <t>Colleague</t>
        </is>
      </c>
      <c r="BC3" s="48" t="inlineStr">
        <is>
          <t>fatima.brown501@example.com</t>
        </is>
      </c>
      <c r="BD3" s="48" t="inlineStr">
        <is>
          <t>Pending</t>
        </is>
      </c>
      <c r="BE3" s="48" t="inlineStr"/>
      <c r="BF3" s="48" t="inlineStr"/>
      <c r="BG3" s="48" t="inlineStr">
        <is>
          <t>Yes</t>
        </is>
      </c>
      <c r="BH3" s="48" t="inlineStr">
        <is>
          <t>Adults Only</t>
        </is>
      </c>
      <c r="BI3" s="48" t="inlineStr">
        <is>
          <t>Supporting Asylum Seekers Sydney</t>
        </is>
      </c>
      <c r="BJ3" s="48" t="inlineStr">
        <is>
          <t>HERVIR Oliver</t>
        </is>
      </c>
      <c r="BK3" s="48" t="inlineStr">
        <is>
          <t>SHANAHAN Jack</t>
        </is>
      </c>
      <c r="BL3" s="48" t="inlineStr">
        <is>
          <t>Synthetic test record.</t>
        </is>
      </c>
      <c r="BM3" s="48" t="inlineStr"/>
      <c r="BN3" s="48">
        <f>TRIM(IF(AND($H3="Student",$J3="ADM-ACT-MAT-CNE"),"Invalid: Student cannot be CNE. ","")&amp;IF(AND($H3="Student",ISNUMBER($O3)),"Check: capacity set for a Student. ","")&amp;IF(AND(LEFT($J3,11)="ADM-ACT-MAT",$P3=0),"Check: matched status but 0 active pairings. ","")&amp;IF(AND($H3="Tutor",ISNUMBER($O3),$P3&gt;$O3),"Check: pairings exceed capacity. ","")&amp;IF(AND($BH3="Everyone",NOT(AND($BD3="Yes",$BG3="Yes"))),"Check: approved to tutor children but WWCC not provided/confirmed. ","")&amp;IF(AND($P3&gt;0,NOT(AND(OR(LEFT($AY3,3)="Yes",LEFT($AY3,2)="NA"),OR(LEFT($AZ3,3)="Yes",LEFT($AZ3,2)="NA")))),"Matched but vetting incomplete (interview/reference). ","")&amp;IF(COUNTIF($B$3:$B$600,$B3)&gt;1,"Duplicate participant name. ",""))</f>
        <v/>
      </c>
      <c r="BO3" s="48" t="inlineStr"/>
      <c r="BP3" s="48" t="inlineStr"/>
      <c r="BQ3" s="48" t="inlineStr"/>
      <c r="BR3" s="48" t="inlineStr"/>
      <c r="BS3" s="48" t="inlineStr"/>
      <c r="BT3" s="48" t="inlineStr"/>
      <c r="BU3" s="48" t="inlineStr"/>
      <c r="BV3" s="48" t="inlineStr"/>
      <c r="BW3" s="48" t="inlineStr"/>
      <c r="BX3" s="48" t="inlineStr"/>
      <c r="BY3" s="48" t="inlineStr"/>
      <c r="BZ3" s="48" t="inlineStr"/>
      <c r="CA3" s="48" t="inlineStr"/>
      <c r="CB3" s="48" t="inlineStr"/>
      <c r="CC3" s="48" t="inlineStr"/>
      <c r="CD3" s="48" t="inlineStr"/>
      <c r="CE3" s="48" t="inlineStr"/>
      <c r="CF3" s="48" t="inlineStr"/>
      <c r="CG3" s="48" t="inlineStr"/>
      <c r="CH3" s="48" t="inlineStr"/>
      <c r="CI3" s="48" t="inlineStr"/>
      <c r="CJ3" s="48" t="inlineStr"/>
      <c r="CK3" s="48" t="inlineStr"/>
      <c r="CL3" s="48" t="inlineStr"/>
      <c r="CM3" s="48" t="inlineStr"/>
      <c r="CN3" s="48" t="inlineStr"/>
      <c r="CO3" s="48" t="inlineStr"/>
      <c r="CP3" s="48" t="inlineStr"/>
      <c r="CQ3" s="48" t="inlineStr"/>
      <c r="CR3" s="48" t="inlineStr"/>
      <c r="CS3" s="48">
        <f>IF(LEFT($J3,3)="ERR",0,1)</f>
        <v/>
      </c>
      <c r="CT3" s="48">
        <f>IF(LEFT($J3,3)="ADM",1,0)</f>
        <v/>
      </c>
      <c r="CU3" s="48">
        <f>IF(OR($J3="ADM-ACT-MAT-CNE",$J3="ADM-ACT-MAT-CE",$J3="ADM-INACT-M&amp;T"),1,0)</f>
        <v/>
      </c>
      <c r="CV3" s="48">
        <f>IF(AND(CU3=1,ISNUMBER(M3),ISNUMBER(I3)),M3-I3,"")</f>
        <v/>
      </c>
      <c r="CW3" s="48">
        <f>IF(ISNUMBER(I3),TODAY()-I3,"")</f>
        <v/>
      </c>
      <c r="CX3" s="48">
        <f>IF(ISNUMBER(I3),DATE(YEAR(I3),MONTH(I3),1),"")</f>
        <v/>
      </c>
      <c r="CY3" s="48">
        <f>IFERROR(DATEDIF(AK3,TODAY(),"y"),"")</f>
        <v/>
      </c>
      <c r="CZ3" s="48">
        <f>IF(CY3="","",IF(CY3&lt;28,"18-27",IF(CY3&lt;38,"28-37",IF(CY3&lt;48,"38-47",IF(CY3&lt;58,"48-57",IF(CY3&lt;68,"58-67",IF(CY3&lt;78,"68-77","78+")))))) </f>
        <v/>
      </c>
      <c r="DA3" s="48">
        <f>IF(AND(BQ3&lt;&gt;"",BR3=""),N(BS3),0)+IF(AND(BW3&lt;&gt;"",BX3=""),N(BY3),0)+IF(AND(CC3&lt;&gt;"",CD3=""),N(CE3),0)+IF(AND(CI3&lt;&gt;"",CJ3=""),N(CK3),0)+IF(AND(CO3&lt;&gt;"",CP3=""),N(CQ3),0)</f>
        <v/>
      </c>
      <c r="DB3" s="48">
        <f>ROUND(IF(BQ3&lt;&gt;"",N(BS3)*MAX(0,((IF(BR3="",TODAY(),BR3))-BQ3)/7),0)+IF(BW3&lt;&gt;"",N(BY3)*MAX(0,((IF(BX3="",TODAY(),BX3))-BW3)/7),0)+IF(CC3&lt;&gt;"",N(CE3)*MAX(0,((IF(CD3="",TODAY(),CD3))-CC3)/7),0)+IF(CI3&lt;&gt;"",N(CK3)*MAX(0,((IF(CJ3="",TODAY(),CJ3))-CI3)/7),0)+IF(CO3&lt;&gt;"",N(CQ3)*MAX(0,((IF(CP3="",TODAY(),CP3))-CO3)/7),0),1)</f>
        <v/>
      </c>
      <c r="DC3" s="48">
        <f>IF(OR(TRIM(X3)="",TRIM(X3)="NA;",TRIM(X3)="NA"),0,1)</f>
        <v/>
      </c>
      <c r="DD3" s="48">
        <f>IF(OR(TRIM(Y3)="",TRIM(Y3)="NA;",TRIM(Y3)="NA"),0,1)</f>
        <v/>
      </c>
      <c r="DE3" s="48">
        <f>IF(OR(TRIM(Z3)="",TRIM(Z3)="NA;",TRIM(Z3)="NA"),0,1)</f>
        <v/>
      </c>
      <c r="DF3" s="48">
        <f>IF(OR(TRIM(AA3)="",TRIM(AA3)="NA;",TRIM(AA3)="NA"),0,1)</f>
        <v/>
      </c>
      <c r="DG3" s="48">
        <f>IF(OR(TRIM(AB3)="",TRIM(AB3)="NA;",TRIM(AB3)="NA"),0,1)</f>
        <v/>
      </c>
      <c r="DH3" s="48">
        <f>IF(OR(TRIM(AC3)="",TRIM(AC3)="NA;",TRIM(AC3)="NA"),0,1)</f>
        <v/>
      </c>
      <c r="DI3" s="48">
        <f>IF(OR(TRIM(AD3)="",TRIM(AD3)="NA;",TRIM(AD3)="NA"),0,1)</f>
        <v/>
      </c>
      <c r="DJ3" s="48">
        <f>TRIM(IF(DC3=1,"Mon ","")&amp;IF(DD3=1,"Tue ","")&amp;IF(DE3=1,"Wed ","")&amp;IF(DF3=1,"Thu ","")&amp;IF(DG3=1,"Fri ","")&amp;IF(DH3=1,"Sat ","")&amp;IF(DI3=1,"Sun ",""))</f>
        <v/>
      </c>
    </row>
    <row r="4">
      <c r="A4" s="48" t="inlineStr">
        <is>
          <t>T-O-00002</t>
        </is>
      </c>
      <c r="B4" s="48" t="inlineStr">
        <is>
          <t>Sara Brown</t>
        </is>
      </c>
      <c r="C4" s="48" t="inlineStr">
        <is>
          <t>sara.brown2@example.com</t>
        </is>
      </c>
      <c r="D4" s="48" t="inlineStr">
        <is>
          <t>+61 459 884 746</t>
        </is>
      </c>
      <c r="E4" s="48" t="inlineStr">
        <is>
          <t>Jose Schaffer</t>
        </is>
      </c>
      <c r="F4" s="48" t="inlineStr">
        <is>
          <t>+61 421 416 497</t>
        </is>
      </c>
      <c r="G4" s="48" t="inlineStr">
        <is>
          <t>Adult Child</t>
        </is>
      </c>
      <c r="H4" s="48" t="inlineStr">
        <is>
          <t>Tutor</t>
        </is>
      </c>
      <c r="I4" s="49" t="n">
        <v>45321</v>
      </c>
      <c r="J4" s="48" t="inlineStr">
        <is>
          <t>ADM-ACT-MAT-CNE</t>
        </is>
      </c>
      <c r="K4" s="48">
        <f>IFERROR(VLOOKUP(J4,'(A) Introduction'!$B$35:$C$45,2,FALSE),"")</f>
        <v/>
      </c>
      <c r="L4" s="48" t="inlineStr">
        <is>
          <t>No</t>
        </is>
      </c>
      <c r="M4" s="48" t="inlineStr"/>
      <c r="N4" s="48" t="inlineStr"/>
      <c r="O4" s="48" t="n">
        <v>2</v>
      </c>
      <c r="P4" s="48">
        <f>IF($H4="Tutor",((BQ4&lt;&gt;"")*(BR4=""))+((BW4&lt;&gt;"")*(BX4=""))+((CC4&lt;&gt;"")*(CD4=""))+((CI4&lt;&gt;"")*(CJ4=""))+((CO4&lt;&gt;"")*(CP4="")),SUMPRODUCT(--($BO$3:$BO$202=$A4),--($BR$3:$BR$202=""))+SUMPRODUCT(--($BU$3:$BU$202=$A4),--($BX$3:$BX$202=""))+SUMPRODUCT(--($CA$3:$CA$202=$A4),--($CD$3:$CD$202=""))+SUMPRODUCT(--($CG$3:$CG$202=$A4),--($CJ$3:$CJ$202=""))+SUMPRODUCT(--($CM$3:$CM$202=$A4),--($CP$3:$CP$202="")))</f>
        <v/>
      </c>
      <c r="Q4" s="48">
        <f>IF($H4="Tutor",(BQ4&lt;&gt;"")+(BW4&lt;&gt;"")+(CC4&lt;&gt;"")+(CI4&lt;&gt;"")+(CO4&lt;&gt;""),SUMPRODUCT(--($BO$3:$BO$202=$A4))+SUMPRODUCT(--($BU$3:$BU$202=$A4))+SUMPRODUCT(--($CA$3:$CA$202=$A4))+SUMPRODUCT(--($CG$3:$CG$202=$A4))+SUMPRODUCT(--($CM$3:$CM$202=$A4)))</f>
        <v/>
      </c>
      <c r="R4" s="48">
        <f>IF($H4="Tutor",TRIM(IF(AND(BQ4&lt;&gt;"",BR4=""),BP4&amp;"; ","")&amp;IF(AND(BW4&lt;&gt;"",BX4=""),BV4&amp;"; ","")&amp;IF(AND(CC4&lt;&gt;"",CD4=""),CB4&amp;"; ","")&amp;IF(AND(CI4&lt;&gt;"",CJ4=""),CH4&amp;"; ","")&amp;IF(AND(CO4&lt;&gt;"",CP4=""),CN4&amp;"; ","")),IFERROR(INDEX($A$3:$B$202,(SUMPRODUCT(($BO$3:$BO$202=$A4)*($BR$3:$BR$202="")*ROW($BO$3:$BO$202))+SUMPRODUCT(($BU$3:$BU$202=$A4)*($BX$3:$BX$202="")*ROW($BU$3:$BU$202))+SUMPRODUCT(($CA$3:$CA$202=$A4)*($CD$3:$CD$202="")*ROW($CA$3:$CA$202))+SUMPRODUCT(($CG$3:$CG$202=$A4)*($CJ$3:$CJ$202="")*ROW($CG$3:$CG$202))+SUMPRODUCT(($CM$3:$CM$202=$A4)*($CP$3:$CP$202="")*ROW($CM$3:$CM$202)))-2,2),""))</f>
        <v/>
      </c>
      <c r="S4" s="48" t="inlineStr">
        <is>
          <t>NA</t>
        </is>
      </c>
      <c r="T4" s="48" t="inlineStr"/>
      <c r="U4" s="48" t="inlineStr"/>
      <c r="V4" s="49" t="n">
        <v>45865</v>
      </c>
      <c r="W4" s="48" t="inlineStr">
        <is>
          <t>ACDT (UTC+10:30)</t>
        </is>
      </c>
      <c r="X4" s="48" t="inlineStr">
        <is>
          <t>6pm-9pm;</t>
        </is>
      </c>
      <c r="Y4" s="48" t="inlineStr">
        <is>
          <t>NA;</t>
        </is>
      </c>
      <c r="Z4" s="48" t="inlineStr">
        <is>
          <t>12pm-3pm;6pm-9pm;</t>
        </is>
      </c>
      <c r="AA4" s="48" t="inlineStr">
        <is>
          <t>6am-9am;9am-12pm;</t>
        </is>
      </c>
      <c r="AB4" s="48" t="inlineStr">
        <is>
          <t>6pm-9pm;</t>
        </is>
      </c>
      <c r="AC4" s="48" t="inlineStr">
        <is>
          <t>12pm-3pm;</t>
        </is>
      </c>
      <c r="AD4" s="48" t="inlineStr">
        <is>
          <t>12pm-3pm;</t>
        </is>
      </c>
      <c r="AE4" s="48" t="inlineStr">
        <is>
          <t>Online</t>
        </is>
      </c>
      <c r="AF4" s="48" t="inlineStr">
        <is>
          <t>NA - Tutor</t>
        </is>
      </c>
      <c r="AG4" s="48" t="inlineStr">
        <is>
          <t>Australia</t>
        </is>
      </c>
      <c r="AH4" s="48" t="inlineStr">
        <is>
          <t>New South Wales</t>
        </is>
      </c>
      <c r="AI4" s="48" t="inlineStr">
        <is>
          <t>Bankstown</t>
        </is>
      </c>
      <c r="AJ4" s="48" t="inlineStr">
        <is>
          <t>2200</t>
        </is>
      </c>
      <c r="AK4" s="49" t="n">
        <v>31433</v>
      </c>
      <c r="AL4" s="48" t="inlineStr">
        <is>
          <t>Male</t>
        </is>
      </c>
      <c r="AM4" s="48" t="inlineStr">
        <is>
          <t>NA</t>
        </is>
      </c>
      <c r="AN4" s="48" t="inlineStr">
        <is>
          <t>NA - Tutor</t>
        </is>
      </c>
      <c r="AO4" s="48" t="inlineStr">
        <is>
          <t>Moderate</t>
        </is>
      </c>
      <c r="AP4" s="48" t="inlineStr">
        <is>
          <t>Israel</t>
        </is>
      </c>
      <c r="AQ4" s="48" t="inlineStr">
        <is>
          <t>NA</t>
        </is>
      </c>
      <c r="AR4" s="48" t="inlineStr">
        <is>
          <t>English (C2)</t>
        </is>
      </c>
      <c r="AS4" s="48" t="inlineStr">
        <is>
          <t>Christian (Catholic)</t>
        </is>
      </c>
      <c r="AT4" s="48" t="inlineStr">
        <is>
          <t>Health &amp; Medicine</t>
        </is>
      </c>
      <c r="AU4" s="48" t="inlineStr">
        <is>
          <t>Lawyer</t>
        </is>
      </c>
      <c r="AV4" s="48" t="inlineStr">
        <is>
          <t>NA - Tutor</t>
        </is>
      </c>
      <c r="AW4" s="48" t="inlineStr">
        <is>
          <t>Travel; Sport; Movies</t>
        </is>
      </c>
      <c r="AX4" s="48" t="inlineStr">
        <is>
          <t>NA - Tutor</t>
        </is>
      </c>
      <c r="AY4" s="48" t="inlineStr">
        <is>
          <t>Yes</t>
        </is>
      </c>
      <c r="AZ4" s="48" t="inlineStr">
        <is>
          <t>NA - Partner Organisation Verified</t>
        </is>
      </c>
      <c r="BA4" s="48" t="inlineStr">
        <is>
          <t>Carlos Cohen</t>
        </is>
      </c>
      <c r="BB4" s="48" t="inlineStr">
        <is>
          <t>Colleague</t>
        </is>
      </c>
      <c r="BC4" s="48" t="inlineStr">
        <is>
          <t>ahmad.slaytor502@example.com</t>
        </is>
      </c>
      <c r="BD4" s="48" t="inlineStr">
        <is>
          <t>Pending</t>
        </is>
      </c>
      <c r="BE4" s="48" t="inlineStr"/>
      <c r="BF4" s="48" t="inlineStr"/>
      <c r="BG4" s="48" t="inlineStr">
        <is>
          <t>Yes</t>
        </is>
      </c>
      <c r="BH4" s="48" t="inlineStr">
        <is>
          <t>Adults Only</t>
        </is>
      </c>
      <c r="BI4" s="48" t="inlineStr">
        <is>
          <t>Tasmania University (including the Law Society)</t>
        </is>
      </c>
      <c r="BJ4" s="48" t="inlineStr">
        <is>
          <t>SHANAHAN Jack</t>
        </is>
      </c>
      <c r="BK4" s="48" t="inlineStr">
        <is>
          <t>AGARWAL Akanksha</t>
        </is>
      </c>
      <c r="BL4" s="48" t="inlineStr">
        <is>
          <t>Synthetic test record.</t>
        </is>
      </c>
      <c r="BM4" s="48" t="inlineStr"/>
      <c r="BN4" s="48">
        <f>TRIM(IF(AND($H4="Student",$J4="ADM-ACT-MAT-CNE"),"Invalid: Student cannot be CNE. ","")&amp;IF(AND($H4="Student",ISNUMBER($O4)),"Check: capacity set for a Student. ","")&amp;IF(AND(LEFT($J4,11)="ADM-ACT-MAT",$P4=0),"Check: matched status but 0 active pairings. ","")&amp;IF(AND($H4="Tutor",ISNUMBER($O4),$P4&gt;$O4),"Check: pairings exceed capacity. ","")&amp;IF(AND($BH4="Everyone",NOT(AND($BD4="Yes",$BG4="Yes"))),"Check: approved to tutor children but WWCC not provided/confirmed. ","")&amp;IF(AND($P4&gt;0,NOT(AND(OR(LEFT($AY4,3)="Yes",LEFT($AY4,2)="NA"),OR(LEFT($AZ4,3)="Yes",LEFT($AZ4,2)="NA")))),"Matched but vetting incomplete (interview/reference). ","")&amp;IF(COUNTIF($B$3:$B$600,$B4)&gt;1,"Duplicate participant name. ",""))</f>
        <v/>
      </c>
      <c r="BO4" s="48" t="inlineStr">
        <is>
          <t>S-O-00023</t>
        </is>
      </c>
      <c r="BP4" s="48">
        <f>IFERROR(VLOOKUP(BO4,$A:$B,2,FALSE),"")</f>
        <v/>
      </c>
      <c r="BQ4" s="49" t="n">
        <v>45559</v>
      </c>
      <c r="BR4" s="48" t="inlineStr"/>
      <c r="BS4" s="48" t="n">
        <v>1.5</v>
      </c>
      <c r="BT4" s="48" t="inlineStr">
        <is>
          <t>NUICH Curtis</t>
        </is>
      </c>
      <c r="BU4" s="48" t="inlineStr"/>
      <c r="BV4" s="48" t="inlineStr"/>
      <c r="BW4" s="48" t="inlineStr"/>
      <c r="BX4" s="48" t="inlineStr"/>
      <c r="BY4" s="48" t="inlineStr"/>
      <c r="BZ4" s="48" t="inlineStr"/>
      <c r="CA4" s="48" t="inlineStr"/>
      <c r="CB4" s="48" t="inlineStr"/>
      <c r="CC4" s="48" t="inlineStr"/>
      <c r="CD4" s="48" t="inlineStr"/>
      <c r="CE4" s="48" t="inlineStr"/>
      <c r="CF4" s="48" t="inlineStr"/>
      <c r="CG4" s="48" t="inlineStr"/>
      <c r="CH4" s="48" t="inlineStr"/>
      <c r="CI4" s="48" t="inlineStr"/>
      <c r="CJ4" s="48" t="inlineStr"/>
      <c r="CK4" s="48" t="inlineStr"/>
      <c r="CL4" s="48" t="inlineStr"/>
      <c r="CM4" s="48" t="inlineStr"/>
      <c r="CN4" s="48" t="inlineStr"/>
      <c r="CO4" s="48" t="inlineStr"/>
      <c r="CP4" s="48" t="inlineStr"/>
      <c r="CQ4" s="48" t="inlineStr"/>
      <c r="CR4" s="48" t="inlineStr"/>
      <c r="CS4" s="48">
        <f>IF(LEFT($J4,3)="ERR",0,1)</f>
        <v/>
      </c>
      <c r="CT4" s="48">
        <f>IF(LEFT($J4,3)="ADM",1,0)</f>
        <v/>
      </c>
      <c r="CU4" s="48">
        <f>IF(OR($J4="ADM-ACT-MAT-CNE",$J4="ADM-ACT-MAT-CE",$J4="ADM-INACT-M&amp;T"),1,0)</f>
        <v/>
      </c>
      <c r="CV4" s="48">
        <f>IF(AND(CU4=1,ISNUMBER(M4),ISNUMBER(I4)),M4-I4,"")</f>
        <v/>
      </c>
      <c r="CW4" s="48">
        <f>IF(ISNUMBER(I4),TODAY()-I4,"")</f>
        <v/>
      </c>
      <c r="CX4" s="48">
        <f>IF(ISNUMBER(I4),DATE(YEAR(I4),MONTH(I4),1),"")</f>
        <v/>
      </c>
      <c r="CY4" s="48">
        <f>IFERROR(DATEDIF(AK4,TODAY(),"y"),"")</f>
        <v/>
      </c>
      <c r="CZ4" s="48">
        <f>IF(CY4="","",IF(CY4&lt;28,"18-27",IF(CY4&lt;38,"28-37",IF(CY4&lt;48,"38-47",IF(CY4&lt;58,"48-57",IF(CY4&lt;68,"58-67",IF(CY4&lt;78,"68-77","78+")))))) </f>
        <v/>
      </c>
      <c r="DA4" s="48">
        <f>IF(AND(BQ4&lt;&gt;"",BR4=""),N(BS4),0)+IF(AND(BW4&lt;&gt;"",BX4=""),N(BY4),0)+IF(AND(CC4&lt;&gt;"",CD4=""),N(CE4),0)+IF(AND(CI4&lt;&gt;"",CJ4=""),N(CK4),0)+IF(AND(CO4&lt;&gt;"",CP4=""),N(CQ4),0)</f>
        <v/>
      </c>
      <c r="DB4" s="48">
        <f>ROUND(IF(BQ4&lt;&gt;"",N(BS4)*MAX(0,((IF(BR4="",TODAY(),BR4))-BQ4)/7),0)+IF(BW4&lt;&gt;"",N(BY4)*MAX(0,((IF(BX4="",TODAY(),BX4))-BW4)/7),0)+IF(CC4&lt;&gt;"",N(CE4)*MAX(0,((IF(CD4="",TODAY(),CD4))-CC4)/7),0)+IF(CI4&lt;&gt;"",N(CK4)*MAX(0,((IF(CJ4="",TODAY(),CJ4))-CI4)/7),0)+IF(CO4&lt;&gt;"",N(CQ4)*MAX(0,((IF(CP4="",TODAY(),CP4))-CO4)/7),0),1)</f>
        <v/>
      </c>
      <c r="DC4" s="48">
        <f>IF(OR(TRIM(X4)="",TRIM(X4)="NA;",TRIM(X4)="NA"),0,1)</f>
        <v/>
      </c>
      <c r="DD4" s="48">
        <f>IF(OR(TRIM(Y4)="",TRIM(Y4)="NA;",TRIM(Y4)="NA"),0,1)</f>
        <v/>
      </c>
      <c r="DE4" s="48">
        <f>IF(OR(TRIM(Z4)="",TRIM(Z4)="NA;",TRIM(Z4)="NA"),0,1)</f>
        <v/>
      </c>
      <c r="DF4" s="48">
        <f>IF(OR(TRIM(AA4)="",TRIM(AA4)="NA;",TRIM(AA4)="NA"),0,1)</f>
        <v/>
      </c>
      <c r="DG4" s="48">
        <f>IF(OR(TRIM(AB4)="",TRIM(AB4)="NA;",TRIM(AB4)="NA"),0,1)</f>
        <v/>
      </c>
      <c r="DH4" s="48">
        <f>IF(OR(TRIM(AC4)="",TRIM(AC4)="NA;",TRIM(AC4)="NA"),0,1)</f>
        <v/>
      </c>
      <c r="DI4" s="48">
        <f>IF(OR(TRIM(AD4)="",TRIM(AD4)="NA;",TRIM(AD4)="NA"),0,1)</f>
        <v/>
      </c>
      <c r="DJ4" s="48">
        <f>TRIM(IF(DC4=1,"Mon ","")&amp;IF(DD4=1,"Tue ","")&amp;IF(DE4=1,"Wed ","")&amp;IF(DF4=1,"Thu ","")&amp;IF(DG4=1,"Fri ","")&amp;IF(DH4=1,"Sat ","")&amp;IF(DI4=1,"Sun ",""))</f>
        <v/>
      </c>
    </row>
    <row r="5">
      <c r="A5" s="48" t="inlineStr">
        <is>
          <t>T-O-00003</t>
        </is>
      </c>
      <c r="B5" s="48" t="inlineStr">
        <is>
          <t>Amir Slaytor</t>
        </is>
      </c>
      <c r="C5" s="48" t="inlineStr">
        <is>
          <t>amir.slaytor3@example.com</t>
        </is>
      </c>
      <c r="D5" s="48" t="inlineStr">
        <is>
          <t>+61 458 292 433</t>
        </is>
      </c>
      <c r="E5" s="48" t="inlineStr">
        <is>
          <t>Grace Schaffer</t>
        </is>
      </c>
      <c r="F5" s="48" t="inlineStr">
        <is>
          <t>+61 474 608 040</t>
        </is>
      </c>
      <c r="G5" s="48" t="inlineStr">
        <is>
          <t>Friend</t>
        </is>
      </c>
      <c r="H5" s="48" t="inlineStr">
        <is>
          <t>Tutor</t>
        </is>
      </c>
      <c r="I5" s="49" t="n">
        <v>45323</v>
      </c>
      <c r="J5" s="48" t="inlineStr">
        <is>
          <t>ADM-INACT-NOM&amp;T</t>
        </is>
      </c>
      <c r="K5" s="48">
        <f>IFERROR(VLOOKUP(J5,'(A) Introduction'!$B$35:$C$45,2,FALSE),"")</f>
        <v/>
      </c>
      <c r="L5" s="48" t="inlineStr">
        <is>
          <t>No</t>
        </is>
      </c>
      <c r="M5" s="48" t="inlineStr"/>
      <c r="N5" s="48" t="inlineStr"/>
      <c r="O5" s="48" t="n">
        <v>3</v>
      </c>
      <c r="P5" s="48">
        <f>IF($H5="Tutor",((BQ5&lt;&gt;"")*(BR5=""))+((BW5&lt;&gt;"")*(BX5=""))+((CC5&lt;&gt;"")*(CD5=""))+((CI5&lt;&gt;"")*(CJ5=""))+((CO5&lt;&gt;"")*(CP5="")),SUMPRODUCT(--($BO$3:$BO$202=$A5),--($BR$3:$BR$202=""))+SUMPRODUCT(--($BU$3:$BU$202=$A5),--($BX$3:$BX$202=""))+SUMPRODUCT(--($CA$3:$CA$202=$A5),--($CD$3:$CD$202=""))+SUMPRODUCT(--($CG$3:$CG$202=$A5),--($CJ$3:$CJ$202=""))+SUMPRODUCT(--($CM$3:$CM$202=$A5),--($CP$3:$CP$202="")))</f>
        <v/>
      </c>
      <c r="Q5" s="48">
        <f>IF($H5="Tutor",(BQ5&lt;&gt;"")+(BW5&lt;&gt;"")+(CC5&lt;&gt;"")+(CI5&lt;&gt;"")+(CO5&lt;&gt;""),SUMPRODUCT(--($BO$3:$BO$202=$A5))+SUMPRODUCT(--($BU$3:$BU$202=$A5))+SUMPRODUCT(--($CA$3:$CA$202=$A5))+SUMPRODUCT(--($CG$3:$CG$202=$A5))+SUMPRODUCT(--($CM$3:$CM$202=$A5)))</f>
        <v/>
      </c>
      <c r="R5" s="48">
        <f>IF($H5="Tutor",TRIM(IF(AND(BQ5&lt;&gt;"",BR5=""),BP5&amp;"; ","")&amp;IF(AND(BW5&lt;&gt;"",BX5=""),BV5&amp;"; ","")&amp;IF(AND(CC5&lt;&gt;"",CD5=""),CB5&amp;"; ","")&amp;IF(AND(CI5&lt;&gt;"",CJ5=""),CH5&amp;"; ","")&amp;IF(AND(CO5&lt;&gt;"",CP5=""),CN5&amp;"; ","")),IFERROR(INDEX($A$3:$B$202,(SUMPRODUCT(($BO$3:$BO$202=$A5)*($BR$3:$BR$202="")*ROW($BO$3:$BO$202))+SUMPRODUCT(($BU$3:$BU$202=$A5)*($BX$3:$BX$202="")*ROW($BU$3:$BU$202))+SUMPRODUCT(($CA$3:$CA$202=$A5)*($CD$3:$CD$202="")*ROW($CA$3:$CA$202))+SUMPRODUCT(($CG$3:$CG$202=$A5)*($CJ$3:$CJ$202="")*ROW($CG$3:$CG$202))+SUMPRODUCT(($CM$3:$CM$202=$A5)*($CP$3:$CP$202="")*ROW($CM$3:$CM$202)))-2,2),""))</f>
        <v/>
      </c>
      <c r="S5" s="48" t="inlineStr">
        <is>
          <t>NA</t>
        </is>
      </c>
      <c r="T5" s="48" t="inlineStr"/>
      <c r="U5" s="48" t="inlineStr"/>
      <c r="V5" s="49" t="n">
        <v>45585</v>
      </c>
      <c r="W5" s="48" t="inlineStr">
        <is>
          <t>ACDT (UTC+10:30)</t>
        </is>
      </c>
      <c r="X5" s="48" t="inlineStr">
        <is>
          <t>6pm-9pm;</t>
        </is>
      </c>
      <c r="Y5" s="48" t="inlineStr">
        <is>
          <t>9am-12pm;</t>
        </is>
      </c>
      <c r="Z5" s="48" t="inlineStr">
        <is>
          <t>12pm-3pm;</t>
        </is>
      </c>
      <c r="AA5" s="48" t="inlineStr">
        <is>
          <t>3pm-6pm;</t>
        </is>
      </c>
      <c r="AB5" s="48" t="inlineStr">
        <is>
          <t>12pm-3pm;</t>
        </is>
      </c>
      <c r="AC5" s="48" t="inlineStr">
        <is>
          <t>NA;</t>
        </is>
      </c>
      <c r="AD5" s="48" t="inlineStr">
        <is>
          <t>9am-12pm;12pm-3pm;3pm-6pm;</t>
        </is>
      </c>
      <c r="AE5" s="48" t="inlineStr">
        <is>
          <t>Online</t>
        </is>
      </c>
      <c r="AF5" s="48" t="inlineStr">
        <is>
          <t>NA - Tutor</t>
        </is>
      </c>
      <c r="AG5" s="48" t="inlineStr">
        <is>
          <t>Australia</t>
        </is>
      </c>
      <c r="AH5" s="48" t="inlineStr">
        <is>
          <t>New South Wales</t>
        </is>
      </c>
      <c r="AI5" s="48" t="inlineStr">
        <is>
          <t>Doonside</t>
        </is>
      </c>
      <c r="AJ5" s="48" t="inlineStr">
        <is>
          <t>2767</t>
        </is>
      </c>
      <c r="AK5" s="49" t="n">
        <v>34901</v>
      </c>
      <c r="AL5" s="48" t="inlineStr">
        <is>
          <t>Male</t>
        </is>
      </c>
      <c r="AM5" s="48" t="inlineStr">
        <is>
          <t>NA</t>
        </is>
      </c>
      <c r="AN5" s="48" t="inlineStr">
        <is>
          <t>NA - Tutor</t>
        </is>
      </c>
      <c r="AO5" s="48" t="inlineStr">
        <is>
          <t>Low</t>
        </is>
      </c>
      <c r="AP5" s="48" t="inlineStr">
        <is>
          <t>Australia</t>
        </is>
      </c>
      <c r="AQ5" s="48" t="inlineStr">
        <is>
          <t>NA</t>
        </is>
      </c>
      <c r="AR5" s="48" t="inlineStr">
        <is>
          <t>English (C2)</t>
        </is>
      </c>
      <c r="AS5" s="48" t="inlineStr">
        <is>
          <t>Christian (Catholic)</t>
        </is>
      </c>
      <c r="AT5" s="48" t="inlineStr">
        <is>
          <t>Arts, Media &amp; Design</t>
        </is>
      </c>
      <c r="AU5" s="48" t="inlineStr">
        <is>
          <t>Retail</t>
        </is>
      </c>
      <c r="AV5" s="48" t="inlineStr">
        <is>
          <t>NA - Tutor</t>
        </is>
      </c>
      <c r="AW5" s="48" t="inlineStr">
        <is>
          <t>Cooking; Reading; Music</t>
        </is>
      </c>
      <c r="AX5" s="48" t="inlineStr">
        <is>
          <t>NA - Tutor</t>
        </is>
      </c>
      <c r="AY5" s="48" t="inlineStr">
        <is>
          <t>Yes</t>
        </is>
      </c>
      <c r="AZ5" s="48" t="inlineStr">
        <is>
          <t>Yes</t>
        </is>
      </c>
      <c r="BA5" s="48" t="inlineStr">
        <is>
          <t>Jose Levi</t>
        </is>
      </c>
      <c r="BB5" s="48" t="inlineStr">
        <is>
          <t>Academic Referee</t>
        </is>
      </c>
      <c r="BC5" s="48" t="inlineStr">
        <is>
          <t>lina.ibrahim503@example.com</t>
        </is>
      </c>
      <c r="BD5" s="48" t="inlineStr">
        <is>
          <t>Pending</t>
        </is>
      </c>
      <c r="BE5" s="48" t="inlineStr"/>
      <c r="BF5" s="48" t="inlineStr"/>
      <c r="BG5" s="48" t="inlineStr">
        <is>
          <t>Yes</t>
        </is>
      </c>
      <c r="BH5" s="48" t="inlineStr">
        <is>
          <t>Adults Only</t>
        </is>
      </c>
      <c r="BI5" s="48" t="inlineStr">
        <is>
          <t>Kaldor Centre for International Refugee Law</t>
        </is>
      </c>
      <c r="BJ5" s="48" t="inlineStr">
        <is>
          <t>MCCRORIE John</t>
        </is>
      </c>
      <c r="BK5" s="48" t="inlineStr">
        <is>
          <t>CROCK Mary</t>
        </is>
      </c>
      <c r="BL5" s="48" t="inlineStr">
        <is>
          <t>Synthetic test record.</t>
        </is>
      </c>
      <c r="BM5" s="48" t="inlineStr"/>
      <c r="BN5" s="48">
        <f>TRIM(IF(AND($H5="Student",$J5="ADM-ACT-MAT-CNE"),"Invalid: Student cannot be CNE. ","")&amp;IF(AND($H5="Student",ISNUMBER($O5)),"Check: capacity set for a Student. ","")&amp;IF(AND(LEFT($J5,11)="ADM-ACT-MAT",$P5=0),"Check: matched status but 0 active pairings. ","")&amp;IF(AND($H5="Tutor",ISNUMBER($O5),$P5&gt;$O5),"Check: pairings exceed capacity. ","")&amp;IF(AND($BH5="Everyone",NOT(AND($BD5="Yes",$BG5="Yes"))),"Check: approved to tutor children but WWCC not provided/confirmed. ","")&amp;IF(AND($P5&gt;0,NOT(AND(OR(LEFT($AY5,3)="Yes",LEFT($AY5,2)="NA"),OR(LEFT($AZ5,3)="Yes",LEFT($AZ5,2)="NA")))),"Matched but vetting incomplete (interview/reference). ","")&amp;IF(COUNTIF($B$3:$B$600,$B5)&gt;1,"Duplicate participant name. ",""))</f>
        <v/>
      </c>
      <c r="BO5" s="48" t="inlineStr"/>
      <c r="BP5" s="48" t="inlineStr"/>
      <c r="BQ5" s="48" t="inlineStr"/>
      <c r="BR5" s="48" t="inlineStr"/>
      <c r="BS5" s="48" t="inlineStr"/>
      <c r="BT5" s="48" t="inlineStr"/>
      <c r="BU5" s="48" t="inlineStr"/>
      <c r="BV5" s="48" t="inlineStr"/>
      <c r="BW5" s="48" t="inlineStr"/>
      <c r="BX5" s="48" t="inlineStr"/>
      <c r="BY5" s="48" t="inlineStr"/>
      <c r="BZ5" s="48" t="inlineStr"/>
      <c r="CA5" s="48" t="inlineStr"/>
      <c r="CB5" s="48" t="inlineStr"/>
      <c r="CC5" s="48" t="inlineStr"/>
      <c r="CD5" s="48" t="inlineStr"/>
      <c r="CE5" s="48" t="inlineStr"/>
      <c r="CF5" s="48" t="inlineStr"/>
      <c r="CG5" s="48" t="inlineStr"/>
      <c r="CH5" s="48" t="inlineStr"/>
      <c r="CI5" s="48" t="inlineStr"/>
      <c r="CJ5" s="48" t="inlineStr"/>
      <c r="CK5" s="48" t="inlineStr"/>
      <c r="CL5" s="48" t="inlineStr"/>
      <c r="CM5" s="48" t="inlineStr"/>
      <c r="CN5" s="48" t="inlineStr"/>
      <c r="CO5" s="48" t="inlineStr"/>
      <c r="CP5" s="48" t="inlineStr"/>
      <c r="CQ5" s="48" t="inlineStr"/>
      <c r="CR5" s="48" t="inlineStr"/>
      <c r="CS5" s="48">
        <f>IF(LEFT($J5,3)="ERR",0,1)</f>
        <v/>
      </c>
      <c r="CT5" s="48">
        <f>IF(LEFT($J5,3)="ADM",1,0)</f>
        <v/>
      </c>
      <c r="CU5" s="48">
        <f>IF(OR($J5="ADM-ACT-MAT-CNE",$J5="ADM-ACT-MAT-CE",$J5="ADM-INACT-M&amp;T"),1,0)</f>
        <v/>
      </c>
      <c r="CV5" s="48">
        <f>IF(AND(CU5=1,ISNUMBER(M5),ISNUMBER(I5)),M5-I5,"")</f>
        <v/>
      </c>
      <c r="CW5" s="48">
        <f>IF(ISNUMBER(I5),TODAY()-I5,"")</f>
        <v/>
      </c>
      <c r="CX5" s="48">
        <f>IF(ISNUMBER(I5),DATE(YEAR(I5),MONTH(I5),1),"")</f>
        <v/>
      </c>
      <c r="CY5" s="48">
        <f>IFERROR(DATEDIF(AK5,TODAY(),"y"),"")</f>
        <v/>
      </c>
      <c r="CZ5" s="48">
        <f>IF(CY5="","",IF(CY5&lt;28,"18-27",IF(CY5&lt;38,"28-37",IF(CY5&lt;48,"38-47",IF(CY5&lt;58,"48-57",IF(CY5&lt;68,"58-67",IF(CY5&lt;78,"68-77","78+")))))) </f>
        <v/>
      </c>
      <c r="DA5" s="48">
        <f>IF(AND(BQ5&lt;&gt;"",BR5=""),N(BS5),0)+IF(AND(BW5&lt;&gt;"",BX5=""),N(BY5),0)+IF(AND(CC5&lt;&gt;"",CD5=""),N(CE5),0)+IF(AND(CI5&lt;&gt;"",CJ5=""),N(CK5),0)+IF(AND(CO5&lt;&gt;"",CP5=""),N(CQ5),0)</f>
        <v/>
      </c>
      <c r="DB5" s="48">
        <f>ROUND(IF(BQ5&lt;&gt;"",N(BS5)*MAX(0,((IF(BR5="",TODAY(),BR5))-BQ5)/7),0)+IF(BW5&lt;&gt;"",N(BY5)*MAX(0,((IF(BX5="",TODAY(),BX5))-BW5)/7),0)+IF(CC5&lt;&gt;"",N(CE5)*MAX(0,((IF(CD5="",TODAY(),CD5))-CC5)/7),0)+IF(CI5&lt;&gt;"",N(CK5)*MAX(0,((IF(CJ5="",TODAY(),CJ5))-CI5)/7),0)+IF(CO5&lt;&gt;"",N(CQ5)*MAX(0,((IF(CP5="",TODAY(),CP5))-CO5)/7),0),1)</f>
        <v/>
      </c>
      <c r="DC5" s="48">
        <f>IF(OR(TRIM(X5)="",TRIM(X5)="NA;",TRIM(X5)="NA"),0,1)</f>
        <v/>
      </c>
      <c r="DD5" s="48">
        <f>IF(OR(TRIM(Y5)="",TRIM(Y5)="NA;",TRIM(Y5)="NA"),0,1)</f>
        <v/>
      </c>
      <c r="DE5" s="48">
        <f>IF(OR(TRIM(Z5)="",TRIM(Z5)="NA;",TRIM(Z5)="NA"),0,1)</f>
        <v/>
      </c>
      <c r="DF5" s="48">
        <f>IF(OR(TRIM(AA5)="",TRIM(AA5)="NA;",TRIM(AA5)="NA"),0,1)</f>
        <v/>
      </c>
      <c r="DG5" s="48">
        <f>IF(OR(TRIM(AB5)="",TRIM(AB5)="NA;",TRIM(AB5)="NA"),0,1)</f>
        <v/>
      </c>
      <c r="DH5" s="48">
        <f>IF(OR(TRIM(AC5)="",TRIM(AC5)="NA;",TRIM(AC5)="NA"),0,1)</f>
        <v/>
      </c>
      <c r="DI5" s="48">
        <f>IF(OR(TRIM(AD5)="",TRIM(AD5)="NA;",TRIM(AD5)="NA"),0,1)</f>
        <v/>
      </c>
      <c r="DJ5" s="48">
        <f>TRIM(IF(DC5=1,"Mon ","")&amp;IF(DD5=1,"Tue ","")&amp;IF(DE5=1,"Wed ","")&amp;IF(DF5=1,"Thu ","")&amp;IF(DG5=1,"Fri ","")&amp;IF(DH5=1,"Sat ","")&amp;IF(DI5=1,"Sun ",""))</f>
        <v/>
      </c>
    </row>
    <row r="6">
      <c r="A6" s="48" t="inlineStr">
        <is>
          <t>T-O-00004</t>
        </is>
      </c>
      <c r="B6" s="48" t="inlineStr">
        <is>
          <t>Hannah Marks</t>
        </is>
      </c>
      <c r="C6" s="48" t="inlineStr">
        <is>
          <t>hannah.marks4@example.com</t>
        </is>
      </c>
      <c r="D6" s="48" t="inlineStr">
        <is>
          <t>+61 433 405 134</t>
        </is>
      </c>
      <c r="E6" s="48" t="inlineStr">
        <is>
          <t>Hannah Young</t>
        </is>
      </c>
      <c r="F6" s="48" t="inlineStr">
        <is>
          <t>+61 438 954 679</t>
        </is>
      </c>
      <c r="G6" s="48" t="inlineStr">
        <is>
          <t>Spouse</t>
        </is>
      </c>
      <c r="H6" s="48" t="inlineStr">
        <is>
          <t>Tutor</t>
        </is>
      </c>
      <c r="I6" s="49" t="n">
        <v>45326</v>
      </c>
      <c r="J6" s="48" t="inlineStr">
        <is>
          <t>ADM-INACT-NOM&amp;T</t>
        </is>
      </c>
      <c r="K6" s="48">
        <f>IFERROR(VLOOKUP(J6,'(A) Introduction'!$B$35:$C$45,2,FALSE),"")</f>
        <v/>
      </c>
      <c r="L6" s="48" t="inlineStr">
        <is>
          <t>No</t>
        </is>
      </c>
      <c r="M6" s="48" t="inlineStr"/>
      <c r="N6" s="48" t="inlineStr"/>
      <c r="O6" s="48" t="n">
        <v>2</v>
      </c>
      <c r="P6" s="48">
        <f>IF($H6="Tutor",((BQ6&lt;&gt;"")*(BR6=""))+((BW6&lt;&gt;"")*(BX6=""))+((CC6&lt;&gt;"")*(CD6=""))+((CI6&lt;&gt;"")*(CJ6=""))+((CO6&lt;&gt;"")*(CP6="")),SUMPRODUCT(--($BO$3:$BO$202=$A6),--($BR$3:$BR$202=""))+SUMPRODUCT(--($BU$3:$BU$202=$A6),--($BX$3:$BX$202=""))+SUMPRODUCT(--($CA$3:$CA$202=$A6),--($CD$3:$CD$202=""))+SUMPRODUCT(--($CG$3:$CG$202=$A6),--($CJ$3:$CJ$202=""))+SUMPRODUCT(--($CM$3:$CM$202=$A6),--($CP$3:$CP$202="")))</f>
        <v/>
      </c>
      <c r="Q6" s="48">
        <f>IF($H6="Tutor",(BQ6&lt;&gt;"")+(BW6&lt;&gt;"")+(CC6&lt;&gt;"")+(CI6&lt;&gt;"")+(CO6&lt;&gt;""),SUMPRODUCT(--($BO$3:$BO$202=$A6))+SUMPRODUCT(--($BU$3:$BU$202=$A6))+SUMPRODUCT(--($CA$3:$CA$202=$A6))+SUMPRODUCT(--($CG$3:$CG$202=$A6))+SUMPRODUCT(--($CM$3:$CM$202=$A6)))</f>
        <v/>
      </c>
      <c r="R6" s="48">
        <f>IF($H6="Tutor",TRIM(IF(AND(BQ6&lt;&gt;"",BR6=""),BP6&amp;"; ","")&amp;IF(AND(BW6&lt;&gt;"",BX6=""),BV6&amp;"; ","")&amp;IF(AND(CC6&lt;&gt;"",CD6=""),CB6&amp;"; ","")&amp;IF(AND(CI6&lt;&gt;"",CJ6=""),CH6&amp;"; ","")&amp;IF(AND(CO6&lt;&gt;"",CP6=""),CN6&amp;"; ","")),IFERROR(INDEX($A$3:$B$202,(SUMPRODUCT(($BO$3:$BO$202=$A6)*($BR$3:$BR$202="")*ROW($BO$3:$BO$202))+SUMPRODUCT(($BU$3:$BU$202=$A6)*($BX$3:$BX$202="")*ROW($BU$3:$BU$202))+SUMPRODUCT(($CA$3:$CA$202=$A6)*($CD$3:$CD$202="")*ROW($CA$3:$CA$202))+SUMPRODUCT(($CG$3:$CG$202=$A6)*($CJ$3:$CJ$202="")*ROW($CG$3:$CG$202))+SUMPRODUCT(($CM$3:$CM$202=$A6)*($CP$3:$CP$202="")*ROW($CM$3:$CM$202)))-2,2),""))</f>
        <v/>
      </c>
      <c r="S6" s="48" t="inlineStr">
        <is>
          <t>Not Provided</t>
        </is>
      </c>
      <c r="T6" s="48" t="inlineStr"/>
      <c r="U6" s="48" t="inlineStr"/>
      <c r="V6" s="49" t="n">
        <v>45576</v>
      </c>
      <c r="W6" s="48" t="inlineStr">
        <is>
          <t>AEST (UTC+10)</t>
        </is>
      </c>
      <c r="X6" s="48" t="inlineStr">
        <is>
          <t>6pm-9pm;</t>
        </is>
      </c>
      <c r="Y6" s="48" t="inlineStr">
        <is>
          <t>NA;</t>
        </is>
      </c>
      <c r="Z6" s="48" t="inlineStr">
        <is>
          <t>6pm-9pm;</t>
        </is>
      </c>
      <c r="AA6" s="48" t="inlineStr">
        <is>
          <t>6pm-9pm;</t>
        </is>
      </c>
      <c r="AB6" s="48" t="inlineStr">
        <is>
          <t>6pm-9pm;</t>
        </is>
      </c>
      <c r="AC6" s="48" t="inlineStr">
        <is>
          <t>9am-12pm;12pm-3pm;3pm-6pm;</t>
        </is>
      </c>
      <c r="AD6" s="48" t="inlineStr">
        <is>
          <t>12pm-3pm;</t>
        </is>
      </c>
      <c r="AE6" s="48" t="inlineStr">
        <is>
          <t>Either</t>
        </is>
      </c>
      <c r="AF6" s="48" t="inlineStr">
        <is>
          <t>NA - Tutor</t>
        </is>
      </c>
      <c r="AG6" s="48" t="inlineStr">
        <is>
          <t>Australia</t>
        </is>
      </c>
      <c r="AH6" s="48" t="inlineStr">
        <is>
          <t>New South Wales</t>
        </is>
      </c>
      <c r="AI6" s="48" t="inlineStr">
        <is>
          <t>Eastlakes</t>
        </is>
      </c>
      <c r="AJ6" s="48" t="inlineStr">
        <is>
          <t>2018</t>
        </is>
      </c>
      <c r="AK6" s="49" t="n">
        <v>26992</v>
      </c>
      <c r="AL6" s="48" t="inlineStr">
        <is>
          <t>Female</t>
        </is>
      </c>
      <c r="AM6" s="48" t="inlineStr">
        <is>
          <t>NA</t>
        </is>
      </c>
      <c r="AN6" s="48" t="inlineStr">
        <is>
          <t>NA - Tutor</t>
        </is>
      </c>
      <c r="AO6" s="48" t="inlineStr">
        <is>
          <t>High</t>
        </is>
      </c>
      <c r="AP6" s="48" t="inlineStr">
        <is>
          <t>Australia</t>
        </is>
      </c>
      <c r="AQ6" s="48" t="inlineStr">
        <is>
          <t>NA</t>
        </is>
      </c>
      <c r="AR6" s="48" t="inlineStr">
        <is>
          <t>English (C2)</t>
        </is>
      </c>
      <c r="AS6" s="48" t="inlineStr">
        <is>
          <t>Buddhist</t>
        </is>
      </c>
      <c r="AT6" s="48" t="inlineStr">
        <is>
          <t>Health &amp; Medicine</t>
        </is>
      </c>
      <c r="AU6" s="48" t="inlineStr">
        <is>
          <t>Nurse</t>
        </is>
      </c>
      <c r="AV6" s="48" t="inlineStr">
        <is>
          <t>NA - Tutor</t>
        </is>
      </c>
      <c r="AW6" s="48" t="inlineStr">
        <is>
          <t>Art; Photography; Travel</t>
        </is>
      </c>
      <c r="AX6" s="48" t="inlineStr">
        <is>
          <t>NA - Tutor</t>
        </is>
      </c>
      <c r="AY6" s="48" t="inlineStr">
        <is>
          <t>No</t>
        </is>
      </c>
      <c r="AZ6" s="48" t="inlineStr">
        <is>
          <t>No</t>
        </is>
      </c>
      <c r="BA6" s="48" t="inlineStr">
        <is>
          <t>Nadia Stanley</t>
        </is>
      </c>
      <c r="BB6" s="48" t="inlineStr">
        <is>
          <t>Colleague</t>
        </is>
      </c>
      <c r="BC6" s="48" t="inlineStr">
        <is>
          <t>fatima.young504@example.com</t>
        </is>
      </c>
      <c r="BD6" s="48" t="inlineStr">
        <is>
          <t>Pending</t>
        </is>
      </c>
      <c r="BE6" s="48" t="inlineStr"/>
      <c r="BF6" s="48" t="inlineStr"/>
      <c r="BG6" s="48" t="inlineStr">
        <is>
          <t>No</t>
        </is>
      </c>
      <c r="BH6" s="48" t="inlineStr">
        <is>
          <t>Adults Only</t>
        </is>
      </c>
      <c r="BI6" s="48" t="inlineStr">
        <is>
          <t>Tasmania University (including the Law Society)</t>
        </is>
      </c>
      <c r="BJ6" s="48" t="inlineStr">
        <is>
          <t>SHANAHAN Jack</t>
        </is>
      </c>
      <c r="BK6" s="48" t="inlineStr">
        <is>
          <t>AGARWAL Akanksha</t>
        </is>
      </c>
      <c r="BL6" s="48" t="inlineStr">
        <is>
          <t>Synthetic test record.</t>
        </is>
      </c>
      <c r="BM6" s="48" t="inlineStr"/>
      <c r="BN6" s="48">
        <f>TRIM(IF(AND($H6="Student",$J6="ADM-ACT-MAT-CNE"),"Invalid: Student cannot be CNE. ","")&amp;IF(AND($H6="Student",ISNUMBER($O6)),"Check: capacity set for a Student. ","")&amp;IF(AND(LEFT($J6,11)="ADM-ACT-MAT",$P6=0),"Check: matched status but 0 active pairings. ","")&amp;IF(AND($H6="Tutor",ISNUMBER($O6),$P6&gt;$O6),"Check: pairings exceed capacity. ","")&amp;IF(AND($BH6="Everyone",NOT(AND($BD6="Yes",$BG6="Yes"))),"Check: approved to tutor children but WWCC not provided/confirmed. ","")&amp;IF(AND($P6&gt;0,NOT(AND(OR(LEFT($AY6,3)="Yes",LEFT($AY6,2)="NA"),OR(LEFT($AZ6,3)="Yes",LEFT($AZ6,2)="NA")))),"Matched but vetting incomplete (interview/reference). ","")&amp;IF(COUNTIF($B$3:$B$600,$B6)&gt;1,"Duplicate participant name. ",""))</f>
        <v/>
      </c>
      <c r="BO6" s="48" t="inlineStr"/>
      <c r="BP6" s="48" t="inlineStr"/>
      <c r="BQ6" s="48" t="inlineStr"/>
      <c r="BR6" s="48" t="inlineStr"/>
      <c r="BS6" s="48" t="inlineStr"/>
      <c r="BT6" s="48" t="inlineStr"/>
      <c r="BU6" s="48" t="inlineStr"/>
      <c r="BV6" s="48" t="inlineStr"/>
      <c r="BW6" s="48" t="inlineStr"/>
      <c r="BX6" s="48" t="inlineStr"/>
      <c r="BY6" s="48" t="inlineStr"/>
      <c r="BZ6" s="48" t="inlineStr"/>
      <c r="CA6" s="48" t="inlineStr"/>
      <c r="CB6" s="48" t="inlineStr"/>
      <c r="CC6" s="48" t="inlineStr"/>
      <c r="CD6" s="48" t="inlineStr"/>
      <c r="CE6" s="48" t="inlineStr"/>
      <c r="CF6" s="48" t="inlineStr"/>
      <c r="CG6" s="48" t="inlineStr"/>
      <c r="CH6" s="48" t="inlineStr"/>
      <c r="CI6" s="48" t="inlineStr"/>
      <c r="CJ6" s="48" t="inlineStr"/>
      <c r="CK6" s="48" t="inlineStr"/>
      <c r="CL6" s="48" t="inlineStr"/>
      <c r="CM6" s="48" t="inlineStr"/>
      <c r="CN6" s="48" t="inlineStr"/>
      <c r="CO6" s="48" t="inlineStr"/>
      <c r="CP6" s="48" t="inlineStr"/>
      <c r="CQ6" s="48" t="inlineStr"/>
      <c r="CR6" s="48" t="inlineStr"/>
      <c r="CS6" s="48">
        <f>IF(LEFT($J6,3)="ERR",0,1)</f>
        <v/>
      </c>
      <c r="CT6" s="48">
        <f>IF(LEFT($J6,3)="ADM",1,0)</f>
        <v/>
      </c>
      <c r="CU6" s="48">
        <f>IF(OR($J6="ADM-ACT-MAT-CNE",$J6="ADM-ACT-MAT-CE",$J6="ADM-INACT-M&amp;T"),1,0)</f>
        <v/>
      </c>
      <c r="CV6" s="48">
        <f>IF(AND(CU6=1,ISNUMBER(M6),ISNUMBER(I6)),M6-I6,"")</f>
        <v/>
      </c>
      <c r="CW6" s="48">
        <f>IF(ISNUMBER(I6),TODAY()-I6,"")</f>
        <v/>
      </c>
      <c r="CX6" s="48">
        <f>IF(ISNUMBER(I6),DATE(YEAR(I6),MONTH(I6),1),"")</f>
        <v/>
      </c>
      <c r="CY6" s="48">
        <f>IFERROR(DATEDIF(AK6,TODAY(),"y"),"")</f>
        <v/>
      </c>
      <c r="CZ6" s="48">
        <f>IF(CY6="","",IF(CY6&lt;28,"18-27",IF(CY6&lt;38,"28-37",IF(CY6&lt;48,"38-47",IF(CY6&lt;58,"48-57",IF(CY6&lt;68,"58-67",IF(CY6&lt;78,"68-77","78+")))))) </f>
        <v/>
      </c>
      <c r="DA6" s="48">
        <f>IF(AND(BQ6&lt;&gt;"",BR6=""),N(BS6),0)+IF(AND(BW6&lt;&gt;"",BX6=""),N(BY6),0)+IF(AND(CC6&lt;&gt;"",CD6=""),N(CE6),0)+IF(AND(CI6&lt;&gt;"",CJ6=""),N(CK6),0)+IF(AND(CO6&lt;&gt;"",CP6=""),N(CQ6),0)</f>
        <v/>
      </c>
      <c r="DB6" s="48">
        <f>ROUND(IF(BQ6&lt;&gt;"",N(BS6)*MAX(0,((IF(BR6="",TODAY(),BR6))-BQ6)/7),0)+IF(BW6&lt;&gt;"",N(BY6)*MAX(0,((IF(BX6="",TODAY(),BX6))-BW6)/7),0)+IF(CC6&lt;&gt;"",N(CE6)*MAX(0,((IF(CD6="",TODAY(),CD6))-CC6)/7),0)+IF(CI6&lt;&gt;"",N(CK6)*MAX(0,((IF(CJ6="",TODAY(),CJ6))-CI6)/7),0)+IF(CO6&lt;&gt;"",N(CQ6)*MAX(0,((IF(CP6="",TODAY(),CP6))-CO6)/7),0),1)</f>
        <v/>
      </c>
      <c r="DC6" s="48">
        <f>IF(OR(TRIM(X6)="",TRIM(X6)="NA;",TRIM(X6)="NA"),0,1)</f>
        <v/>
      </c>
      <c r="DD6" s="48">
        <f>IF(OR(TRIM(Y6)="",TRIM(Y6)="NA;",TRIM(Y6)="NA"),0,1)</f>
        <v/>
      </c>
      <c r="DE6" s="48">
        <f>IF(OR(TRIM(Z6)="",TRIM(Z6)="NA;",TRIM(Z6)="NA"),0,1)</f>
        <v/>
      </c>
      <c r="DF6" s="48">
        <f>IF(OR(TRIM(AA6)="",TRIM(AA6)="NA;",TRIM(AA6)="NA"),0,1)</f>
        <v/>
      </c>
      <c r="DG6" s="48">
        <f>IF(OR(TRIM(AB6)="",TRIM(AB6)="NA;",TRIM(AB6)="NA"),0,1)</f>
        <v/>
      </c>
      <c r="DH6" s="48">
        <f>IF(OR(TRIM(AC6)="",TRIM(AC6)="NA;",TRIM(AC6)="NA"),0,1)</f>
        <v/>
      </c>
      <c r="DI6" s="48">
        <f>IF(OR(TRIM(AD6)="",TRIM(AD6)="NA;",TRIM(AD6)="NA"),0,1)</f>
        <v/>
      </c>
      <c r="DJ6" s="48">
        <f>TRIM(IF(DC6=1,"Mon ","")&amp;IF(DD6=1,"Tue ","")&amp;IF(DE6=1,"Wed ","")&amp;IF(DF6=1,"Thu ","")&amp;IF(DG6=1,"Fri ","")&amp;IF(DH6=1,"Sat ","")&amp;IF(DI6=1,"Sun ",""))</f>
        <v/>
      </c>
    </row>
    <row r="7">
      <c r="A7" s="48" t="inlineStr">
        <is>
          <t>T-O-00005</t>
        </is>
      </c>
      <c r="B7" s="48" t="inlineStr">
        <is>
          <t>Sofia Ng</t>
        </is>
      </c>
      <c r="C7" s="48" t="inlineStr">
        <is>
          <t>sofia.ng5@example.com</t>
        </is>
      </c>
      <c r="D7" s="48" t="inlineStr">
        <is>
          <t>+61 477 215 734</t>
        </is>
      </c>
      <c r="E7" s="48" t="inlineStr">
        <is>
          <t>Karim Wright</t>
        </is>
      </c>
      <c r="F7" s="48" t="inlineStr">
        <is>
          <t>+61 470 151 440</t>
        </is>
      </c>
      <c r="G7" s="48" t="inlineStr">
        <is>
          <t>Parent</t>
        </is>
      </c>
      <c r="H7" s="48" t="inlineStr">
        <is>
          <t>Tutor</t>
        </is>
      </c>
      <c r="I7" s="49" t="n">
        <v>45328</v>
      </c>
      <c r="J7" s="48" t="inlineStr">
        <is>
          <t>ADM-ACT-MAT-CNE</t>
        </is>
      </c>
      <c r="K7" s="48">
        <f>IFERROR(VLOOKUP(J7,'(A) Introduction'!$B$35:$C$45,2,FALSE),"")</f>
        <v/>
      </c>
      <c r="L7" s="48" t="inlineStr">
        <is>
          <t>No</t>
        </is>
      </c>
      <c r="M7" s="48" t="inlineStr"/>
      <c r="N7" s="48" t="inlineStr"/>
      <c r="O7" s="48" t="n">
        <v>3</v>
      </c>
      <c r="P7" s="48">
        <f>IF($H7="Tutor",((BQ7&lt;&gt;"")*(BR7=""))+((BW7&lt;&gt;"")*(BX7=""))+((CC7&lt;&gt;"")*(CD7=""))+((CI7&lt;&gt;"")*(CJ7=""))+((CO7&lt;&gt;"")*(CP7="")),SUMPRODUCT(--($BO$3:$BO$202=$A7),--($BR$3:$BR$202=""))+SUMPRODUCT(--($BU$3:$BU$202=$A7),--($BX$3:$BX$202=""))+SUMPRODUCT(--($CA$3:$CA$202=$A7),--($CD$3:$CD$202=""))+SUMPRODUCT(--($CG$3:$CG$202=$A7),--($CJ$3:$CJ$202=""))+SUMPRODUCT(--($CM$3:$CM$202=$A7),--($CP$3:$CP$202="")))</f>
        <v/>
      </c>
      <c r="Q7" s="48">
        <f>IF($H7="Tutor",(BQ7&lt;&gt;"")+(BW7&lt;&gt;"")+(CC7&lt;&gt;"")+(CI7&lt;&gt;"")+(CO7&lt;&gt;""),SUMPRODUCT(--($BO$3:$BO$202=$A7))+SUMPRODUCT(--($BU$3:$BU$202=$A7))+SUMPRODUCT(--($CA$3:$CA$202=$A7))+SUMPRODUCT(--($CG$3:$CG$202=$A7))+SUMPRODUCT(--($CM$3:$CM$202=$A7)))</f>
        <v/>
      </c>
      <c r="R7" s="48">
        <f>IF($H7="Tutor",TRIM(IF(AND(BQ7&lt;&gt;"",BR7=""),BP7&amp;"; ","")&amp;IF(AND(BW7&lt;&gt;"",BX7=""),BV7&amp;"; ","")&amp;IF(AND(CC7&lt;&gt;"",CD7=""),CB7&amp;"; ","")&amp;IF(AND(CI7&lt;&gt;"",CJ7=""),CH7&amp;"; ","")&amp;IF(AND(CO7&lt;&gt;"",CP7=""),CN7&amp;"; ","")),IFERROR(INDEX($A$3:$B$202,(SUMPRODUCT(($BO$3:$BO$202=$A7)*($BR$3:$BR$202="")*ROW($BO$3:$BO$202))+SUMPRODUCT(($BU$3:$BU$202=$A7)*($BX$3:$BX$202="")*ROW($BU$3:$BU$202))+SUMPRODUCT(($CA$3:$CA$202=$A7)*($CD$3:$CD$202="")*ROW($CA$3:$CA$202))+SUMPRODUCT(($CG$3:$CG$202=$A7)*($CJ$3:$CJ$202="")*ROW($CG$3:$CG$202))+SUMPRODUCT(($CM$3:$CM$202=$A7)*($CP$3:$CP$202="")*ROW($CM$3:$CM$202)))-2,2),""))</f>
        <v/>
      </c>
      <c r="S7" s="48" t="inlineStr">
        <is>
          <t>Provided</t>
        </is>
      </c>
      <c r="T7" s="48" t="inlineStr"/>
      <c r="U7" s="48" t="inlineStr"/>
      <c r="V7" s="49" t="n">
        <v>45761</v>
      </c>
      <c r="W7" s="48" t="inlineStr">
        <is>
          <t>ACDT (UTC+10:30)</t>
        </is>
      </c>
      <c r="X7" s="48" t="inlineStr">
        <is>
          <t>3pm-6pm;</t>
        </is>
      </c>
      <c r="Y7" s="48" t="inlineStr">
        <is>
          <t>9am-12pm;12pm-3pm;3pm-6pm;</t>
        </is>
      </c>
      <c r="Z7" s="48" t="inlineStr">
        <is>
          <t>6pm-9pm;</t>
        </is>
      </c>
      <c r="AA7" s="48" t="inlineStr">
        <is>
          <t>3pm-6pm;</t>
        </is>
      </c>
      <c r="AB7" s="48" t="inlineStr">
        <is>
          <t>NA;</t>
        </is>
      </c>
      <c r="AC7" s="48" t="inlineStr">
        <is>
          <t>6pm-9pm;</t>
        </is>
      </c>
      <c r="AD7" s="48" t="inlineStr">
        <is>
          <t>12pm-3pm;6pm-9pm;</t>
        </is>
      </c>
      <c r="AE7" s="48" t="inlineStr">
        <is>
          <t>In-Person</t>
        </is>
      </c>
      <c r="AF7" s="48" t="inlineStr">
        <is>
          <t>NA - Tutor</t>
        </is>
      </c>
      <c r="AG7" s="48" t="inlineStr">
        <is>
          <t>Australia</t>
        </is>
      </c>
      <c r="AH7" s="48" t="inlineStr">
        <is>
          <t>New South Wales</t>
        </is>
      </c>
      <c r="AI7" s="48" t="inlineStr">
        <is>
          <t>Auburn</t>
        </is>
      </c>
      <c r="AJ7" s="48" t="inlineStr">
        <is>
          <t>2144</t>
        </is>
      </c>
      <c r="AK7" s="49" t="n">
        <v>23369</v>
      </c>
      <c r="AL7" s="48" t="inlineStr">
        <is>
          <t>Female</t>
        </is>
      </c>
      <c r="AM7" s="48" t="inlineStr">
        <is>
          <t>NA</t>
        </is>
      </c>
      <c r="AN7" s="48" t="inlineStr">
        <is>
          <t>NA - Tutor</t>
        </is>
      </c>
      <c r="AO7" s="48" t="inlineStr">
        <is>
          <t>High</t>
        </is>
      </c>
      <c r="AP7" s="48" t="inlineStr">
        <is>
          <t>Australia</t>
        </is>
      </c>
      <c r="AQ7" s="48" t="inlineStr">
        <is>
          <t>NA</t>
        </is>
      </c>
      <c r="AR7" s="48" t="inlineStr">
        <is>
          <t>English (C2)</t>
        </is>
      </c>
      <c r="AS7" s="48" t="inlineStr">
        <is>
          <t>None</t>
        </is>
      </c>
      <c r="AT7" s="48" t="inlineStr">
        <is>
          <t>Childcare &amp; Aged Care</t>
        </is>
      </c>
      <c r="AU7" s="48" t="inlineStr">
        <is>
          <t>Lawyer</t>
        </is>
      </c>
      <c r="AV7" s="48" t="inlineStr">
        <is>
          <t>NA - Tutor</t>
        </is>
      </c>
      <c r="AW7" s="48" t="inlineStr">
        <is>
          <t>Football; Cooking; Family</t>
        </is>
      </c>
      <c r="AX7" s="48" t="inlineStr">
        <is>
          <t>NA - Tutor</t>
        </is>
      </c>
      <c r="AY7" s="48" t="inlineStr">
        <is>
          <t>NA - RELT Member Verified</t>
        </is>
      </c>
      <c r="AZ7" s="48" t="inlineStr">
        <is>
          <t>Yes</t>
        </is>
      </c>
      <c r="BA7" s="48" t="inlineStr">
        <is>
          <t>Olha Bourne</t>
        </is>
      </c>
      <c r="BB7" s="48" t="inlineStr">
        <is>
          <t>Academic Referee</t>
        </is>
      </c>
      <c r="BC7" s="48" t="inlineStr">
        <is>
          <t>olha.yang505@example.com</t>
        </is>
      </c>
      <c r="BD7" s="48" t="inlineStr">
        <is>
          <t>Yes</t>
        </is>
      </c>
      <c r="BE7" s="48" t="inlineStr">
        <is>
          <t>WWC5747180V</t>
        </is>
      </c>
      <c r="BF7" s="49" t="n">
        <v>46136</v>
      </c>
      <c r="BG7" s="48" t="inlineStr">
        <is>
          <t>Yes</t>
        </is>
      </c>
      <c r="BH7" s="48" t="inlineStr">
        <is>
          <t>Adults Only</t>
        </is>
      </c>
      <c r="BI7" s="48" t="inlineStr">
        <is>
          <t>CareerSeekers</t>
        </is>
      </c>
      <c r="BJ7" s="48" t="inlineStr">
        <is>
          <t>SHANAHAN Jack</t>
        </is>
      </c>
      <c r="BK7" s="48" t="inlineStr">
        <is>
          <t>AGARWAL Akanksha</t>
        </is>
      </c>
      <c r="BL7" s="48" t="inlineStr">
        <is>
          <t>Synthetic test record.</t>
        </is>
      </c>
      <c r="BM7" s="48" t="inlineStr"/>
      <c r="BN7" s="48">
        <f>TRIM(IF(AND($H7="Student",$J7="ADM-ACT-MAT-CNE"),"Invalid: Student cannot be CNE. ","")&amp;IF(AND($H7="Student",ISNUMBER($O7)),"Check: capacity set for a Student. ","")&amp;IF(AND(LEFT($J7,11)="ADM-ACT-MAT",$P7=0),"Check: matched status but 0 active pairings. ","")&amp;IF(AND($H7="Tutor",ISNUMBER($O7),$P7&gt;$O7),"Check: pairings exceed capacity. ","")&amp;IF(AND($BH7="Everyone",NOT(AND($BD7="Yes",$BG7="Yes"))),"Check: approved to tutor children but WWCC not provided/confirmed. ","")&amp;IF(AND($P7&gt;0,NOT(AND(OR(LEFT($AY7,3)="Yes",LEFT($AY7,2)="NA"),OR(LEFT($AZ7,3)="Yes",LEFT($AZ7,2)="NA")))),"Matched but vetting incomplete (interview/reference). ","")&amp;IF(COUNTIF($B$3:$B$600,$B7)&gt;1,"Duplicate participant name. ",""))</f>
        <v/>
      </c>
      <c r="BO7" s="48" t="inlineStr">
        <is>
          <t>S-O-00022</t>
        </is>
      </c>
      <c r="BP7" s="48">
        <f>IFERROR(VLOOKUP(BO7,$A:$B,2,FALSE),"")</f>
        <v/>
      </c>
      <c r="BQ7" s="49" t="n">
        <v>45484</v>
      </c>
      <c r="BR7" s="48" t="inlineStr"/>
      <c r="BS7" s="48" t="n">
        <v>1.5</v>
      </c>
      <c r="BT7" s="48" t="inlineStr">
        <is>
          <t>KNIJNIK Marina</t>
        </is>
      </c>
      <c r="BU7" s="48" t="inlineStr">
        <is>
          <t>S-O-00047</t>
        </is>
      </c>
      <c r="BV7" s="48">
        <f>IFERROR(VLOOKUP(BU7,$A:$B,2,FALSE),"")</f>
        <v/>
      </c>
      <c r="BW7" s="49" t="n">
        <v>45721</v>
      </c>
      <c r="BX7" s="48" t="inlineStr"/>
      <c r="BY7" s="48" t="n">
        <v>1</v>
      </c>
      <c r="BZ7" s="48" t="inlineStr">
        <is>
          <t>THET Moh Moh</t>
        </is>
      </c>
      <c r="CA7" s="48" t="inlineStr"/>
      <c r="CB7" s="48" t="inlineStr"/>
      <c r="CC7" s="48" t="inlineStr"/>
      <c r="CD7" s="48" t="inlineStr"/>
      <c r="CE7" s="48" t="inlineStr"/>
      <c r="CF7" s="48" t="inlineStr"/>
      <c r="CG7" s="48" t="inlineStr"/>
      <c r="CH7" s="48" t="inlineStr"/>
      <c r="CI7" s="48" t="inlineStr"/>
      <c r="CJ7" s="48" t="inlineStr"/>
      <c r="CK7" s="48" t="inlineStr"/>
      <c r="CL7" s="48" t="inlineStr"/>
      <c r="CM7" s="48" t="inlineStr"/>
      <c r="CN7" s="48" t="inlineStr"/>
      <c r="CO7" s="48" t="inlineStr"/>
      <c r="CP7" s="48" t="inlineStr"/>
      <c r="CQ7" s="48" t="inlineStr"/>
      <c r="CR7" s="48" t="inlineStr"/>
      <c r="CS7" s="48">
        <f>IF(LEFT($J7,3)="ERR",0,1)</f>
        <v/>
      </c>
      <c r="CT7" s="48">
        <f>IF(LEFT($J7,3)="ADM",1,0)</f>
        <v/>
      </c>
      <c r="CU7" s="48">
        <f>IF(OR($J7="ADM-ACT-MAT-CNE",$J7="ADM-ACT-MAT-CE",$J7="ADM-INACT-M&amp;T"),1,0)</f>
        <v/>
      </c>
      <c r="CV7" s="48">
        <f>IF(AND(CU7=1,ISNUMBER(M7),ISNUMBER(I7)),M7-I7,"")</f>
        <v/>
      </c>
      <c r="CW7" s="48">
        <f>IF(ISNUMBER(I7),TODAY()-I7,"")</f>
        <v/>
      </c>
      <c r="CX7" s="48">
        <f>IF(ISNUMBER(I7),DATE(YEAR(I7),MONTH(I7),1),"")</f>
        <v/>
      </c>
      <c r="CY7" s="48">
        <f>IFERROR(DATEDIF(AK7,TODAY(),"y"),"")</f>
        <v/>
      </c>
      <c r="CZ7" s="48">
        <f>IF(CY7="","",IF(CY7&lt;28,"18-27",IF(CY7&lt;38,"28-37",IF(CY7&lt;48,"38-47",IF(CY7&lt;58,"48-57",IF(CY7&lt;68,"58-67",IF(CY7&lt;78,"68-77","78+")))))) </f>
        <v/>
      </c>
      <c r="DA7" s="48">
        <f>IF(AND(BQ7&lt;&gt;"",BR7=""),N(BS7),0)+IF(AND(BW7&lt;&gt;"",BX7=""),N(BY7),0)+IF(AND(CC7&lt;&gt;"",CD7=""),N(CE7),0)+IF(AND(CI7&lt;&gt;"",CJ7=""),N(CK7),0)+IF(AND(CO7&lt;&gt;"",CP7=""),N(CQ7),0)</f>
        <v/>
      </c>
      <c r="DB7" s="48">
        <f>ROUND(IF(BQ7&lt;&gt;"",N(BS7)*MAX(0,((IF(BR7="",TODAY(),BR7))-BQ7)/7),0)+IF(BW7&lt;&gt;"",N(BY7)*MAX(0,((IF(BX7="",TODAY(),BX7))-BW7)/7),0)+IF(CC7&lt;&gt;"",N(CE7)*MAX(0,((IF(CD7="",TODAY(),CD7))-CC7)/7),0)+IF(CI7&lt;&gt;"",N(CK7)*MAX(0,((IF(CJ7="",TODAY(),CJ7))-CI7)/7),0)+IF(CO7&lt;&gt;"",N(CQ7)*MAX(0,((IF(CP7="",TODAY(),CP7))-CO7)/7),0),1)</f>
        <v/>
      </c>
      <c r="DC7" s="48">
        <f>IF(OR(TRIM(X7)="",TRIM(X7)="NA;",TRIM(X7)="NA"),0,1)</f>
        <v/>
      </c>
      <c r="DD7" s="48">
        <f>IF(OR(TRIM(Y7)="",TRIM(Y7)="NA;",TRIM(Y7)="NA"),0,1)</f>
        <v/>
      </c>
      <c r="DE7" s="48">
        <f>IF(OR(TRIM(Z7)="",TRIM(Z7)="NA;",TRIM(Z7)="NA"),0,1)</f>
        <v/>
      </c>
      <c r="DF7" s="48">
        <f>IF(OR(TRIM(AA7)="",TRIM(AA7)="NA;",TRIM(AA7)="NA"),0,1)</f>
        <v/>
      </c>
      <c r="DG7" s="48">
        <f>IF(OR(TRIM(AB7)="",TRIM(AB7)="NA;",TRIM(AB7)="NA"),0,1)</f>
        <v/>
      </c>
      <c r="DH7" s="48">
        <f>IF(OR(TRIM(AC7)="",TRIM(AC7)="NA;",TRIM(AC7)="NA"),0,1)</f>
        <v/>
      </c>
      <c r="DI7" s="48">
        <f>IF(OR(TRIM(AD7)="",TRIM(AD7)="NA;",TRIM(AD7)="NA"),0,1)</f>
        <v/>
      </c>
      <c r="DJ7" s="48">
        <f>TRIM(IF(DC7=1,"Mon ","")&amp;IF(DD7=1,"Tue ","")&amp;IF(DE7=1,"Wed ","")&amp;IF(DF7=1,"Thu ","")&amp;IF(DG7=1,"Fri ","")&amp;IF(DH7=1,"Sat ","")&amp;IF(DI7=1,"Sun ",""))</f>
        <v/>
      </c>
    </row>
    <row r="8">
      <c r="A8" s="48" t="inlineStr">
        <is>
          <t>T-O-00006</t>
        </is>
      </c>
      <c r="B8" s="48" t="inlineStr">
        <is>
          <t>Carlos Schaffer</t>
        </is>
      </c>
      <c r="C8" s="48" t="inlineStr">
        <is>
          <t>carlos.schaffer6@example.com</t>
        </is>
      </c>
      <c r="D8" s="48" t="inlineStr">
        <is>
          <t>+61 445 798 573</t>
        </is>
      </c>
      <c r="E8" s="48" t="inlineStr">
        <is>
          <t>Sara Bourne</t>
        </is>
      </c>
      <c r="F8" s="48" t="inlineStr">
        <is>
          <t>+61 429 228 024</t>
        </is>
      </c>
      <c r="G8" s="48" t="inlineStr">
        <is>
          <t>Caseworker</t>
        </is>
      </c>
      <c r="H8" s="48" t="inlineStr">
        <is>
          <t>Tutor</t>
        </is>
      </c>
      <c r="I8" s="49" t="n">
        <v>45328</v>
      </c>
      <c r="J8" s="48" t="inlineStr">
        <is>
          <t>ADM-ACT-MAT-CNE</t>
        </is>
      </c>
      <c r="K8" s="48">
        <f>IFERROR(VLOOKUP(J8,'(A) Introduction'!$B$35:$C$45,2,FALSE),"")</f>
        <v/>
      </c>
      <c r="L8" s="48" t="inlineStr">
        <is>
          <t>No</t>
        </is>
      </c>
      <c r="M8" s="48" t="inlineStr"/>
      <c r="N8" s="48" t="inlineStr"/>
      <c r="O8" s="48" t="n">
        <v>3</v>
      </c>
      <c r="P8" s="48">
        <f>IF($H8="Tutor",((BQ8&lt;&gt;"")*(BR8=""))+((BW8&lt;&gt;"")*(BX8=""))+((CC8&lt;&gt;"")*(CD8=""))+((CI8&lt;&gt;"")*(CJ8=""))+((CO8&lt;&gt;"")*(CP8="")),SUMPRODUCT(--($BO$3:$BO$202=$A8),--($BR$3:$BR$202=""))+SUMPRODUCT(--($BU$3:$BU$202=$A8),--($BX$3:$BX$202=""))+SUMPRODUCT(--($CA$3:$CA$202=$A8),--($CD$3:$CD$202=""))+SUMPRODUCT(--($CG$3:$CG$202=$A8),--($CJ$3:$CJ$202=""))+SUMPRODUCT(--($CM$3:$CM$202=$A8),--($CP$3:$CP$202="")))</f>
        <v/>
      </c>
      <c r="Q8" s="48">
        <f>IF($H8="Tutor",(BQ8&lt;&gt;"")+(BW8&lt;&gt;"")+(CC8&lt;&gt;"")+(CI8&lt;&gt;"")+(CO8&lt;&gt;""),SUMPRODUCT(--($BO$3:$BO$202=$A8))+SUMPRODUCT(--($BU$3:$BU$202=$A8))+SUMPRODUCT(--($CA$3:$CA$202=$A8))+SUMPRODUCT(--($CG$3:$CG$202=$A8))+SUMPRODUCT(--($CM$3:$CM$202=$A8)))</f>
        <v/>
      </c>
      <c r="R8" s="48">
        <f>IF($H8="Tutor",TRIM(IF(AND(BQ8&lt;&gt;"",BR8=""),BP8&amp;"; ","")&amp;IF(AND(BW8&lt;&gt;"",BX8=""),BV8&amp;"; ","")&amp;IF(AND(CC8&lt;&gt;"",CD8=""),CB8&amp;"; ","")&amp;IF(AND(CI8&lt;&gt;"",CJ8=""),CH8&amp;"; ","")&amp;IF(AND(CO8&lt;&gt;"",CP8=""),CN8&amp;"; ","")),IFERROR(INDEX($A$3:$B$202,(SUMPRODUCT(($BO$3:$BO$202=$A8)*($BR$3:$BR$202="")*ROW($BO$3:$BO$202))+SUMPRODUCT(($BU$3:$BU$202=$A8)*($BX$3:$BX$202="")*ROW($BU$3:$BU$202))+SUMPRODUCT(($CA$3:$CA$202=$A8)*($CD$3:$CD$202="")*ROW($CA$3:$CA$202))+SUMPRODUCT(($CG$3:$CG$202=$A8)*($CJ$3:$CJ$202="")*ROW($CG$3:$CG$202))+SUMPRODUCT(($CM$3:$CM$202=$A8)*($CP$3:$CP$202="")*ROW($CM$3:$CM$202)))-2,2),""))</f>
        <v/>
      </c>
      <c r="S8" s="48" t="inlineStr">
        <is>
          <t>NA</t>
        </is>
      </c>
      <c r="T8" s="48" t="inlineStr"/>
      <c r="U8" s="48" t="inlineStr"/>
      <c r="V8" s="49" t="n">
        <v>45796</v>
      </c>
      <c r="W8" s="48" t="inlineStr">
        <is>
          <t>ACDT (UTC+10:30)</t>
        </is>
      </c>
      <c r="X8" s="48" t="inlineStr">
        <is>
          <t>9am-12pm;</t>
        </is>
      </c>
      <c r="Y8" s="48" t="inlineStr">
        <is>
          <t>12pm-3pm;</t>
        </is>
      </c>
      <c r="Z8" s="48" t="inlineStr">
        <is>
          <t>9am-12pm;</t>
        </is>
      </c>
      <c r="AA8" s="48" t="inlineStr">
        <is>
          <t>9am-12pm;</t>
        </is>
      </c>
      <c r="AB8" s="48" t="inlineStr">
        <is>
          <t>12pm-3pm;6pm-9pm;</t>
        </is>
      </c>
      <c r="AC8" s="48" t="inlineStr">
        <is>
          <t>NA;</t>
        </is>
      </c>
      <c r="AD8" s="48" t="inlineStr">
        <is>
          <t>9am-12pm;</t>
        </is>
      </c>
      <c r="AE8" s="48" t="inlineStr">
        <is>
          <t>Either</t>
        </is>
      </c>
      <c r="AF8" s="48" t="inlineStr">
        <is>
          <t>NA - Tutor</t>
        </is>
      </c>
      <c r="AG8" s="48" t="inlineStr">
        <is>
          <t>Australia</t>
        </is>
      </c>
      <c r="AH8" s="48" t="inlineStr">
        <is>
          <t>New South Wales</t>
        </is>
      </c>
      <c r="AI8" s="48" t="inlineStr">
        <is>
          <t>Canterbury</t>
        </is>
      </c>
      <c r="AJ8" s="48" t="inlineStr">
        <is>
          <t>2193</t>
        </is>
      </c>
      <c r="AK8" s="49" t="n">
        <v>37793</v>
      </c>
      <c r="AL8" s="48" t="inlineStr">
        <is>
          <t>Male</t>
        </is>
      </c>
      <c r="AM8" s="48" t="inlineStr">
        <is>
          <t>NA</t>
        </is>
      </c>
      <c r="AN8" s="48" t="inlineStr">
        <is>
          <t>NA - Tutor</t>
        </is>
      </c>
      <c r="AO8" s="48" t="inlineStr">
        <is>
          <t>Outstanding</t>
        </is>
      </c>
      <c r="AP8" s="48" t="inlineStr">
        <is>
          <t>Vietnam</t>
        </is>
      </c>
      <c r="AQ8" s="48" t="inlineStr">
        <is>
          <t>NA</t>
        </is>
      </c>
      <c r="AR8" s="48" t="inlineStr">
        <is>
          <t>Arabic (C2); Pashto (B2)</t>
        </is>
      </c>
      <c r="AS8" s="48" t="inlineStr">
        <is>
          <t>Christian (Orthodox)</t>
        </is>
      </c>
      <c r="AT8" s="48" t="inlineStr">
        <is>
          <t>Health &amp; Medicine</t>
        </is>
      </c>
      <c r="AU8" s="48" t="inlineStr">
        <is>
          <t>Nurse</t>
        </is>
      </c>
      <c r="AV8" s="48" t="inlineStr">
        <is>
          <t>NA - Tutor</t>
        </is>
      </c>
      <c r="AW8" s="48" t="inlineStr">
        <is>
          <t>Gardening; Cooking; Walking</t>
        </is>
      </c>
      <c r="AX8" s="48" t="inlineStr">
        <is>
          <t>NA - Tutor</t>
        </is>
      </c>
      <c r="AY8" s="48" t="inlineStr">
        <is>
          <t>Yes</t>
        </is>
      </c>
      <c r="AZ8" s="48" t="inlineStr">
        <is>
          <t>NA - Partner Organisation Verified</t>
        </is>
      </c>
      <c r="BA8" s="48" t="inlineStr">
        <is>
          <t>Elena Cohen</t>
        </is>
      </c>
      <c r="BB8" s="48" t="inlineStr">
        <is>
          <t>Academic Referee</t>
        </is>
      </c>
      <c r="BC8" s="48" t="inlineStr">
        <is>
          <t>ibrahim.hassan506@example.com</t>
        </is>
      </c>
      <c r="BD8" s="48" t="inlineStr">
        <is>
          <t>Yes</t>
        </is>
      </c>
      <c r="BE8" s="48" t="inlineStr">
        <is>
          <t>WWC7398678E</t>
        </is>
      </c>
      <c r="BF8" s="49" t="n">
        <v>46839</v>
      </c>
      <c r="BG8" s="48" t="inlineStr">
        <is>
          <t>No</t>
        </is>
      </c>
      <c r="BH8" s="48" t="inlineStr">
        <is>
          <t>Adults Only</t>
        </is>
      </c>
      <c r="BI8" s="48" t="inlineStr">
        <is>
          <t>Kaldor Centre for International Refugee Law</t>
        </is>
      </c>
      <c r="BJ8" s="48" t="inlineStr">
        <is>
          <t>HERVIR Oliver</t>
        </is>
      </c>
      <c r="BK8" s="48" t="inlineStr">
        <is>
          <t>NUICH Curtis</t>
        </is>
      </c>
      <c r="BL8" s="48" t="inlineStr">
        <is>
          <t>Synthetic test record.</t>
        </is>
      </c>
      <c r="BM8" s="48" t="inlineStr"/>
      <c r="BN8" s="48">
        <f>TRIM(IF(AND($H8="Student",$J8="ADM-ACT-MAT-CNE"),"Invalid: Student cannot be CNE. ","")&amp;IF(AND($H8="Student",ISNUMBER($O8)),"Check: capacity set for a Student. ","")&amp;IF(AND(LEFT($J8,11)="ADM-ACT-MAT",$P8=0),"Check: matched status but 0 active pairings. ","")&amp;IF(AND($H8="Tutor",ISNUMBER($O8),$P8&gt;$O8),"Check: pairings exceed capacity. ","")&amp;IF(AND($BH8="Everyone",NOT(AND($BD8="Yes",$BG8="Yes"))),"Check: approved to tutor children but WWCC not provided/confirmed. ","")&amp;IF(AND($P8&gt;0,NOT(AND(OR(LEFT($AY8,3)="Yes",LEFT($AY8,2)="NA"),OR(LEFT($AZ8,3)="Yes",LEFT($AZ8,2)="NA")))),"Matched but vetting incomplete (interview/reference). ","")&amp;IF(COUNTIF($B$3:$B$600,$B8)&gt;1,"Duplicate participant name. ",""))</f>
        <v/>
      </c>
      <c r="BO8" s="48" t="inlineStr">
        <is>
          <t>S-O-00010</t>
        </is>
      </c>
      <c r="BP8" s="48">
        <f>IFERROR(VLOOKUP(BO8,$A:$B,2,FALSE),"")</f>
        <v/>
      </c>
      <c r="BQ8" s="49" t="n">
        <v>45497</v>
      </c>
      <c r="BR8" s="48" t="inlineStr"/>
      <c r="BS8" s="48" t="n">
        <v>1</v>
      </c>
      <c r="BT8" s="48" t="inlineStr">
        <is>
          <t>AGARWAL Akanksha</t>
        </is>
      </c>
      <c r="BU8" s="48" t="inlineStr"/>
      <c r="BV8" s="48" t="inlineStr"/>
      <c r="BW8" s="48" t="inlineStr"/>
      <c r="BX8" s="48" t="inlineStr"/>
      <c r="BY8" s="48" t="inlineStr"/>
      <c r="BZ8" s="48" t="inlineStr"/>
      <c r="CA8" s="48" t="inlineStr"/>
      <c r="CB8" s="48" t="inlineStr"/>
      <c r="CC8" s="48" t="inlineStr"/>
      <c r="CD8" s="48" t="inlineStr"/>
      <c r="CE8" s="48" t="inlineStr"/>
      <c r="CF8" s="48" t="inlineStr"/>
      <c r="CG8" s="48" t="inlineStr"/>
      <c r="CH8" s="48" t="inlineStr"/>
      <c r="CI8" s="48" t="inlineStr"/>
      <c r="CJ8" s="48" t="inlineStr"/>
      <c r="CK8" s="48" t="inlineStr"/>
      <c r="CL8" s="48" t="inlineStr"/>
      <c r="CM8" s="48" t="inlineStr"/>
      <c r="CN8" s="48" t="inlineStr"/>
      <c r="CO8" s="48" t="inlineStr"/>
      <c r="CP8" s="48" t="inlineStr"/>
      <c r="CQ8" s="48" t="inlineStr"/>
      <c r="CR8" s="48" t="inlineStr"/>
      <c r="CS8" s="48">
        <f>IF(LEFT($J8,3)="ERR",0,1)</f>
        <v/>
      </c>
      <c r="CT8" s="48">
        <f>IF(LEFT($J8,3)="ADM",1,0)</f>
        <v/>
      </c>
      <c r="CU8" s="48">
        <f>IF(OR($J8="ADM-ACT-MAT-CNE",$J8="ADM-ACT-MAT-CE",$J8="ADM-INACT-M&amp;T"),1,0)</f>
        <v/>
      </c>
      <c r="CV8" s="48">
        <f>IF(AND(CU8=1,ISNUMBER(M8),ISNUMBER(I8)),M8-I8,"")</f>
        <v/>
      </c>
      <c r="CW8" s="48">
        <f>IF(ISNUMBER(I8),TODAY()-I8,"")</f>
        <v/>
      </c>
      <c r="CX8" s="48">
        <f>IF(ISNUMBER(I8),DATE(YEAR(I8),MONTH(I8),1),"")</f>
        <v/>
      </c>
      <c r="CY8" s="48">
        <f>IFERROR(DATEDIF(AK8,TODAY(),"y"),"")</f>
        <v/>
      </c>
      <c r="CZ8" s="48">
        <f>IF(CY8="","",IF(CY8&lt;28,"18-27",IF(CY8&lt;38,"28-37",IF(CY8&lt;48,"38-47",IF(CY8&lt;58,"48-57",IF(CY8&lt;68,"58-67",IF(CY8&lt;78,"68-77","78+")))))) </f>
        <v/>
      </c>
      <c r="DA8" s="48">
        <f>IF(AND(BQ8&lt;&gt;"",BR8=""),N(BS8),0)+IF(AND(BW8&lt;&gt;"",BX8=""),N(BY8),0)+IF(AND(CC8&lt;&gt;"",CD8=""),N(CE8),0)+IF(AND(CI8&lt;&gt;"",CJ8=""),N(CK8),0)+IF(AND(CO8&lt;&gt;"",CP8=""),N(CQ8),0)</f>
        <v/>
      </c>
      <c r="DB8" s="48">
        <f>ROUND(IF(BQ8&lt;&gt;"",N(BS8)*MAX(0,((IF(BR8="",TODAY(),BR8))-BQ8)/7),0)+IF(BW8&lt;&gt;"",N(BY8)*MAX(0,((IF(BX8="",TODAY(),BX8))-BW8)/7),0)+IF(CC8&lt;&gt;"",N(CE8)*MAX(0,((IF(CD8="",TODAY(),CD8))-CC8)/7),0)+IF(CI8&lt;&gt;"",N(CK8)*MAX(0,((IF(CJ8="",TODAY(),CJ8))-CI8)/7),0)+IF(CO8&lt;&gt;"",N(CQ8)*MAX(0,((IF(CP8="",TODAY(),CP8))-CO8)/7),0),1)</f>
        <v/>
      </c>
      <c r="DC8" s="48">
        <f>IF(OR(TRIM(X8)="",TRIM(X8)="NA;",TRIM(X8)="NA"),0,1)</f>
        <v/>
      </c>
      <c r="DD8" s="48">
        <f>IF(OR(TRIM(Y8)="",TRIM(Y8)="NA;",TRIM(Y8)="NA"),0,1)</f>
        <v/>
      </c>
      <c r="DE8" s="48">
        <f>IF(OR(TRIM(Z8)="",TRIM(Z8)="NA;",TRIM(Z8)="NA"),0,1)</f>
        <v/>
      </c>
      <c r="DF8" s="48">
        <f>IF(OR(TRIM(AA8)="",TRIM(AA8)="NA;",TRIM(AA8)="NA"),0,1)</f>
        <v/>
      </c>
      <c r="DG8" s="48">
        <f>IF(OR(TRIM(AB8)="",TRIM(AB8)="NA;",TRIM(AB8)="NA"),0,1)</f>
        <v/>
      </c>
      <c r="DH8" s="48">
        <f>IF(OR(TRIM(AC8)="",TRIM(AC8)="NA;",TRIM(AC8)="NA"),0,1)</f>
        <v/>
      </c>
      <c r="DI8" s="48">
        <f>IF(OR(TRIM(AD8)="",TRIM(AD8)="NA;",TRIM(AD8)="NA"),0,1)</f>
        <v/>
      </c>
      <c r="DJ8" s="48">
        <f>TRIM(IF(DC8=1,"Mon ","")&amp;IF(DD8=1,"Tue ","")&amp;IF(DE8=1,"Wed ","")&amp;IF(DF8=1,"Thu ","")&amp;IF(DG8=1,"Fri ","")&amp;IF(DH8=1,"Sat ","")&amp;IF(DI8=1,"Sun ",""))</f>
        <v/>
      </c>
    </row>
    <row r="9">
      <c r="A9" s="48" t="inlineStr">
        <is>
          <t>T-O-00007</t>
        </is>
      </c>
      <c r="B9" s="48" t="inlineStr">
        <is>
          <t>Luke Ng</t>
        </is>
      </c>
      <c r="C9" s="48" t="inlineStr">
        <is>
          <t>luke.ng7@example.com</t>
        </is>
      </c>
      <c r="D9" s="48" t="inlineStr">
        <is>
          <t>+61 482 521 409</t>
        </is>
      </c>
      <c r="E9" s="48" t="inlineStr">
        <is>
          <t>Chloe Yusuf</t>
        </is>
      </c>
      <c r="F9" s="48" t="inlineStr">
        <is>
          <t>+61 446 441 071</t>
        </is>
      </c>
      <c r="G9" s="48" t="inlineStr">
        <is>
          <t>Caseworker</t>
        </is>
      </c>
      <c r="H9" s="48" t="inlineStr">
        <is>
          <t>Tutor</t>
        </is>
      </c>
      <c r="I9" s="49" t="n">
        <v>45340</v>
      </c>
      <c r="J9" s="48" t="inlineStr">
        <is>
          <t>ADM-ACT-UNMAT</t>
        </is>
      </c>
      <c r="K9" s="48">
        <f>IFERROR(VLOOKUP(J9,'(A) Introduction'!$B$35:$C$45,2,FALSE),"")</f>
        <v/>
      </c>
      <c r="L9" s="48" t="inlineStr">
        <is>
          <t>No</t>
        </is>
      </c>
      <c r="M9" s="48" t="inlineStr"/>
      <c r="N9" s="48" t="inlineStr"/>
      <c r="O9" s="48" t="n">
        <v>3</v>
      </c>
      <c r="P9" s="48">
        <f>IF($H9="Tutor",((BQ9&lt;&gt;"")*(BR9=""))+((BW9&lt;&gt;"")*(BX9=""))+((CC9&lt;&gt;"")*(CD9=""))+((CI9&lt;&gt;"")*(CJ9=""))+((CO9&lt;&gt;"")*(CP9="")),SUMPRODUCT(--($BO$3:$BO$202=$A9),--($BR$3:$BR$202=""))+SUMPRODUCT(--($BU$3:$BU$202=$A9),--($BX$3:$BX$202=""))+SUMPRODUCT(--($CA$3:$CA$202=$A9),--($CD$3:$CD$202=""))+SUMPRODUCT(--($CG$3:$CG$202=$A9),--($CJ$3:$CJ$202=""))+SUMPRODUCT(--($CM$3:$CM$202=$A9),--($CP$3:$CP$202="")))</f>
        <v/>
      </c>
      <c r="Q9" s="48">
        <f>IF($H9="Tutor",(BQ9&lt;&gt;"")+(BW9&lt;&gt;"")+(CC9&lt;&gt;"")+(CI9&lt;&gt;"")+(CO9&lt;&gt;""),SUMPRODUCT(--($BO$3:$BO$202=$A9))+SUMPRODUCT(--($BU$3:$BU$202=$A9))+SUMPRODUCT(--($CA$3:$CA$202=$A9))+SUMPRODUCT(--($CG$3:$CG$202=$A9))+SUMPRODUCT(--($CM$3:$CM$202=$A9)))</f>
        <v/>
      </c>
      <c r="R9" s="48">
        <f>IF($H9="Tutor",TRIM(IF(AND(BQ9&lt;&gt;"",BR9=""),BP9&amp;"; ","")&amp;IF(AND(BW9&lt;&gt;"",BX9=""),BV9&amp;"; ","")&amp;IF(AND(CC9&lt;&gt;"",CD9=""),CB9&amp;"; ","")&amp;IF(AND(CI9&lt;&gt;"",CJ9=""),CH9&amp;"; ","")&amp;IF(AND(CO9&lt;&gt;"",CP9=""),CN9&amp;"; ","")),IFERROR(INDEX($A$3:$B$202,(SUMPRODUCT(($BO$3:$BO$202=$A9)*($BR$3:$BR$202="")*ROW($BO$3:$BO$202))+SUMPRODUCT(($BU$3:$BU$202=$A9)*($BX$3:$BX$202="")*ROW($BU$3:$BU$202))+SUMPRODUCT(($CA$3:$CA$202=$A9)*($CD$3:$CD$202="")*ROW($CA$3:$CA$202))+SUMPRODUCT(($CG$3:$CG$202=$A9)*($CJ$3:$CJ$202="")*ROW($CG$3:$CG$202))+SUMPRODUCT(($CM$3:$CM$202=$A9)*($CP$3:$CP$202="")*ROW($CM$3:$CM$202)))-2,2),""))</f>
        <v/>
      </c>
      <c r="S9" s="48" t="inlineStr">
        <is>
          <t>Not Provided</t>
        </is>
      </c>
      <c r="T9" s="48" t="inlineStr"/>
      <c r="U9" s="48" t="inlineStr"/>
      <c r="V9" s="49" t="n">
        <v>45725</v>
      </c>
      <c r="W9" s="48" t="inlineStr">
        <is>
          <t>AEST (UTC+10)</t>
        </is>
      </c>
      <c r="X9" s="48" t="inlineStr">
        <is>
          <t>6pm-9pm;</t>
        </is>
      </c>
      <c r="Y9" s="48" t="inlineStr">
        <is>
          <t>3pm-6pm;</t>
        </is>
      </c>
      <c r="Z9" s="48" t="inlineStr">
        <is>
          <t>9am-12pm;</t>
        </is>
      </c>
      <c r="AA9" s="48" t="inlineStr">
        <is>
          <t>3pm-6pm;</t>
        </is>
      </c>
      <c r="AB9" s="48" t="inlineStr">
        <is>
          <t>NA;</t>
        </is>
      </c>
      <c r="AC9" s="48" t="inlineStr">
        <is>
          <t>6pm-9pm;</t>
        </is>
      </c>
      <c r="AD9" s="48" t="inlineStr">
        <is>
          <t>12pm-3pm;6pm-9pm;</t>
        </is>
      </c>
      <c r="AE9" s="48" t="inlineStr">
        <is>
          <t>In-Person</t>
        </is>
      </c>
      <c r="AF9" s="48" t="inlineStr">
        <is>
          <t>NA - Tutor</t>
        </is>
      </c>
      <c r="AG9" s="48" t="inlineStr">
        <is>
          <t>Australia</t>
        </is>
      </c>
      <c r="AH9" s="48" t="inlineStr">
        <is>
          <t>New South Wales</t>
        </is>
      </c>
      <c r="AI9" s="48" t="inlineStr">
        <is>
          <t>Liverpool</t>
        </is>
      </c>
      <c r="AJ9" s="48" t="inlineStr">
        <is>
          <t>2170</t>
        </is>
      </c>
      <c r="AK9" s="49" t="n">
        <v>34583</v>
      </c>
      <c r="AL9" s="48" t="inlineStr">
        <is>
          <t>Male</t>
        </is>
      </c>
      <c r="AM9" s="48" t="inlineStr">
        <is>
          <t>NA</t>
        </is>
      </c>
      <c r="AN9" s="48" t="inlineStr">
        <is>
          <t>NA - Tutor</t>
        </is>
      </c>
      <c r="AO9" s="48" t="inlineStr">
        <is>
          <t>Outstanding</t>
        </is>
      </c>
      <c r="AP9" s="48" t="inlineStr">
        <is>
          <t>Egypt</t>
        </is>
      </c>
      <c r="AQ9" s="48" t="inlineStr">
        <is>
          <t>NA</t>
        </is>
      </c>
      <c r="AR9" s="48" t="inlineStr">
        <is>
          <t>Pashto (C2)</t>
        </is>
      </c>
      <c r="AS9" s="48" t="inlineStr">
        <is>
          <t>Christian</t>
        </is>
      </c>
      <c r="AT9" s="48" t="inlineStr">
        <is>
          <t>Labour, Administrative &amp; Clerical</t>
        </is>
      </c>
      <c r="AU9" s="48" t="inlineStr">
        <is>
          <t>Aged Care Worker</t>
        </is>
      </c>
      <c r="AV9" s="48" t="inlineStr">
        <is>
          <t>NA - Tutor</t>
        </is>
      </c>
      <c r="AW9" s="48" t="inlineStr">
        <is>
          <t>Travel; Sport; Movies</t>
        </is>
      </c>
      <c r="AX9" s="48" t="inlineStr">
        <is>
          <t>NA - Tutor</t>
        </is>
      </c>
      <c r="AY9" s="48" t="inlineStr">
        <is>
          <t>NA - Partner Organisation Verified</t>
        </is>
      </c>
      <c r="AZ9" s="48" t="inlineStr">
        <is>
          <t>Yes</t>
        </is>
      </c>
      <c r="BA9" s="48" t="inlineStr">
        <is>
          <t>Reza Baker</t>
        </is>
      </c>
      <c r="BB9" s="48" t="inlineStr">
        <is>
          <t>Academic Referee</t>
        </is>
      </c>
      <c r="BC9" s="48" t="inlineStr">
        <is>
          <t>hannah.khan507@example.com</t>
        </is>
      </c>
      <c r="BD9" s="48" t="inlineStr">
        <is>
          <t>Pending</t>
        </is>
      </c>
      <c r="BE9" s="48" t="inlineStr"/>
      <c r="BF9" s="48" t="inlineStr"/>
      <c r="BG9" s="48" t="inlineStr">
        <is>
          <t>Yes</t>
        </is>
      </c>
      <c r="BH9" s="48" t="inlineStr">
        <is>
          <t>Adults Only</t>
        </is>
      </c>
      <c r="BI9" s="48" t="inlineStr">
        <is>
          <t>University of Sydney (including St. Paul's College)</t>
        </is>
      </c>
      <c r="BJ9" s="48" t="inlineStr">
        <is>
          <t>SHANAHAN Jack</t>
        </is>
      </c>
      <c r="BK9" s="48" t="inlineStr">
        <is>
          <t>THET Moh Moh</t>
        </is>
      </c>
      <c r="BL9" s="48" t="inlineStr">
        <is>
          <t>Synthetic test record.</t>
        </is>
      </c>
      <c r="BM9" s="48" t="inlineStr"/>
      <c r="BN9" s="48">
        <f>TRIM(IF(AND($H9="Student",$J9="ADM-ACT-MAT-CNE"),"Invalid: Student cannot be CNE. ","")&amp;IF(AND($H9="Student",ISNUMBER($O9)),"Check: capacity set for a Student. ","")&amp;IF(AND(LEFT($J9,11)="ADM-ACT-MAT",$P9=0),"Check: matched status but 0 active pairings. ","")&amp;IF(AND($H9="Tutor",ISNUMBER($O9),$P9&gt;$O9),"Check: pairings exceed capacity. ","")&amp;IF(AND($BH9="Everyone",NOT(AND($BD9="Yes",$BG9="Yes"))),"Check: approved to tutor children but WWCC not provided/confirmed. ","")&amp;IF(AND($P9&gt;0,NOT(AND(OR(LEFT($AY9,3)="Yes",LEFT($AY9,2)="NA"),OR(LEFT($AZ9,3)="Yes",LEFT($AZ9,2)="NA")))),"Matched but vetting incomplete (interview/reference). ","")&amp;IF(COUNTIF($B$3:$B$600,$B9)&gt;1,"Duplicate participant name. ",""))</f>
        <v/>
      </c>
      <c r="BO9" s="48" t="inlineStr"/>
      <c r="BP9" s="48" t="inlineStr"/>
      <c r="BQ9" s="48" t="inlineStr"/>
      <c r="BR9" s="48" t="inlineStr"/>
      <c r="BS9" s="48" t="inlineStr"/>
      <c r="BT9" s="48" t="inlineStr"/>
      <c r="BU9" s="48" t="inlineStr"/>
      <c r="BV9" s="48" t="inlineStr"/>
      <c r="BW9" s="48" t="inlineStr"/>
      <c r="BX9" s="48" t="inlineStr"/>
      <c r="BY9" s="48" t="inlineStr"/>
      <c r="BZ9" s="48" t="inlineStr"/>
      <c r="CA9" s="48" t="inlineStr"/>
      <c r="CB9" s="48" t="inlineStr"/>
      <c r="CC9" s="48" t="inlineStr"/>
      <c r="CD9" s="48" t="inlineStr"/>
      <c r="CE9" s="48" t="inlineStr"/>
      <c r="CF9" s="48" t="inlineStr"/>
      <c r="CG9" s="48" t="inlineStr"/>
      <c r="CH9" s="48" t="inlineStr"/>
      <c r="CI9" s="48" t="inlineStr"/>
      <c r="CJ9" s="48" t="inlineStr"/>
      <c r="CK9" s="48" t="inlineStr"/>
      <c r="CL9" s="48" t="inlineStr"/>
      <c r="CM9" s="48" t="inlineStr"/>
      <c r="CN9" s="48" t="inlineStr"/>
      <c r="CO9" s="48" t="inlineStr"/>
      <c r="CP9" s="48" t="inlineStr"/>
      <c r="CQ9" s="48" t="inlineStr"/>
      <c r="CR9" s="48" t="inlineStr"/>
      <c r="CS9" s="48">
        <f>IF(LEFT($J9,3)="ERR",0,1)</f>
        <v/>
      </c>
      <c r="CT9" s="48">
        <f>IF(LEFT($J9,3)="ADM",1,0)</f>
        <v/>
      </c>
      <c r="CU9" s="48">
        <f>IF(OR($J9="ADM-ACT-MAT-CNE",$J9="ADM-ACT-MAT-CE",$J9="ADM-INACT-M&amp;T"),1,0)</f>
        <v/>
      </c>
      <c r="CV9" s="48">
        <f>IF(AND(CU9=1,ISNUMBER(M9),ISNUMBER(I9)),M9-I9,"")</f>
        <v/>
      </c>
      <c r="CW9" s="48">
        <f>IF(ISNUMBER(I9),TODAY()-I9,"")</f>
        <v/>
      </c>
      <c r="CX9" s="48">
        <f>IF(ISNUMBER(I9),DATE(YEAR(I9),MONTH(I9),1),"")</f>
        <v/>
      </c>
      <c r="CY9" s="48">
        <f>IFERROR(DATEDIF(AK9,TODAY(),"y"),"")</f>
        <v/>
      </c>
      <c r="CZ9" s="48">
        <f>IF(CY9="","",IF(CY9&lt;28,"18-27",IF(CY9&lt;38,"28-37",IF(CY9&lt;48,"38-47",IF(CY9&lt;58,"48-57",IF(CY9&lt;68,"58-67",IF(CY9&lt;78,"68-77","78+")))))) </f>
        <v/>
      </c>
      <c r="DA9" s="48">
        <f>IF(AND(BQ9&lt;&gt;"",BR9=""),N(BS9),0)+IF(AND(BW9&lt;&gt;"",BX9=""),N(BY9),0)+IF(AND(CC9&lt;&gt;"",CD9=""),N(CE9),0)+IF(AND(CI9&lt;&gt;"",CJ9=""),N(CK9),0)+IF(AND(CO9&lt;&gt;"",CP9=""),N(CQ9),0)</f>
        <v/>
      </c>
      <c r="DB9" s="48">
        <f>ROUND(IF(BQ9&lt;&gt;"",N(BS9)*MAX(0,((IF(BR9="",TODAY(),BR9))-BQ9)/7),0)+IF(BW9&lt;&gt;"",N(BY9)*MAX(0,((IF(BX9="",TODAY(),BX9))-BW9)/7),0)+IF(CC9&lt;&gt;"",N(CE9)*MAX(0,((IF(CD9="",TODAY(),CD9))-CC9)/7),0)+IF(CI9&lt;&gt;"",N(CK9)*MAX(0,((IF(CJ9="",TODAY(),CJ9))-CI9)/7),0)+IF(CO9&lt;&gt;"",N(CQ9)*MAX(0,((IF(CP9="",TODAY(),CP9))-CO9)/7),0),1)</f>
        <v/>
      </c>
      <c r="DC9" s="48">
        <f>IF(OR(TRIM(X9)="",TRIM(X9)="NA;",TRIM(X9)="NA"),0,1)</f>
        <v/>
      </c>
      <c r="DD9" s="48">
        <f>IF(OR(TRIM(Y9)="",TRIM(Y9)="NA;",TRIM(Y9)="NA"),0,1)</f>
        <v/>
      </c>
      <c r="DE9" s="48">
        <f>IF(OR(TRIM(Z9)="",TRIM(Z9)="NA;",TRIM(Z9)="NA"),0,1)</f>
        <v/>
      </c>
      <c r="DF9" s="48">
        <f>IF(OR(TRIM(AA9)="",TRIM(AA9)="NA;",TRIM(AA9)="NA"),0,1)</f>
        <v/>
      </c>
      <c r="DG9" s="48">
        <f>IF(OR(TRIM(AB9)="",TRIM(AB9)="NA;",TRIM(AB9)="NA"),0,1)</f>
        <v/>
      </c>
      <c r="DH9" s="48">
        <f>IF(OR(TRIM(AC9)="",TRIM(AC9)="NA;",TRIM(AC9)="NA"),0,1)</f>
        <v/>
      </c>
      <c r="DI9" s="48">
        <f>IF(OR(TRIM(AD9)="",TRIM(AD9)="NA;",TRIM(AD9)="NA"),0,1)</f>
        <v/>
      </c>
      <c r="DJ9" s="48">
        <f>TRIM(IF(DC9=1,"Mon ","")&amp;IF(DD9=1,"Tue ","")&amp;IF(DE9=1,"Wed ","")&amp;IF(DF9=1,"Thu ","")&amp;IF(DG9=1,"Fri ","")&amp;IF(DH9=1,"Sat ","")&amp;IF(DI9=1,"Sun ",""))</f>
        <v/>
      </c>
    </row>
    <row r="10">
      <c r="A10" s="48" t="inlineStr">
        <is>
          <t>T-O-00008</t>
        </is>
      </c>
      <c r="B10" s="48" t="inlineStr">
        <is>
          <t>Chloe Bourne</t>
        </is>
      </c>
      <c r="C10" s="48" t="inlineStr">
        <is>
          <t>chloe.bourne8@example.com</t>
        </is>
      </c>
      <c r="D10" s="48" t="inlineStr">
        <is>
          <t>+61 439 682 418</t>
        </is>
      </c>
      <c r="E10" s="48" t="inlineStr">
        <is>
          <t>Sam Silva</t>
        </is>
      </c>
      <c r="F10" s="48" t="inlineStr">
        <is>
          <t>+61 484 086 290</t>
        </is>
      </c>
      <c r="G10" s="48" t="inlineStr">
        <is>
          <t>Friend</t>
        </is>
      </c>
      <c r="H10" s="48" t="inlineStr">
        <is>
          <t>Tutor</t>
        </is>
      </c>
      <c r="I10" s="49" t="n">
        <v>45342</v>
      </c>
      <c r="J10" s="48" t="inlineStr">
        <is>
          <t>ADM-INACT-NOM&amp;T</t>
        </is>
      </c>
      <c r="K10" s="48">
        <f>IFERROR(VLOOKUP(J10,'(A) Introduction'!$B$35:$C$45,2,FALSE),"")</f>
        <v/>
      </c>
      <c r="L10" s="48" t="inlineStr">
        <is>
          <t>No</t>
        </is>
      </c>
      <c r="M10" s="48" t="inlineStr"/>
      <c r="N10" s="48" t="inlineStr"/>
      <c r="O10" s="48" t="n">
        <v>2</v>
      </c>
      <c r="P10" s="48">
        <f>IF($H10="Tutor",((BQ10&lt;&gt;"")*(BR10=""))+((BW10&lt;&gt;"")*(BX10=""))+((CC10&lt;&gt;"")*(CD10=""))+((CI10&lt;&gt;"")*(CJ10=""))+((CO10&lt;&gt;"")*(CP10="")),SUMPRODUCT(--($BO$3:$BO$202=$A10),--($BR$3:$BR$202=""))+SUMPRODUCT(--($BU$3:$BU$202=$A10),--($BX$3:$BX$202=""))+SUMPRODUCT(--($CA$3:$CA$202=$A10),--($CD$3:$CD$202=""))+SUMPRODUCT(--($CG$3:$CG$202=$A10),--($CJ$3:$CJ$202=""))+SUMPRODUCT(--($CM$3:$CM$202=$A10),--($CP$3:$CP$202="")))</f>
        <v/>
      </c>
      <c r="Q10" s="48">
        <f>IF($H10="Tutor",(BQ10&lt;&gt;"")+(BW10&lt;&gt;"")+(CC10&lt;&gt;"")+(CI10&lt;&gt;"")+(CO10&lt;&gt;""),SUMPRODUCT(--($BO$3:$BO$202=$A10))+SUMPRODUCT(--($BU$3:$BU$202=$A10))+SUMPRODUCT(--($CA$3:$CA$202=$A10))+SUMPRODUCT(--($CG$3:$CG$202=$A10))+SUMPRODUCT(--($CM$3:$CM$202=$A10)))</f>
        <v/>
      </c>
      <c r="R10" s="48">
        <f>IF($H10="Tutor",TRIM(IF(AND(BQ10&lt;&gt;"",BR10=""),BP10&amp;"; ","")&amp;IF(AND(BW10&lt;&gt;"",BX10=""),BV10&amp;"; ","")&amp;IF(AND(CC10&lt;&gt;"",CD10=""),CB10&amp;"; ","")&amp;IF(AND(CI10&lt;&gt;"",CJ10=""),CH10&amp;"; ","")&amp;IF(AND(CO10&lt;&gt;"",CP10=""),CN10&amp;"; ","")),IFERROR(INDEX($A$3:$B$202,(SUMPRODUCT(($BO$3:$BO$202=$A10)*($BR$3:$BR$202="")*ROW($BO$3:$BO$202))+SUMPRODUCT(($BU$3:$BU$202=$A10)*($BX$3:$BX$202="")*ROW($BU$3:$BU$202))+SUMPRODUCT(($CA$3:$CA$202=$A10)*($CD$3:$CD$202="")*ROW($CA$3:$CA$202))+SUMPRODUCT(($CG$3:$CG$202=$A10)*($CJ$3:$CJ$202="")*ROW($CG$3:$CG$202))+SUMPRODUCT(($CM$3:$CM$202=$A10)*($CP$3:$CP$202="")*ROW($CM$3:$CM$202)))-2,2),""))</f>
        <v/>
      </c>
      <c r="S10" s="48" t="inlineStr">
        <is>
          <t>Not Provided</t>
        </is>
      </c>
      <c r="T10" s="48" t="inlineStr"/>
      <c r="U10" s="48" t="inlineStr"/>
      <c r="V10" s="49" t="n">
        <v>45662</v>
      </c>
      <c r="W10" s="48" t="inlineStr">
        <is>
          <t>ACDT (UTC+10:30)</t>
        </is>
      </c>
      <c r="X10" s="48" t="inlineStr">
        <is>
          <t>3pm-6pm;</t>
        </is>
      </c>
      <c r="Y10" s="48" t="inlineStr">
        <is>
          <t>9am-12pm;12pm-3pm;3pm-6pm;</t>
        </is>
      </c>
      <c r="Z10" s="48" t="inlineStr">
        <is>
          <t>9am-12pm;</t>
        </is>
      </c>
      <c r="AA10" s="48" t="inlineStr">
        <is>
          <t>12pm-3pm;</t>
        </is>
      </c>
      <c r="AB10" s="48" t="inlineStr">
        <is>
          <t>12pm-3pm;6pm-9pm;</t>
        </is>
      </c>
      <c r="AC10" s="48" t="inlineStr">
        <is>
          <t>12pm-3pm;6pm-9pm;</t>
        </is>
      </c>
      <c r="AD10" s="48" t="inlineStr">
        <is>
          <t>9am-12pm;</t>
        </is>
      </c>
      <c r="AE10" s="48" t="inlineStr">
        <is>
          <t>Either</t>
        </is>
      </c>
      <c r="AF10" s="48" t="inlineStr">
        <is>
          <t>NA - Tutor</t>
        </is>
      </c>
      <c r="AG10" s="48" t="inlineStr">
        <is>
          <t>Australia</t>
        </is>
      </c>
      <c r="AH10" s="48" t="inlineStr">
        <is>
          <t>Victoria</t>
        </is>
      </c>
      <c r="AI10" s="48" t="inlineStr">
        <is>
          <t>Dandenong</t>
        </is>
      </c>
      <c r="AJ10" s="48" t="inlineStr">
        <is>
          <t>3175</t>
        </is>
      </c>
      <c r="AK10" s="49" t="n">
        <v>31971</v>
      </c>
      <c r="AL10" s="48" t="inlineStr">
        <is>
          <t>Male</t>
        </is>
      </c>
      <c r="AM10" s="48" t="inlineStr">
        <is>
          <t>NA</t>
        </is>
      </c>
      <c r="AN10" s="48" t="inlineStr">
        <is>
          <t>NA - Tutor</t>
        </is>
      </c>
      <c r="AO10" s="48" t="inlineStr">
        <is>
          <t>Outstanding</t>
        </is>
      </c>
      <c r="AP10" s="48" t="inlineStr">
        <is>
          <t>Lebanon</t>
        </is>
      </c>
      <c r="AQ10" s="48" t="inlineStr">
        <is>
          <t>NA</t>
        </is>
      </c>
      <c r="AR10" s="48" t="inlineStr">
        <is>
          <t>English (C2)</t>
        </is>
      </c>
      <c r="AS10" s="48" t="inlineStr">
        <is>
          <t>Muslim</t>
        </is>
      </c>
      <c r="AT10" s="48" t="inlineStr">
        <is>
          <t>Health &amp; Medicine</t>
        </is>
      </c>
      <c r="AU10" s="48" t="inlineStr">
        <is>
          <t>Accountant</t>
        </is>
      </c>
      <c r="AV10" s="48" t="inlineStr">
        <is>
          <t>NA - Tutor</t>
        </is>
      </c>
      <c r="AW10" s="48" t="inlineStr">
        <is>
          <t>Travel; Sport; Movies</t>
        </is>
      </c>
      <c r="AX10" s="48" t="inlineStr">
        <is>
          <t>NA - Tutor</t>
        </is>
      </c>
      <c r="AY10" s="48" t="inlineStr">
        <is>
          <t>NA - RELT Member Verified</t>
        </is>
      </c>
      <c r="AZ10" s="48" t="inlineStr">
        <is>
          <t>No</t>
        </is>
      </c>
      <c r="BA10" s="48" t="inlineStr">
        <is>
          <t>Hannah Baker</t>
        </is>
      </c>
      <c r="BB10" s="48" t="inlineStr">
        <is>
          <t>Academic Referee</t>
        </is>
      </c>
      <c r="BC10" s="48" t="inlineStr">
        <is>
          <t>jose.schaffer508@example.com</t>
        </is>
      </c>
      <c r="BD10" s="48" t="inlineStr">
        <is>
          <t>Yes</t>
        </is>
      </c>
      <c r="BE10" s="48" t="inlineStr">
        <is>
          <t>WWC5280939E</t>
        </is>
      </c>
      <c r="BF10" s="49" t="n">
        <v>46514</v>
      </c>
      <c r="BG10" s="48" t="inlineStr">
        <is>
          <t>Yes</t>
        </is>
      </c>
      <c r="BH10" s="48" t="inlineStr">
        <is>
          <t>Adults Only</t>
        </is>
      </c>
      <c r="BI10" s="48" t="inlineStr">
        <is>
          <t>Jesuit Refugee Service</t>
        </is>
      </c>
      <c r="BJ10" s="48" t="inlineStr">
        <is>
          <t>SHANAHAN Jack</t>
        </is>
      </c>
      <c r="BK10" s="48" t="inlineStr">
        <is>
          <t>NUICH Curtis</t>
        </is>
      </c>
      <c r="BL10" s="48" t="inlineStr">
        <is>
          <t>Synthetic test record.</t>
        </is>
      </c>
      <c r="BM10" s="48" t="inlineStr"/>
      <c r="BN10" s="48">
        <f>TRIM(IF(AND($H10="Student",$J10="ADM-ACT-MAT-CNE"),"Invalid: Student cannot be CNE. ","")&amp;IF(AND($H10="Student",ISNUMBER($O10)),"Check: capacity set for a Student. ","")&amp;IF(AND(LEFT($J10,11)="ADM-ACT-MAT",$P10=0),"Check: matched status but 0 active pairings. ","")&amp;IF(AND($H10="Tutor",ISNUMBER($O10),$P10&gt;$O10),"Check: pairings exceed capacity. ","")&amp;IF(AND($BH10="Everyone",NOT(AND($BD10="Yes",$BG10="Yes"))),"Check: approved to tutor children but WWCC not provided/confirmed. ","")&amp;IF(AND($P10&gt;0,NOT(AND(OR(LEFT($AY10,3)="Yes",LEFT($AY10,2)="NA"),OR(LEFT($AZ10,3)="Yes",LEFT($AZ10,2)="NA")))),"Matched but vetting incomplete (interview/reference). ","")&amp;IF(COUNTIF($B$3:$B$600,$B10)&gt;1,"Duplicate participant name. ",""))</f>
        <v/>
      </c>
      <c r="BO10" s="48" t="inlineStr"/>
      <c r="BP10" s="48" t="inlineStr"/>
      <c r="BQ10" s="48" t="inlineStr"/>
      <c r="BR10" s="48" t="inlineStr"/>
      <c r="BS10" s="48" t="inlineStr"/>
      <c r="BT10" s="48" t="inlineStr"/>
      <c r="BU10" s="48" t="inlineStr"/>
      <c r="BV10" s="48" t="inlineStr"/>
      <c r="BW10" s="48" t="inlineStr"/>
      <c r="BX10" s="48" t="inlineStr"/>
      <c r="BY10" s="48" t="inlineStr"/>
      <c r="BZ10" s="48" t="inlineStr"/>
      <c r="CA10" s="48" t="inlineStr"/>
      <c r="CB10" s="48" t="inlineStr"/>
      <c r="CC10" s="48" t="inlineStr"/>
      <c r="CD10" s="48" t="inlineStr"/>
      <c r="CE10" s="48" t="inlineStr"/>
      <c r="CF10" s="48" t="inlineStr"/>
      <c r="CG10" s="48" t="inlineStr"/>
      <c r="CH10" s="48" t="inlineStr"/>
      <c r="CI10" s="48" t="inlineStr"/>
      <c r="CJ10" s="48" t="inlineStr"/>
      <c r="CK10" s="48" t="inlineStr"/>
      <c r="CL10" s="48" t="inlineStr"/>
      <c r="CM10" s="48" t="inlineStr"/>
      <c r="CN10" s="48" t="inlineStr"/>
      <c r="CO10" s="48" t="inlineStr"/>
      <c r="CP10" s="48" t="inlineStr"/>
      <c r="CQ10" s="48" t="inlineStr"/>
      <c r="CR10" s="48" t="inlineStr"/>
      <c r="CS10" s="48">
        <f>IF(LEFT($J10,3)="ERR",0,1)</f>
        <v/>
      </c>
      <c r="CT10" s="48">
        <f>IF(LEFT($J10,3)="ADM",1,0)</f>
        <v/>
      </c>
      <c r="CU10" s="48">
        <f>IF(OR($J10="ADM-ACT-MAT-CNE",$J10="ADM-ACT-MAT-CE",$J10="ADM-INACT-M&amp;T"),1,0)</f>
        <v/>
      </c>
      <c r="CV10" s="48">
        <f>IF(AND(CU10=1,ISNUMBER(M10),ISNUMBER(I10)),M10-I10,"")</f>
        <v/>
      </c>
      <c r="CW10" s="48">
        <f>IF(ISNUMBER(I10),TODAY()-I10,"")</f>
        <v/>
      </c>
      <c r="CX10" s="48">
        <f>IF(ISNUMBER(I10),DATE(YEAR(I10),MONTH(I10),1),"")</f>
        <v/>
      </c>
      <c r="CY10" s="48">
        <f>IFERROR(DATEDIF(AK10,TODAY(),"y"),"")</f>
        <v/>
      </c>
      <c r="CZ10" s="48">
        <f>IF(CY10="","",IF(CY10&lt;28,"18-27",IF(CY10&lt;38,"28-37",IF(CY10&lt;48,"38-47",IF(CY10&lt;58,"48-57",IF(CY10&lt;68,"58-67",IF(CY10&lt;78,"68-77","78+")))))) </f>
        <v/>
      </c>
      <c r="DA10" s="48">
        <f>IF(AND(BQ10&lt;&gt;"",BR10=""),N(BS10),0)+IF(AND(BW10&lt;&gt;"",BX10=""),N(BY10),0)+IF(AND(CC10&lt;&gt;"",CD10=""),N(CE10),0)+IF(AND(CI10&lt;&gt;"",CJ10=""),N(CK10),0)+IF(AND(CO10&lt;&gt;"",CP10=""),N(CQ10),0)</f>
        <v/>
      </c>
      <c r="DB10" s="48">
        <f>ROUND(IF(BQ10&lt;&gt;"",N(BS10)*MAX(0,((IF(BR10="",TODAY(),BR10))-BQ10)/7),0)+IF(BW10&lt;&gt;"",N(BY10)*MAX(0,((IF(BX10="",TODAY(),BX10))-BW10)/7),0)+IF(CC10&lt;&gt;"",N(CE10)*MAX(0,((IF(CD10="",TODAY(),CD10))-CC10)/7),0)+IF(CI10&lt;&gt;"",N(CK10)*MAX(0,((IF(CJ10="",TODAY(),CJ10))-CI10)/7),0)+IF(CO10&lt;&gt;"",N(CQ10)*MAX(0,((IF(CP10="",TODAY(),CP10))-CO10)/7),0),1)</f>
        <v/>
      </c>
      <c r="DC10" s="48">
        <f>IF(OR(TRIM(X10)="",TRIM(X10)="NA;",TRIM(X10)="NA"),0,1)</f>
        <v/>
      </c>
      <c r="DD10" s="48">
        <f>IF(OR(TRIM(Y10)="",TRIM(Y10)="NA;",TRIM(Y10)="NA"),0,1)</f>
        <v/>
      </c>
      <c r="DE10" s="48">
        <f>IF(OR(TRIM(Z10)="",TRIM(Z10)="NA;",TRIM(Z10)="NA"),0,1)</f>
        <v/>
      </c>
      <c r="DF10" s="48">
        <f>IF(OR(TRIM(AA10)="",TRIM(AA10)="NA;",TRIM(AA10)="NA"),0,1)</f>
        <v/>
      </c>
      <c r="DG10" s="48">
        <f>IF(OR(TRIM(AB10)="",TRIM(AB10)="NA;",TRIM(AB10)="NA"),0,1)</f>
        <v/>
      </c>
      <c r="DH10" s="48">
        <f>IF(OR(TRIM(AC10)="",TRIM(AC10)="NA;",TRIM(AC10)="NA"),0,1)</f>
        <v/>
      </c>
      <c r="DI10" s="48">
        <f>IF(OR(TRIM(AD10)="",TRIM(AD10)="NA;",TRIM(AD10)="NA"),0,1)</f>
        <v/>
      </c>
      <c r="DJ10" s="48">
        <f>TRIM(IF(DC10=1,"Mon ","")&amp;IF(DD10=1,"Tue ","")&amp;IF(DE10=1,"Wed ","")&amp;IF(DF10=1,"Thu ","")&amp;IF(DG10=1,"Fri ","")&amp;IF(DH10=1,"Sat ","")&amp;IF(DI10=1,"Sun ",""))</f>
        <v/>
      </c>
    </row>
    <row r="11">
      <c r="A11" s="48" t="inlineStr">
        <is>
          <t>T-O-00009</t>
        </is>
      </c>
      <c r="B11" s="48" t="inlineStr">
        <is>
          <t>Mark Bourne</t>
        </is>
      </c>
      <c r="C11" s="48" t="inlineStr">
        <is>
          <t>mark.bourne9@example.com</t>
        </is>
      </c>
      <c r="D11" s="48" t="inlineStr">
        <is>
          <t>+61 425 150 025</t>
        </is>
      </c>
      <c r="E11" s="48" t="inlineStr">
        <is>
          <t>Daniel Green</t>
        </is>
      </c>
      <c r="F11" s="48" t="inlineStr">
        <is>
          <t>+61 440 972 773</t>
        </is>
      </c>
      <c r="G11" s="48" t="inlineStr">
        <is>
          <t>Adult Child</t>
        </is>
      </c>
      <c r="H11" s="48" t="inlineStr">
        <is>
          <t>Tutor</t>
        </is>
      </c>
      <c r="I11" s="49" t="n">
        <v>45353</v>
      </c>
      <c r="J11" s="48" t="inlineStr">
        <is>
          <t>ADM-ACT-MAT-CE</t>
        </is>
      </c>
      <c r="K11" s="48">
        <f>IFERROR(VLOOKUP(J11,'(A) Introduction'!$B$35:$C$45,2,FALSE),"")</f>
        <v/>
      </c>
      <c r="L11" s="48" t="inlineStr">
        <is>
          <t>No</t>
        </is>
      </c>
      <c r="M11" s="48" t="inlineStr"/>
      <c r="N11" s="48" t="inlineStr"/>
      <c r="O11" s="48" t="n">
        <v>2</v>
      </c>
      <c r="P11" s="48">
        <f>IF($H11="Tutor",((BQ11&lt;&gt;"")*(BR11=""))+((BW11&lt;&gt;"")*(BX11=""))+((CC11&lt;&gt;"")*(CD11=""))+((CI11&lt;&gt;"")*(CJ11=""))+((CO11&lt;&gt;"")*(CP11="")),SUMPRODUCT(--($BO$3:$BO$202=$A11),--($BR$3:$BR$202=""))+SUMPRODUCT(--($BU$3:$BU$202=$A11),--($BX$3:$BX$202=""))+SUMPRODUCT(--($CA$3:$CA$202=$A11),--($CD$3:$CD$202=""))+SUMPRODUCT(--($CG$3:$CG$202=$A11),--($CJ$3:$CJ$202=""))+SUMPRODUCT(--($CM$3:$CM$202=$A11),--($CP$3:$CP$202="")))</f>
        <v/>
      </c>
      <c r="Q11" s="48">
        <f>IF($H11="Tutor",(BQ11&lt;&gt;"")+(BW11&lt;&gt;"")+(CC11&lt;&gt;"")+(CI11&lt;&gt;"")+(CO11&lt;&gt;""),SUMPRODUCT(--($BO$3:$BO$202=$A11))+SUMPRODUCT(--($BU$3:$BU$202=$A11))+SUMPRODUCT(--($CA$3:$CA$202=$A11))+SUMPRODUCT(--($CG$3:$CG$202=$A11))+SUMPRODUCT(--($CM$3:$CM$202=$A11)))</f>
        <v/>
      </c>
      <c r="R11" s="48">
        <f>IF($H11="Tutor",TRIM(IF(AND(BQ11&lt;&gt;"",BR11=""),BP11&amp;"; ","")&amp;IF(AND(BW11&lt;&gt;"",BX11=""),BV11&amp;"; ","")&amp;IF(AND(CC11&lt;&gt;"",CD11=""),CB11&amp;"; ","")&amp;IF(AND(CI11&lt;&gt;"",CJ11=""),CH11&amp;"; ","")&amp;IF(AND(CO11&lt;&gt;"",CP11=""),CN11&amp;"; ","")),IFERROR(INDEX($A$3:$B$202,(SUMPRODUCT(($BO$3:$BO$202=$A11)*($BR$3:$BR$202="")*ROW($BO$3:$BO$202))+SUMPRODUCT(($BU$3:$BU$202=$A11)*($BX$3:$BX$202="")*ROW($BU$3:$BU$202))+SUMPRODUCT(($CA$3:$CA$202=$A11)*($CD$3:$CD$202="")*ROW($CA$3:$CA$202))+SUMPRODUCT(($CG$3:$CG$202=$A11)*($CJ$3:$CJ$202="")*ROW($CG$3:$CG$202))+SUMPRODUCT(($CM$3:$CM$202=$A11)*($CP$3:$CP$202="")*ROW($CM$3:$CM$202)))-2,2),""))</f>
        <v/>
      </c>
      <c r="S11" s="48" t="inlineStr">
        <is>
          <t>Provided</t>
        </is>
      </c>
      <c r="T11" s="48" t="inlineStr"/>
      <c r="U11" s="48" t="inlineStr"/>
      <c r="V11" s="49" t="n">
        <v>46139</v>
      </c>
      <c r="W11" s="48" t="inlineStr">
        <is>
          <t>AEDT (UTC+11)</t>
        </is>
      </c>
      <c r="X11" s="48" t="inlineStr">
        <is>
          <t>6pm-9pm;</t>
        </is>
      </c>
      <c r="Y11" s="48" t="inlineStr">
        <is>
          <t>6pm-9pm;</t>
        </is>
      </c>
      <c r="Z11" s="48" t="inlineStr">
        <is>
          <t>12pm-3pm;6pm-9pm;</t>
        </is>
      </c>
      <c r="AA11" s="48" t="inlineStr">
        <is>
          <t>12pm-3pm;</t>
        </is>
      </c>
      <c r="AB11" s="48" t="inlineStr">
        <is>
          <t>12pm-3pm;6pm-9pm;</t>
        </is>
      </c>
      <c r="AC11" s="48" t="inlineStr">
        <is>
          <t>6pm-9pm;</t>
        </is>
      </c>
      <c r="AD11" s="48" t="inlineStr">
        <is>
          <t>12pm-3pm;6pm-9pm;</t>
        </is>
      </c>
      <c r="AE11" s="48" t="inlineStr">
        <is>
          <t>Online</t>
        </is>
      </c>
      <c r="AF11" s="48" t="inlineStr">
        <is>
          <t>NA - Tutor</t>
        </is>
      </c>
      <c r="AG11" s="48" t="inlineStr">
        <is>
          <t>Australia</t>
        </is>
      </c>
      <c r="AH11" s="48" t="inlineStr">
        <is>
          <t>New South Wales</t>
        </is>
      </c>
      <c r="AI11" s="48" t="inlineStr">
        <is>
          <t>Eastlakes</t>
        </is>
      </c>
      <c r="AJ11" s="48" t="inlineStr">
        <is>
          <t>2018</t>
        </is>
      </c>
      <c r="AK11" s="49" t="n">
        <v>25064</v>
      </c>
      <c r="AL11" s="48" t="inlineStr">
        <is>
          <t>Other</t>
        </is>
      </c>
      <c r="AM11" s="48" t="inlineStr">
        <is>
          <t>NA</t>
        </is>
      </c>
      <c r="AN11" s="48" t="inlineStr">
        <is>
          <t>NA - Tutor</t>
        </is>
      </c>
      <c r="AO11" s="48" t="inlineStr">
        <is>
          <t>Low</t>
        </is>
      </c>
      <c r="AP11" s="48" t="inlineStr">
        <is>
          <t>Australia</t>
        </is>
      </c>
      <c r="AQ11" s="48" t="inlineStr">
        <is>
          <t>NA</t>
        </is>
      </c>
      <c r="AR11" s="48" t="inlineStr">
        <is>
          <t>English (C2)</t>
        </is>
      </c>
      <c r="AS11" s="48" t="inlineStr">
        <is>
          <t>Christian (Orthodox)</t>
        </is>
      </c>
      <c r="AT11" s="48" t="inlineStr">
        <is>
          <t>Childcare &amp; Aged Care</t>
        </is>
      </c>
      <c r="AU11" s="48" t="inlineStr">
        <is>
          <t>Retail</t>
        </is>
      </c>
      <c r="AV11" s="48" t="inlineStr">
        <is>
          <t>NA - Tutor</t>
        </is>
      </c>
      <c r="AW11" s="48" t="inlineStr">
        <is>
          <t>Art; Photography; Travel</t>
        </is>
      </c>
      <c r="AX11" s="48" t="inlineStr">
        <is>
          <t>NA - Tutor</t>
        </is>
      </c>
      <c r="AY11" s="48" t="inlineStr">
        <is>
          <t>Yes</t>
        </is>
      </c>
      <c r="AZ11" s="48" t="inlineStr">
        <is>
          <t>Yes</t>
        </is>
      </c>
      <c r="BA11" s="48" t="inlineStr">
        <is>
          <t>Tom Lee</t>
        </is>
      </c>
      <c r="BB11" s="48" t="inlineStr">
        <is>
          <t>Friend</t>
        </is>
      </c>
      <c r="BC11" s="48" t="inlineStr">
        <is>
          <t>daniel.smith509@example.com</t>
        </is>
      </c>
      <c r="BD11" s="48" t="inlineStr">
        <is>
          <t>Yes</t>
        </is>
      </c>
      <c r="BE11" s="48" t="inlineStr">
        <is>
          <t>WWC7692721E</t>
        </is>
      </c>
      <c r="BF11" s="49" t="n">
        <v>46065</v>
      </c>
      <c r="BG11" s="48" t="inlineStr">
        <is>
          <t>Yes</t>
        </is>
      </c>
      <c r="BH11" s="48" t="inlineStr">
        <is>
          <t>Adults Only</t>
        </is>
      </c>
      <c r="BI11" s="48" t="inlineStr">
        <is>
          <t>STARTTS</t>
        </is>
      </c>
      <c r="BJ11" s="48" t="inlineStr">
        <is>
          <t>THET Moh Moh</t>
        </is>
      </c>
      <c r="BK11" s="48" t="inlineStr">
        <is>
          <t>SHANAHAN Jack</t>
        </is>
      </c>
      <c r="BL11" s="48" t="inlineStr">
        <is>
          <t>Synthetic test record.</t>
        </is>
      </c>
      <c r="BM11" s="48" t="inlineStr"/>
      <c r="BN11" s="48">
        <f>TRIM(IF(AND($H11="Student",$J11="ADM-ACT-MAT-CNE"),"Invalid: Student cannot be CNE. ","")&amp;IF(AND($H11="Student",ISNUMBER($O11)),"Check: capacity set for a Student. ","")&amp;IF(AND(LEFT($J11,11)="ADM-ACT-MAT",$P11=0),"Check: matched status but 0 active pairings. ","")&amp;IF(AND($H11="Tutor",ISNUMBER($O11),$P11&gt;$O11),"Check: pairings exceed capacity. ","")&amp;IF(AND($BH11="Everyone",NOT(AND($BD11="Yes",$BG11="Yes"))),"Check: approved to tutor children but WWCC not provided/confirmed. ","")&amp;IF(AND($P11&gt;0,NOT(AND(OR(LEFT($AY11,3)="Yes",LEFT($AY11,2)="NA"),OR(LEFT($AZ11,3)="Yes",LEFT($AZ11,2)="NA")))),"Matched but vetting incomplete (interview/reference). ","")&amp;IF(COUNTIF($B$3:$B$600,$B11)&gt;1,"Duplicate participant name. ",""))</f>
        <v/>
      </c>
      <c r="BO11" s="48" t="inlineStr">
        <is>
          <t>S-N-00017</t>
        </is>
      </c>
      <c r="BP11" s="48">
        <f>IFERROR(VLOOKUP(BO11,$A:$B,2,FALSE),"")</f>
        <v/>
      </c>
      <c r="BQ11" s="49" t="n">
        <v>45831</v>
      </c>
      <c r="BR11" s="48" t="inlineStr"/>
      <c r="BS11" s="48" t="n">
        <v>1.5</v>
      </c>
      <c r="BT11" s="48" t="inlineStr">
        <is>
          <t>THET Moh Moh</t>
        </is>
      </c>
      <c r="BU11" s="48" t="inlineStr">
        <is>
          <t>S-O-00041</t>
        </is>
      </c>
      <c r="BV11" s="48">
        <f>IFERROR(VLOOKUP(BU11,$A:$B,2,FALSE),"")</f>
        <v/>
      </c>
      <c r="BW11" s="49" t="n">
        <v>45617</v>
      </c>
      <c r="BX11" s="48" t="inlineStr"/>
      <c r="BY11" s="48" t="n">
        <v>1</v>
      </c>
      <c r="BZ11" s="48" t="inlineStr">
        <is>
          <t>MCCRORIE John</t>
        </is>
      </c>
      <c r="CA11" s="48" t="inlineStr"/>
      <c r="CB11" s="48" t="inlineStr"/>
      <c r="CC11" s="48" t="inlineStr"/>
      <c r="CD11" s="48" t="inlineStr"/>
      <c r="CE11" s="48" t="inlineStr"/>
      <c r="CF11" s="48" t="inlineStr"/>
      <c r="CG11" s="48" t="inlineStr"/>
      <c r="CH11" s="48" t="inlineStr"/>
      <c r="CI11" s="48" t="inlineStr"/>
      <c r="CJ11" s="48" t="inlineStr"/>
      <c r="CK11" s="48" t="inlineStr"/>
      <c r="CL11" s="48" t="inlineStr"/>
      <c r="CM11" s="48" t="inlineStr"/>
      <c r="CN11" s="48" t="inlineStr"/>
      <c r="CO11" s="48" t="inlineStr"/>
      <c r="CP11" s="48" t="inlineStr"/>
      <c r="CQ11" s="48" t="inlineStr"/>
      <c r="CR11" s="48" t="inlineStr"/>
      <c r="CS11" s="48">
        <f>IF(LEFT($J11,3)="ERR",0,1)</f>
        <v/>
      </c>
      <c r="CT11" s="48">
        <f>IF(LEFT($J11,3)="ADM",1,0)</f>
        <v/>
      </c>
      <c r="CU11" s="48">
        <f>IF(OR($J11="ADM-ACT-MAT-CNE",$J11="ADM-ACT-MAT-CE",$J11="ADM-INACT-M&amp;T"),1,0)</f>
        <v/>
      </c>
      <c r="CV11" s="48">
        <f>IF(AND(CU11=1,ISNUMBER(M11),ISNUMBER(I11)),M11-I11,"")</f>
        <v/>
      </c>
      <c r="CW11" s="48">
        <f>IF(ISNUMBER(I11),TODAY()-I11,"")</f>
        <v/>
      </c>
      <c r="CX11" s="48">
        <f>IF(ISNUMBER(I11),DATE(YEAR(I11),MONTH(I11),1),"")</f>
        <v/>
      </c>
      <c r="CY11" s="48">
        <f>IFERROR(DATEDIF(AK11,TODAY(),"y"),"")</f>
        <v/>
      </c>
      <c r="CZ11" s="48">
        <f>IF(CY11="","",IF(CY11&lt;28,"18-27",IF(CY11&lt;38,"28-37",IF(CY11&lt;48,"38-47",IF(CY11&lt;58,"48-57",IF(CY11&lt;68,"58-67",IF(CY11&lt;78,"68-77","78+")))))) </f>
        <v/>
      </c>
      <c r="DA11" s="48">
        <f>IF(AND(BQ11&lt;&gt;"",BR11=""),N(BS11),0)+IF(AND(BW11&lt;&gt;"",BX11=""),N(BY11),0)+IF(AND(CC11&lt;&gt;"",CD11=""),N(CE11),0)+IF(AND(CI11&lt;&gt;"",CJ11=""),N(CK11),0)+IF(AND(CO11&lt;&gt;"",CP11=""),N(CQ11),0)</f>
        <v/>
      </c>
      <c r="DB11" s="48">
        <f>ROUND(IF(BQ11&lt;&gt;"",N(BS11)*MAX(0,((IF(BR11="",TODAY(),BR11))-BQ11)/7),0)+IF(BW11&lt;&gt;"",N(BY11)*MAX(0,((IF(BX11="",TODAY(),BX11))-BW11)/7),0)+IF(CC11&lt;&gt;"",N(CE11)*MAX(0,((IF(CD11="",TODAY(),CD11))-CC11)/7),0)+IF(CI11&lt;&gt;"",N(CK11)*MAX(0,((IF(CJ11="",TODAY(),CJ11))-CI11)/7),0)+IF(CO11&lt;&gt;"",N(CQ11)*MAX(0,((IF(CP11="",TODAY(),CP11))-CO11)/7),0),1)</f>
        <v/>
      </c>
      <c r="DC11" s="48">
        <f>IF(OR(TRIM(X11)="",TRIM(X11)="NA;",TRIM(X11)="NA"),0,1)</f>
        <v/>
      </c>
      <c r="DD11" s="48">
        <f>IF(OR(TRIM(Y11)="",TRIM(Y11)="NA;",TRIM(Y11)="NA"),0,1)</f>
        <v/>
      </c>
      <c r="DE11" s="48">
        <f>IF(OR(TRIM(Z11)="",TRIM(Z11)="NA;",TRIM(Z11)="NA"),0,1)</f>
        <v/>
      </c>
      <c r="DF11" s="48">
        <f>IF(OR(TRIM(AA11)="",TRIM(AA11)="NA;",TRIM(AA11)="NA"),0,1)</f>
        <v/>
      </c>
      <c r="DG11" s="48">
        <f>IF(OR(TRIM(AB11)="",TRIM(AB11)="NA;",TRIM(AB11)="NA"),0,1)</f>
        <v/>
      </c>
      <c r="DH11" s="48">
        <f>IF(OR(TRIM(AC11)="",TRIM(AC11)="NA;",TRIM(AC11)="NA"),0,1)</f>
        <v/>
      </c>
      <c r="DI11" s="48">
        <f>IF(OR(TRIM(AD11)="",TRIM(AD11)="NA;",TRIM(AD11)="NA"),0,1)</f>
        <v/>
      </c>
      <c r="DJ11" s="48">
        <f>TRIM(IF(DC11=1,"Mon ","")&amp;IF(DD11=1,"Tue ","")&amp;IF(DE11=1,"Wed ","")&amp;IF(DF11=1,"Thu ","")&amp;IF(DG11=1,"Fri ","")&amp;IF(DH11=1,"Sat ","")&amp;IF(DI11=1,"Sun ",""))</f>
        <v/>
      </c>
    </row>
    <row r="12">
      <c r="A12" s="48" t="inlineStr">
        <is>
          <t>T-O-00010</t>
        </is>
      </c>
      <c r="B12" s="48" t="inlineStr">
        <is>
          <t>Ahmad Taylor</t>
        </is>
      </c>
      <c r="C12" s="48" t="inlineStr">
        <is>
          <t>ahmad.taylor10@example.com</t>
        </is>
      </c>
      <c r="D12" s="48" t="inlineStr">
        <is>
          <t>+61 433 769 253</t>
        </is>
      </c>
      <c r="E12" s="48" t="inlineStr">
        <is>
          <t>Pedro Slaytor</t>
        </is>
      </c>
      <c r="F12" s="48" t="inlineStr">
        <is>
          <t>+61 498 598 968</t>
        </is>
      </c>
      <c r="G12" s="48" t="inlineStr">
        <is>
          <t>Caseworker</t>
        </is>
      </c>
      <c r="H12" s="48" t="inlineStr">
        <is>
          <t>Tutor</t>
        </is>
      </c>
      <c r="I12" s="49" t="n">
        <v>45367</v>
      </c>
      <c r="J12" s="48" t="inlineStr">
        <is>
          <t>ADM-ACT-MAT-CNE</t>
        </is>
      </c>
      <c r="K12" s="48">
        <f>IFERROR(VLOOKUP(J12,'(A) Introduction'!$B$35:$C$45,2,FALSE),"")</f>
        <v/>
      </c>
      <c r="L12" s="48" t="inlineStr">
        <is>
          <t>No</t>
        </is>
      </c>
      <c r="M12" s="48" t="inlineStr"/>
      <c r="N12" s="48" t="inlineStr"/>
      <c r="O12" s="48" t="n">
        <v>3</v>
      </c>
      <c r="P12" s="48">
        <f>IF($H12="Tutor",((BQ12&lt;&gt;"")*(BR12=""))+((BW12&lt;&gt;"")*(BX12=""))+((CC12&lt;&gt;"")*(CD12=""))+((CI12&lt;&gt;"")*(CJ12=""))+((CO12&lt;&gt;"")*(CP12="")),SUMPRODUCT(--($BO$3:$BO$202=$A12),--($BR$3:$BR$202=""))+SUMPRODUCT(--($BU$3:$BU$202=$A12),--($BX$3:$BX$202=""))+SUMPRODUCT(--($CA$3:$CA$202=$A12),--($CD$3:$CD$202=""))+SUMPRODUCT(--($CG$3:$CG$202=$A12),--($CJ$3:$CJ$202=""))+SUMPRODUCT(--($CM$3:$CM$202=$A12),--($CP$3:$CP$202="")))</f>
        <v/>
      </c>
      <c r="Q12" s="48">
        <f>IF($H12="Tutor",(BQ12&lt;&gt;"")+(BW12&lt;&gt;"")+(CC12&lt;&gt;"")+(CI12&lt;&gt;"")+(CO12&lt;&gt;""),SUMPRODUCT(--($BO$3:$BO$202=$A12))+SUMPRODUCT(--($BU$3:$BU$202=$A12))+SUMPRODUCT(--($CA$3:$CA$202=$A12))+SUMPRODUCT(--($CG$3:$CG$202=$A12))+SUMPRODUCT(--($CM$3:$CM$202=$A12)))</f>
        <v/>
      </c>
      <c r="R12" s="48">
        <f>IF($H12="Tutor",TRIM(IF(AND(BQ12&lt;&gt;"",BR12=""),BP12&amp;"; ","")&amp;IF(AND(BW12&lt;&gt;"",BX12=""),BV12&amp;"; ","")&amp;IF(AND(CC12&lt;&gt;"",CD12=""),CB12&amp;"; ","")&amp;IF(AND(CI12&lt;&gt;"",CJ12=""),CH12&amp;"; ","")&amp;IF(AND(CO12&lt;&gt;"",CP12=""),CN12&amp;"; ","")),IFERROR(INDEX($A$3:$B$202,(SUMPRODUCT(($BO$3:$BO$202=$A12)*($BR$3:$BR$202="")*ROW($BO$3:$BO$202))+SUMPRODUCT(($BU$3:$BU$202=$A12)*($BX$3:$BX$202="")*ROW($BU$3:$BU$202))+SUMPRODUCT(($CA$3:$CA$202=$A12)*($CD$3:$CD$202="")*ROW($CA$3:$CA$202))+SUMPRODUCT(($CG$3:$CG$202=$A12)*($CJ$3:$CJ$202="")*ROW($CG$3:$CG$202))+SUMPRODUCT(($CM$3:$CM$202=$A12)*($CP$3:$CP$202="")*ROW($CM$3:$CM$202)))-2,2),""))</f>
        <v/>
      </c>
      <c r="S12" s="48" t="inlineStr">
        <is>
          <t>NA</t>
        </is>
      </c>
      <c r="T12" s="48" t="inlineStr"/>
      <c r="U12" s="48" t="inlineStr"/>
      <c r="V12" s="49" t="n">
        <v>45721</v>
      </c>
      <c r="W12" s="48" t="inlineStr">
        <is>
          <t>AEDT (UTC+11)</t>
        </is>
      </c>
      <c r="X12" s="48" t="inlineStr">
        <is>
          <t>12pm-3pm;</t>
        </is>
      </c>
      <c r="Y12" s="48" t="inlineStr">
        <is>
          <t>3pm-6pm;</t>
        </is>
      </c>
      <c r="Z12" s="48" t="inlineStr">
        <is>
          <t>6pm-9pm;</t>
        </is>
      </c>
      <c r="AA12" s="48" t="inlineStr">
        <is>
          <t>6pm-9pm;</t>
        </is>
      </c>
      <c r="AB12" s="48" t="inlineStr">
        <is>
          <t>3pm-6pm;</t>
        </is>
      </c>
      <c r="AC12" s="48" t="inlineStr">
        <is>
          <t>12pm-3pm;</t>
        </is>
      </c>
      <c r="AD12" s="48" t="inlineStr">
        <is>
          <t>3pm-6pm;</t>
        </is>
      </c>
      <c r="AE12" s="48" t="inlineStr">
        <is>
          <t>In-Person</t>
        </is>
      </c>
      <c r="AF12" s="48" t="inlineStr">
        <is>
          <t>NA - Tutor</t>
        </is>
      </c>
      <c r="AG12" s="48" t="inlineStr">
        <is>
          <t>Australia</t>
        </is>
      </c>
      <c r="AH12" s="48" t="inlineStr">
        <is>
          <t>New South Wales</t>
        </is>
      </c>
      <c r="AI12" s="48" t="inlineStr">
        <is>
          <t>Blacktown</t>
        </is>
      </c>
      <c r="AJ12" s="48" t="inlineStr">
        <is>
          <t>2148</t>
        </is>
      </c>
      <c r="AK12" s="49" t="n">
        <v>27885</v>
      </c>
      <c r="AL12" s="48" t="inlineStr">
        <is>
          <t>Other</t>
        </is>
      </c>
      <c r="AM12" s="48" t="inlineStr">
        <is>
          <t>NA</t>
        </is>
      </c>
      <c r="AN12" s="48" t="inlineStr">
        <is>
          <t>NA - Tutor</t>
        </is>
      </c>
      <c r="AO12" s="48" t="inlineStr">
        <is>
          <t>Low</t>
        </is>
      </c>
      <c r="AP12" s="48" t="inlineStr">
        <is>
          <t>Australia; Egypt</t>
        </is>
      </c>
      <c r="AQ12" s="48" t="inlineStr">
        <is>
          <t>NA</t>
        </is>
      </c>
      <c r="AR12" s="48" t="inlineStr">
        <is>
          <t>English (C2)</t>
        </is>
      </c>
      <c r="AS12" s="48" t="inlineStr">
        <is>
          <t>Christian (Catholic)</t>
        </is>
      </c>
      <c r="AT12" s="48" t="inlineStr">
        <is>
          <t>Trades &amp; Construction</t>
        </is>
      </c>
      <c r="AU12" s="48" t="inlineStr">
        <is>
          <t>Student</t>
        </is>
      </c>
      <c r="AV12" s="48" t="inlineStr">
        <is>
          <t>NA - Tutor</t>
        </is>
      </c>
      <c r="AW12" s="48" t="inlineStr">
        <is>
          <t>Cooking; Reading; Music</t>
        </is>
      </c>
      <c r="AX12" s="48" t="inlineStr">
        <is>
          <t>NA - Tutor</t>
        </is>
      </c>
      <c r="AY12" s="48" t="inlineStr">
        <is>
          <t>NA - RELT Member Verified</t>
        </is>
      </c>
      <c r="AZ12" s="48" t="inlineStr">
        <is>
          <t>NA - Partner Organisation Verified</t>
        </is>
      </c>
      <c r="BA12" s="48" t="inlineStr">
        <is>
          <t>Layla King</t>
        </is>
      </c>
      <c r="BB12" s="48" t="inlineStr">
        <is>
          <t>Friend</t>
        </is>
      </c>
      <c r="BC12" s="48" t="inlineStr">
        <is>
          <t>viktor.hadaya510@example.com</t>
        </is>
      </c>
      <c r="BD12" s="48" t="inlineStr">
        <is>
          <t>Yes</t>
        </is>
      </c>
      <c r="BE12" s="48" t="inlineStr">
        <is>
          <t>WWC3733691V</t>
        </is>
      </c>
      <c r="BF12" s="49" t="n">
        <v>46847</v>
      </c>
      <c r="BG12" s="48" t="inlineStr">
        <is>
          <t>No</t>
        </is>
      </c>
      <c r="BH12" s="48" t="inlineStr">
        <is>
          <t>Adults Only</t>
        </is>
      </c>
      <c r="BI12" s="48" t="inlineStr">
        <is>
          <t>Settlement Services International</t>
        </is>
      </c>
      <c r="BJ12" s="48" t="inlineStr">
        <is>
          <t>AGARWAL Akanksha</t>
        </is>
      </c>
      <c r="BK12" s="48" t="inlineStr">
        <is>
          <t>HERVIR Oliver</t>
        </is>
      </c>
      <c r="BL12" s="48" t="inlineStr">
        <is>
          <t>Synthetic test record.</t>
        </is>
      </c>
      <c r="BM12" s="48" t="inlineStr"/>
      <c r="BN12" s="48">
        <f>TRIM(IF(AND($H12="Student",$J12="ADM-ACT-MAT-CNE"),"Invalid: Student cannot be CNE. ","")&amp;IF(AND($H12="Student",ISNUMBER($O12)),"Check: capacity set for a Student. ","")&amp;IF(AND(LEFT($J12,11)="ADM-ACT-MAT",$P12=0),"Check: matched status but 0 active pairings. ","")&amp;IF(AND($H12="Tutor",ISNUMBER($O12),$P12&gt;$O12),"Check: pairings exceed capacity. ","")&amp;IF(AND($BH12="Everyone",NOT(AND($BD12="Yes",$BG12="Yes"))),"Check: approved to tutor children but WWCC not provided/confirmed. ","")&amp;IF(AND($P12&gt;0,NOT(AND(OR(LEFT($AY12,3)="Yes",LEFT($AY12,2)="NA"),OR(LEFT($AZ12,3)="Yes",LEFT($AZ12,2)="NA")))),"Matched but vetting incomplete (interview/reference). ","")&amp;IF(COUNTIF($B$3:$B$600,$B12)&gt;1,"Duplicate participant name. ",""))</f>
        <v/>
      </c>
      <c r="BO12" s="48" t="inlineStr">
        <is>
          <t>S-N-00049</t>
        </is>
      </c>
      <c r="BP12" s="48">
        <f>IFERROR(VLOOKUP(BO12,$A:$B,2,FALSE),"")</f>
        <v/>
      </c>
      <c r="BQ12" s="49" t="n">
        <v>46098</v>
      </c>
      <c r="BR12" s="48" t="inlineStr"/>
      <c r="BS12" s="48" t="n">
        <v>2</v>
      </c>
      <c r="BT12" s="48" t="inlineStr">
        <is>
          <t>SINGH Veera</t>
        </is>
      </c>
      <c r="BU12" s="48" t="inlineStr"/>
      <c r="BV12" s="48" t="inlineStr"/>
      <c r="BW12" s="48" t="inlineStr"/>
      <c r="BX12" s="48" t="inlineStr"/>
      <c r="BY12" s="48" t="inlineStr"/>
      <c r="BZ12" s="48" t="inlineStr"/>
      <c r="CA12" s="48" t="inlineStr"/>
      <c r="CB12" s="48" t="inlineStr"/>
      <c r="CC12" s="48" t="inlineStr"/>
      <c r="CD12" s="48" t="inlineStr"/>
      <c r="CE12" s="48" t="inlineStr"/>
      <c r="CF12" s="48" t="inlineStr"/>
      <c r="CG12" s="48" t="inlineStr"/>
      <c r="CH12" s="48" t="inlineStr"/>
      <c r="CI12" s="48" t="inlineStr"/>
      <c r="CJ12" s="48" t="inlineStr"/>
      <c r="CK12" s="48" t="inlineStr"/>
      <c r="CL12" s="48" t="inlineStr"/>
      <c r="CM12" s="48" t="inlineStr"/>
      <c r="CN12" s="48" t="inlineStr"/>
      <c r="CO12" s="48" t="inlineStr"/>
      <c r="CP12" s="48" t="inlineStr"/>
      <c r="CQ12" s="48" t="inlineStr"/>
      <c r="CR12" s="48" t="inlineStr"/>
      <c r="CS12" s="48">
        <f>IF(LEFT($J12,3)="ERR",0,1)</f>
        <v/>
      </c>
      <c r="CT12" s="48">
        <f>IF(LEFT($J12,3)="ADM",1,0)</f>
        <v/>
      </c>
      <c r="CU12" s="48">
        <f>IF(OR($J12="ADM-ACT-MAT-CNE",$J12="ADM-ACT-MAT-CE",$J12="ADM-INACT-M&amp;T"),1,0)</f>
        <v/>
      </c>
      <c r="CV12" s="48">
        <f>IF(AND(CU12=1,ISNUMBER(M12),ISNUMBER(I12)),M12-I12,"")</f>
        <v/>
      </c>
      <c r="CW12" s="48">
        <f>IF(ISNUMBER(I12),TODAY()-I12,"")</f>
        <v/>
      </c>
      <c r="CX12" s="48">
        <f>IF(ISNUMBER(I12),DATE(YEAR(I12),MONTH(I12),1),"")</f>
        <v/>
      </c>
      <c r="CY12" s="48">
        <f>IFERROR(DATEDIF(AK12,TODAY(),"y"),"")</f>
        <v/>
      </c>
      <c r="CZ12" s="48">
        <f>IF(CY12="","",IF(CY12&lt;28,"18-27",IF(CY12&lt;38,"28-37",IF(CY12&lt;48,"38-47",IF(CY12&lt;58,"48-57",IF(CY12&lt;68,"58-67",IF(CY12&lt;78,"68-77","78+")))))) </f>
        <v/>
      </c>
      <c r="DA12" s="48">
        <f>IF(AND(BQ12&lt;&gt;"",BR12=""),N(BS12),0)+IF(AND(BW12&lt;&gt;"",BX12=""),N(BY12),0)+IF(AND(CC12&lt;&gt;"",CD12=""),N(CE12),0)+IF(AND(CI12&lt;&gt;"",CJ12=""),N(CK12),0)+IF(AND(CO12&lt;&gt;"",CP12=""),N(CQ12),0)</f>
        <v/>
      </c>
      <c r="DB12" s="48">
        <f>ROUND(IF(BQ12&lt;&gt;"",N(BS12)*MAX(0,((IF(BR12="",TODAY(),BR12))-BQ12)/7),0)+IF(BW12&lt;&gt;"",N(BY12)*MAX(0,((IF(BX12="",TODAY(),BX12))-BW12)/7),0)+IF(CC12&lt;&gt;"",N(CE12)*MAX(0,((IF(CD12="",TODAY(),CD12))-CC12)/7),0)+IF(CI12&lt;&gt;"",N(CK12)*MAX(0,((IF(CJ12="",TODAY(),CJ12))-CI12)/7),0)+IF(CO12&lt;&gt;"",N(CQ12)*MAX(0,((IF(CP12="",TODAY(),CP12))-CO12)/7),0),1)</f>
        <v/>
      </c>
      <c r="DC12" s="48">
        <f>IF(OR(TRIM(X12)="",TRIM(X12)="NA;",TRIM(X12)="NA"),0,1)</f>
        <v/>
      </c>
      <c r="DD12" s="48">
        <f>IF(OR(TRIM(Y12)="",TRIM(Y12)="NA;",TRIM(Y12)="NA"),0,1)</f>
        <v/>
      </c>
      <c r="DE12" s="48">
        <f>IF(OR(TRIM(Z12)="",TRIM(Z12)="NA;",TRIM(Z12)="NA"),0,1)</f>
        <v/>
      </c>
      <c r="DF12" s="48">
        <f>IF(OR(TRIM(AA12)="",TRIM(AA12)="NA;",TRIM(AA12)="NA"),0,1)</f>
        <v/>
      </c>
      <c r="DG12" s="48">
        <f>IF(OR(TRIM(AB12)="",TRIM(AB12)="NA;",TRIM(AB12)="NA"),0,1)</f>
        <v/>
      </c>
      <c r="DH12" s="48">
        <f>IF(OR(TRIM(AC12)="",TRIM(AC12)="NA;",TRIM(AC12)="NA"),0,1)</f>
        <v/>
      </c>
      <c r="DI12" s="48">
        <f>IF(OR(TRIM(AD12)="",TRIM(AD12)="NA;",TRIM(AD12)="NA"),0,1)</f>
        <v/>
      </c>
      <c r="DJ12" s="48">
        <f>TRIM(IF(DC12=1,"Mon ","")&amp;IF(DD12=1,"Tue ","")&amp;IF(DE12=1,"Wed ","")&amp;IF(DF12=1,"Thu ","")&amp;IF(DG12=1,"Fri ","")&amp;IF(DH12=1,"Sat ","")&amp;IF(DI12=1,"Sun ",""))</f>
        <v/>
      </c>
    </row>
    <row r="13">
      <c r="A13" s="48" t="inlineStr">
        <is>
          <t>T-O-00011</t>
        </is>
      </c>
      <c r="B13" s="48" t="inlineStr">
        <is>
          <t>Sara Bourne</t>
        </is>
      </c>
      <c r="C13" s="48" t="inlineStr">
        <is>
          <t>sara.bourne11@example.com</t>
        </is>
      </c>
      <c r="D13" s="48" t="inlineStr">
        <is>
          <t>+61 453 551 765</t>
        </is>
      </c>
      <c r="E13" s="48" t="inlineStr">
        <is>
          <t>Nour Ali</t>
        </is>
      </c>
      <c r="F13" s="48" t="inlineStr">
        <is>
          <t>+61 459 186 051</t>
        </is>
      </c>
      <c r="G13" s="48" t="inlineStr">
        <is>
          <t>Sibling</t>
        </is>
      </c>
      <c r="H13" s="48" t="inlineStr">
        <is>
          <t>Tutor</t>
        </is>
      </c>
      <c r="I13" s="49" t="n">
        <v>45369</v>
      </c>
      <c r="J13" s="48" t="inlineStr">
        <is>
          <t>ADM-ACT-MAT-CNE</t>
        </is>
      </c>
      <c r="K13" s="48">
        <f>IFERROR(VLOOKUP(J13,'(A) Introduction'!$B$35:$C$45,2,FALSE),"")</f>
        <v/>
      </c>
      <c r="L13" s="48" t="inlineStr">
        <is>
          <t>No</t>
        </is>
      </c>
      <c r="M13" s="48" t="inlineStr"/>
      <c r="N13" s="48" t="inlineStr"/>
      <c r="O13" s="48" t="n">
        <v>3</v>
      </c>
      <c r="P13" s="48">
        <f>IF($H13="Tutor",((BQ13&lt;&gt;"")*(BR13=""))+((BW13&lt;&gt;"")*(BX13=""))+((CC13&lt;&gt;"")*(CD13=""))+((CI13&lt;&gt;"")*(CJ13=""))+((CO13&lt;&gt;"")*(CP13="")),SUMPRODUCT(--($BO$3:$BO$202=$A13),--($BR$3:$BR$202=""))+SUMPRODUCT(--($BU$3:$BU$202=$A13),--($BX$3:$BX$202=""))+SUMPRODUCT(--($CA$3:$CA$202=$A13),--($CD$3:$CD$202=""))+SUMPRODUCT(--($CG$3:$CG$202=$A13),--($CJ$3:$CJ$202=""))+SUMPRODUCT(--($CM$3:$CM$202=$A13),--($CP$3:$CP$202="")))</f>
        <v/>
      </c>
      <c r="Q13" s="48">
        <f>IF($H13="Tutor",(BQ13&lt;&gt;"")+(BW13&lt;&gt;"")+(CC13&lt;&gt;"")+(CI13&lt;&gt;"")+(CO13&lt;&gt;""),SUMPRODUCT(--($BO$3:$BO$202=$A13))+SUMPRODUCT(--($BU$3:$BU$202=$A13))+SUMPRODUCT(--($CA$3:$CA$202=$A13))+SUMPRODUCT(--($CG$3:$CG$202=$A13))+SUMPRODUCT(--($CM$3:$CM$202=$A13)))</f>
        <v/>
      </c>
      <c r="R13" s="48">
        <f>IF($H13="Tutor",TRIM(IF(AND(BQ13&lt;&gt;"",BR13=""),BP13&amp;"; ","")&amp;IF(AND(BW13&lt;&gt;"",BX13=""),BV13&amp;"; ","")&amp;IF(AND(CC13&lt;&gt;"",CD13=""),CB13&amp;"; ","")&amp;IF(AND(CI13&lt;&gt;"",CJ13=""),CH13&amp;"; ","")&amp;IF(AND(CO13&lt;&gt;"",CP13=""),CN13&amp;"; ","")),IFERROR(INDEX($A$3:$B$202,(SUMPRODUCT(($BO$3:$BO$202=$A13)*($BR$3:$BR$202="")*ROW($BO$3:$BO$202))+SUMPRODUCT(($BU$3:$BU$202=$A13)*($BX$3:$BX$202="")*ROW($BU$3:$BU$202))+SUMPRODUCT(($CA$3:$CA$202=$A13)*($CD$3:$CD$202="")*ROW($CA$3:$CA$202))+SUMPRODUCT(($CG$3:$CG$202=$A13)*($CJ$3:$CJ$202="")*ROW($CG$3:$CG$202))+SUMPRODUCT(($CM$3:$CM$202=$A13)*($CP$3:$CP$202="")*ROW($CM$3:$CM$202)))-2,2),""))</f>
        <v/>
      </c>
      <c r="S13" s="48" t="inlineStr">
        <is>
          <t>NA</t>
        </is>
      </c>
      <c r="T13" s="48" t="inlineStr"/>
      <c r="U13" s="48" t="inlineStr"/>
      <c r="V13" s="49" t="n">
        <v>46039</v>
      </c>
      <c r="W13" s="48" t="inlineStr">
        <is>
          <t>AEST (UTC+10)</t>
        </is>
      </c>
      <c r="X13" s="48" t="inlineStr">
        <is>
          <t>6pm-9pm;</t>
        </is>
      </c>
      <c r="Y13" s="48" t="inlineStr">
        <is>
          <t>12pm-3pm;</t>
        </is>
      </c>
      <c r="Z13" s="48" t="inlineStr">
        <is>
          <t>3pm-6pm;</t>
        </is>
      </c>
      <c r="AA13" s="48" t="inlineStr">
        <is>
          <t>12pm-3pm;6pm-9pm;</t>
        </is>
      </c>
      <c r="AB13" s="48" t="inlineStr">
        <is>
          <t>6pm-9pm;</t>
        </is>
      </c>
      <c r="AC13" s="48" t="inlineStr">
        <is>
          <t>NA;</t>
        </is>
      </c>
      <c r="AD13" s="48" t="inlineStr">
        <is>
          <t>12pm-3pm;6pm-9pm;</t>
        </is>
      </c>
      <c r="AE13" s="48" t="inlineStr">
        <is>
          <t>In-Person</t>
        </is>
      </c>
      <c r="AF13" s="48" t="inlineStr">
        <is>
          <t>NA - Tutor</t>
        </is>
      </c>
      <c r="AG13" s="48" t="inlineStr">
        <is>
          <t>Australia</t>
        </is>
      </c>
      <c r="AH13" s="48" t="inlineStr">
        <is>
          <t>New South Wales</t>
        </is>
      </c>
      <c r="AI13" s="48" t="inlineStr">
        <is>
          <t>Marrickville</t>
        </is>
      </c>
      <c r="AJ13" s="48" t="inlineStr">
        <is>
          <t>2204</t>
        </is>
      </c>
      <c r="AK13" s="49" t="n">
        <v>33605</v>
      </c>
      <c r="AL13" s="48" t="inlineStr">
        <is>
          <t>Other</t>
        </is>
      </c>
      <c r="AM13" s="48" t="inlineStr">
        <is>
          <t>NA</t>
        </is>
      </c>
      <c r="AN13" s="48" t="inlineStr">
        <is>
          <t>NA - Tutor</t>
        </is>
      </c>
      <c r="AO13" s="48" t="inlineStr">
        <is>
          <t>Outstanding</t>
        </is>
      </c>
      <c r="AP13" s="48" t="inlineStr">
        <is>
          <t>United Kingdom</t>
        </is>
      </c>
      <c r="AQ13" s="48" t="inlineStr">
        <is>
          <t>NA</t>
        </is>
      </c>
      <c r="AR13" s="48" t="inlineStr">
        <is>
          <t>English (C2)</t>
        </is>
      </c>
      <c r="AS13" s="48" t="inlineStr">
        <is>
          <t>Christian (Catholic)</t>
        </is>
      </c>
      <c r="AT13" s="48" t="inlineStr">
        <is>
          <t>Law &amp; Legal Services</t>
        </is>
      </c>
      <c r="AU13" s="48" t="inlineStr">
        <is>
          <t>Nurse</t>
        </is>
      </c>
      <c r="AV13" s="48" t="inlineStr">
        <is>
          <t>NA - Tutor</t>
        </is>
      </c>
      <c r="AW13" s="48" t="inlineStr">
        <is>
          <t>Football; Cooking; Family</t>
        </is>
      </c>
      <c r="AX13" s="48" t="inlineStr">
        <is>
          <t>NA - Tutor</t>
        </is>
      </c>
      <c r="AY13" s="48" t="inlineStr">
        <is>
          <t>No</t>
        </is>
      </c>
      <c r="AZ13" s="48" t="inlineStr">
        <is>
          <t>Yes</t>
        </is>
      </c>
      <c r="BA13" s="48" t="inlineStr">
        <is>
          <t>Tariq Marks</t>
        </is>
      </c>
      <c r="BB13" s="48" t="inlineStr">
        <is>
          <t>Manager</t>
        </is>
      </c>
      <c r="BC13" s="48" t="inlineStr">
        <is>
          <t>rania.marks511@example.com</t>
        </is>
      </c>
      <c r="BD13" s="48" t="inlineStr">
        <is>
          <t>Yes</t>
        </is>
      </c>
      <c r="BE13" s="48" t="inlineStr">
        <is>
          <t>WWC5780430E</t>
        </is>
      </c>
      <c r="BF13" s="49" t="n">
        <v>46269</v>
      </c>
      <c r="BG13" s="48" t="inlineStr">
        <is>
          <t>No</t>
        </is>
      </c>
      <c r="BH13" s="48" t="inlineStr">
        <is>
          <t>Adults Only</t>
        </is>
      </c>
      <c r="BI13" s="48" t="inlineStr">
        <is>
          <t>AMES Australia</t>
        </is>
      </c>
      <c r="BJ13" s="48" t="inlineStr">
        <is>
          <t>CROCK Mary</t>
        </is>
      </c>
      <c r="BK13" s="48" t="inlineStr">
        <is>
          <t>THET Moh Moh</t>
        </is>
      </c>
      <c r="BL13" s="48" t="inlineStr">
        <is>
          <t>Synthetic test record.</t>
        </is>
      </c>
      <c r="BM13" s="48" t="inlineStr"/>
      <c r="BN13" s="48">
        <f>TRIM(IF(AND($H13="Student",$J13="ADM-ACT-MAT-CNE"),"Invalid: Student cannot be CNE. ","")&amp;IF(AND($H13="Student",ISNUMBER($O13)),"Check: capacity set for a Student. ","")&amp;IF(AND(LEFT($J13,11)="ADM-ACT-MAT",$P13=0),"Check: matched status but 0 active pairings. ","")&amp;IF(AND($H13="Tutor",ISNUMBER($O13),$P13&gt;$O13),"Check: pairings exceed capacity. ","")&amp;IF(AND($BH13="Everyone",NOT(AND($BD13="Yes",$BG13="Yes"))),"Check: approved to tutor children but WWCC not provided/confirmed. ","")&amp;IF(AND($P13&gt;0,NOT(AND(OR(LEFT($AY13,3)="Yes",LEFT($AY13,2)="NA"),OR(LEFT($AZ13,3)="Yes",LEFT($AZ13,2)="NA")))),"Matched but vetting incomplete (interview/reference). ","")&amp;IF(COUNTIF($B$3:$B$600,$B13)&gt;1,"Duplicate participant name. ",""))</f>
        <v/>
      </c>
      <c r="BO13" s="48" t="inlineStr">
        <is>
          <t>S-N-00048</t>
        </is>
      </c>
      <c r="BP13" s="48">
        <f>IFERROR(VLOOKUP(BO13,$A:$B,2,FALSE),"")</f>
        <v/>
      </c>
      <c r="BQ13" s="49" t="n">
        <v>46003</v>
      </c>
      <c r="BR13" s="48" t="inlineStr"/>
      <c r="BS13" s="48" t="n">
        <v>1</v>
      </c>
      <c r="BT13" s="48" t="inlineStr">
        <is>
          <t>AGARWAL Akanksha</t>
        </is>
      </c>
      <c r="BU13" s="48" t="inlineStr">
        <is>
          <t>S-O-00048</t>
        </is>
      </c>
      <c r="BV13" s="48">
        <f>IFERROR(VLOOKUP(BU13,$A:$B,2,FALSE),"")</f>
        <v/>
      </c>
      <c r="BW13" s="49" t="n">
        <v>45694</v>
      </c>
      <c r="BX13" s="49" t="n">
        <v>45864</v>
      </c>
      <c r="BY13" s="48" t="n">
        <v>1.5</v>
      </c>
      <c r="BZ13" s="48" t="inlineStr">
        <is>
          <t>KNIJNIK Marina</t>
        </is>
      </c>
      <c r="CA13" s="48" t="inlineStr"/>
      <c r="CB13" s="48" t="inlineStr"/>
      <c r="CC13" s="48" t="inlineStr"/>
      <c r="CD13" s="48" t="inlineStr"/>
      <c r="CE13" s="48" t="inlineStr"/>
      <c r="CF13" s="48" t="inlineStr"/>
      <c r="CG13" s="48" t="inlineStr"/>
      <c r="CH13" s="48" t="inlineStr"/>
      <c r="CI13" s="48" t="inlineStr"/>
      <c r="CJ13" s="48" t="inlineStr"/>
      <c r="CK13" s="48" t="inlineStr"/>
      <c r="CL13" s="48" t="inlineStr"/>
      <c r="CM13" s="48" t="inlineStr"/>
      <c r="CN13" s="48" t="inlineStr"/>
      <c r="CO13" s="48" t="inlineStr"/>
      <c r="CP13" s="48" t="inlineStr"/>
      <c r="CQ13" s="48" t="inlineStr"/>
      <c r="CR13" s="48" t="inlineStr"/>
      <c r="CS13" s="48">
        <f>IF(LEFT($J13,3)="ERR",0,1)</f>
        <v/>
      </c>
      <c r="CT13" s="48">
        <f>IF(LEFT($J13,3)="ADM",1,0)</f>
        <v/>
      </c>
      <c r="CU13" s="48">
        <f>IF(OR($J13="ADM-ACT-MAT-CNE",$J13="ADM-ACT-MAT-CE",$J13="ADM-INACT-M&amp;T"),1,0)</f>
        <v/>
      </c>
      <c r="CV13" s="48">
        <f>IF(AND(CU13=1,ISNUMBER(M13),ISNUMBER(I13)),M13-I13,"")</f>
        <v/>
      </c>
      <c r="CW13" s="48">
        <f>IF(ISNUMBER(I13),TODAY()-I13,"")</f>
        <v/>
      </c>
      <c r="CX13" s="48">
        <f>IF(ISNUMBER(I13),DATE(YEAR(I13),MONTH(I13),1),"")</f>
        <v/>
      </c>
      <c r="CY13" s="48">
        <f>IFERROR(DATEDIF(AK13,TODAY(),"y"),"")</f>
        <v/>
      </c>
      <c r="CZ13" s="48">
        <f>IF(CY13="","",IF(CY13&lt;28,"18-27",IF(CY13&lt;38,"28-37",IF(CY13&lt;48,"38-47",IF(CY13&lt;58,"48-57",IF(CY13&lt;68,"58-67",IF(CY13&lt;78,"68-77","78+")))))) </f>
        <v/>
      </c>
      <c r="DA13" s="48">
        <f>IF(AND(BQ13&lt;&gt;"",BR13=""),N(BS13),0)+IF(AND(BW13&lt;&gt;"",BX13=""),N(BY13),0)+IF(AND(CC13&lt;&gt;"",CD13=""),N(CE13),0)+IF(AND(CI13&lt;&gt;"",CJ13=""),N(CK13),0)+IF(AND(CO13&lt;&gt;"",CP13=""),N(CQ13),0)</f>
        <v/>
      </c>
      <c r="DB13" s="48">
        <f>ROUND(IF(BQ13&lt;&gt;"",N(BS13)*MAX(0,((IF(BR13="",TODAY(),BR13))-BQ13)/7),0)+IF(BW13&lt;&gt;"",N(BY13)*MAX(0,((IF(BX13="",TODAY(),BX13))-BW13)/7),0)+IF(CC13&lt;&gt;"",N(CE13)*MAX(0,((IF(CD13="",TODAY(),CD13))-CC13)/7),0)+IF(CI13&lt;&gt;"",N(CK13)*MAX(0,((IF(CJ13="",TODAY(),CJ13))-CI13)/7),0)+IF(CO13&lt;&gt;"",N(CQ13)*MAX(0,((IF(CP13="",TODAY(),CP13))-CO13)/7),0),1)</f>
        <v/>
      </c>
      <c r="DC13" s="48">
        <f>IF(OR(TRIM(X13)="",TRIM(X13)="NA;",TRIM(X13)="NA"),0,1)</f>
        <v/>
      </c>
      <c r="DD13" s="48">
        <f>IF(OR(TRIM(Y13)="",TRIM(Y13)="NA;",TRIM(Y13)="NA"),0,1)</f>
        <v/>
      </c>
      <c r="DE13" s="48">
        <f>IF(OR(TRIM(Z13)="",TRIM(Z13)="NA;",TRIM(Z13)="NA"),0,1)</f>
        <v/>
      </c>
      <c r="DF13" s="48">
        <f>IF(OR(TRIM(AA13)="",TRIM(AA13)="NA;",TRIM(AA13)="NA"),0,1)</f>
        <v/>
      </c>
      <c r="DG13" s="48">
        <f>IF(OR(TRIM(AB13)="",TRIM(AB13)="NA;",TRIM(AB13)="NA"),0,1)</f>
        <v/>
      </c>
      <c r="DH13" s="48">
        <f>IF(OR(TRIM(AC13)="",TRIM(AC13)="NA;",TRIM(AC13)="NA"),0,1)</f>
        <v/>
      </c>
      <c r="DI13" s="48">
        <f>IF(OR(TRIM(AD13)="",TRIM(AD13)="NA;",TRIM(AD13)="NA"),0,1)</f>
        <v/>
      </c>
      <c r="DJ13" s="48">
        <f>TRIM(IF(DC13=1,"Mon ","")&amp;IF(DD13=1,"Tue ","")&amp;IF(DE13=1,"Wed ","")&amp;IF(DF13=1,"Thu ","")&amp;IF(DG13=1,"Fri ","")&amp;IF(DH13=1,"Sat ","")&amp;IF(DI13=1,"Sun ",""))</f>
        <v/>
      </c>
    </row>
    <row r="14">
      <c r="A14" s="48" t="inlineStr">
        <is>
          <t>T-O-00012</t>
        </is>
      </c>
      <c r="B14" s="48" t="inlineStr">
        <is>
          <t>Reza Slaytor</t>
        </is>
      </c>
      <c r="C14" s="48" t="inlineStr">
        <is>
          <t>reza.slaytor12@example.com</t>
        </is>
      </c>
      <c r="D14" s="48" t="inlineStr">
        <is>
          <t>+61 496 974 851</t>
        </is>
      </c>
      <c r="E14" s="48" t="inlineStr">
        <is>
          <t>Laura Stanley</t>
        </is>
      </c>
      <c r="F14" s="48" t="inlineStr">
        <is>
          <t>+61 498 377 171</t>
        </is>
      </c>
      <c r="G14" s="48" t="inlineStr">
        <is>
          <t>Friend</t>
        </is>
      </c>
      <c r="H14" s="48" t="inlineStr">
        <is>
          <t>Tutor</t>
        </is>
      </c>
      <c r="I14" s="49" t="n">
        <v>45376</v>
      </c>
      <c r="J14" s="48" t="inlineStr">
        <is>
          <t>NADM-REJ-UNRES</t>
        </is>
      </c>
      <c r="K14" s="48">
        <f>IFERROR(VLOOKUP(J14,'(A) Introduction'!$B$35:$C$45,2,FALSE),"")</f>
        <v/>
      </c>
      <c r="L14" s="48" t="inlineStr">
        <is>
          <t>No</t>
        </is>
      </c>
      <c r="M14" s="48" t="inlineStr"/>
      <c r="N14" s="48" t="inlineStr"/>
      <c r="O14" s="48" t="n">
        <v>2</v>
      </c>
      <c r="P14" s="48">
        <f>IF($H14="Tutor",((BQ14&lt;&gt;"")*(BR14=""))+((BW14&lt;&gt;"")*(BX14=""))+((CC14&lt;&gt;"")*(CD14=""))+((CI14&lt;&gt;"")*(CJ14=""))+((CO14&lt;&gt;"")*(CP14="")),SUMPRODUCT(--($BO$3:$BO$202=$A14),--($BR$3:$BR$202=""))+SUMPRODUCT(--($BU$3:$BU$202=$A14),--($BX$3:$BX$202=""))+SUMPRODUCT(--($CA$3:$CA$202=$A14),--($CD$3:$CD$202=""))+SUMPRODUCT(--($CG$3:$CG$202=$A14),--($CJ$3:$CJ$202=""))+SUMPRODUCT(--($CM$3:$CM$202=$A14),--($CP$3:$CP$202="")))</f>
        <v/>
      </c>
      <c r="Q14" s="48">
        <f>IF($H14="Tutor",(BQ14&lt;&gt;"")+(BW14&lt;&gt;"")+(CC14&lt;&gt;"")+(CI14&lt;&gt;"")+(CO14&lt;&gt;""),SUMPRODUCT(--($BO$3:$BO$202=$A14))+SUMPRODUCT(--($BU$3:$BU$202=$A14))+SUMPRODUCT(--($CA$3:$CA$202=$A14))+SUMPRODUCT(--($CG$3:$CG$202=$A14))+SUMPRODUCT(--($CM$3:$CM$202=$A14)))</f>
        <v/>
      </c>
      <c r="R14" s="48">
        <f>IF($H14="Tutor",TRIM(IF(AND(BQ14&lt;&gt;"",BR14=""),BP14&amp;"; ","")&amp;IF(AND(BW14&lt;&gt;"",BX14=""),BV14&amp;"; ","")&amp;IF(AND(CC14&lt;&gt;"",CD14=""),CB14&amp;"; ","")&amp;IF(AND(CI14&lt;&gt;"",CJ14=""),CH14&amp;"; ","")&amp;IF(AND(CO14&lt;&gt;"",CP14=""),CN14&amp;"; ","")),IFERROR(INDEX($A$3:$B$202,(SUMPRODUCT(($BO$3:$BO$202=$A14)*($BR$3:$BR$202="")*ROW($BO$3:$BO$202))+SUMPRODUCT(($BU$3:$BU$202=$A14)*($BX$3:$BX$202="")*ROW($BU$3:$BU$202))+SUMPRODUCT(($CA$3:$CA$202=$A14)*($CD$3:$CD$202="")*ROW($CA$3:$CA$202))+SUMPRODUCT(($CG$3:$CG$202=$A14)*($CJ$3:$CJ$202="")*ROW($CG$3:$CG$202))+SUMPRODUCT(($CM$3:$CM$202=$A14)*($CP$3:$CP$202="")*ROW($CM$3:$CM$202)))-2,2),""))</f>
        <v/>
      </c>
      <c r="S14" s="48" t="inlineStr">
        <is>
          <t>Not Provided</t>
        </is>
      </c>
      <c r="T14" s="48" t="inlineStr"/>
      <c r="U14" s="48" t="inlineStr"/>
      <c r="V14" s="48" t="inlineStr"/>
      <c r="W14" s="48" t="inlineStr">
        <is>
          <t>AWST (UTC+8)</t>
        </is>
      </c>
      <c r="X14" s="48" t="inlineStr">
        <is>
          <t>6pm-9pm;</t>
        </is>
      </c>
      <c r="Y14" s="48" t="inlineStr">
        <is>
          <t>6pm-9pm;</t>
        </is>
      </c>
      <c r="Z14" s="48" t="inlineStr">
        <is>
          <t>NA;</t>
        </is>
      </c>
      <c r="AA14" s="48" t="inlineStr">
        <is>
          <t>9am-12pm;12pm-3pm;3pm-6pm;</t>
        </is>
      </c>
      <c r="AB14" s="48" t="inlineStr">
        <is>
          <t>NA;</t>
        </is>
      </c>
      <c r="AC14" s="48" t="inlineStr">
        <is>
          <t>6am-9am;9am-12pm;</t>
        </is>
      </c>
      <c r="AD14" s="48" t="inlineStr">
        <is>
          <t>12pm-3pm;</t>
        </is>
      </c>
      <c r="AE14" s="48" t="inlineStr">
        <is>
          <t>Either</t>
        </is>
      </c>
      <c r="AF14" s="48" t="inlineStr">
        <is>
          <t>NA - Tutor</t>
        </is>
      </c>
      <c r="AG14" s="48" t="inlineStr">
        <is>
          <t>Australia</t>
        </is>
      </c>
      <c r="AH14" s="48" t="inlineStr">
        <is>
          <t>New South Wales</t>
        </is>
      </c>
      <c r="AI14" s="48" t="inlineStr">
        <is>
          <t>Doonside</t>
        </is>
      </c>
      <c r="AJ14" s="48" t="inlineStr">
        <is>
          <t>2767</t>
        </is>
      </c>
      <c r="AK14" s="49" t="n">
        <v>23771</v>
      </c>
      <c r="AL14" s="48" t="inlineStr">
        <is>
          <t>Other</t>
        </is>
      </c>
      <c r="AM14" s="48" t="inlineStr">
        <is>
          <t>NA</t>
        </is>
      </c>
      <c r="AN14" s="48" t="inlineStr">
        <is>
          <t>NA - Tutor</t>
        </is>
      </c>
      <c r="AO14" s="48" t="inlineStr">
        <is>
          <t>Low</t>
        </is>
      </c>
      <c r="AP14" s="48" t="inlineStr">
        <is>
          <t>Australia</t>
        </is>
      </c>
      <c r="AQ14" s="48" t="inlineStr">
        <is>
          <t>NA</t>
        </is>
      </c>
      <c r="AR14" s="48" t="inlineStr">
        <is>
          <t>English (C2)</t>
        </is>
      </c>
      <c r="AS14" s="48" t="inlineStr">
        <is>
          <t>Christian (Orthodox)</t>
        </is>
      </c>
      <c r="AT14" s="48" t="inlineStr">
        <is>
          <t>Arts, Media &amp; Design</t>
        </is>
      </c>
      <c r="AU14" s="48" t="inlineStr">
        <is>
          <t>Aged Care Worker</t>
        </is>
      </c>
      <c r="AV14" s="48" t="inlineStr">
        <is>
          <t>NA - Tutor</t>
        </is>
      </c>
      <c r="AW14" s="48" t="inlineStr">
        <is>
          <t>Travel; Sport; Movies</t>
        </is>
      </c>
      <c r="AX14" s="48" t="inlineStr">
        <is>
          <t>NA - Tutor</t>
        </is>
      </c>
      <c r="AY14" s="48" t="inlineStr">
        <is>
          <t>Yes</t>
        </is>
      </c>
      <c r="AZ14" s="48" t="inlineStr">
        <is>
          <t>Yes</t>
        </is>
      </c>
      <c r="BA14" s="48" t="inlineStr">
        <is>
          <t>Sarah Khan</t>
        </is>
      </c>
      <c r="BB14" s="48" t="inlineStr">
        <is>
          <t>Manager</t>
        </is>
      </c>
      <c r="BC14" s="48" t="inlineStr">
        <is>
          <t>diego.nguyen512@example.com</t>
        </is>
      </c>
      <c r="BD14" s="48" t="inlineStr">
        <is>
          <t>Yes</t>
        </is>
      </c>
      <c r="BE14" s="48" t="inlineStr">
        <is>
          <t>WWC6008781V</t>
        </is>
      </c>
      <c r="BF14" s="49" t="n">
        <v>46908</v>
      </c>
      <c r="BG14" s="48" t="inlineStr">
        <is>
          <t>No</t>
        </is>
      </c>
      <c r="BH14" s="48" t="inlineStr">
        <is>
          <t>Adults Only</t>
        </is>
      </c>
      <c r="BI14" s="48" t="inlineStr">
        <is>
          <t>University of Western Sydney (including the Law Students' Society)</t>
        </is>
      </c>
      <c r="BJ14" s="48" t="inlineStr">
        <is>
          <t>HERVIR Oliver</t>
        </is>
      </c>
      <c r="BK14" s="48" t="inlineStr">
        <is>
          <t>NUICH Curtis</t>
        </is>
      </c>
      <c r="BL14" s="48" t="inlineStr">
        <is>
          <t>Synthetic test record.</t>
        </is>
      </c>
      <c r="BM14" s="48" t="inlineStr"/>
      <c r="BN14" s="48">
        <f>TRIM(IF(AND($H14="Student",$J14="ADM-ACT-MAT-CNE"),"Invalid: Student cannot be CNE. ","")&amp;IF(AND($H14="Student",ISNUMBER($O14)),"Check: capacity set for a Student. ","")&amp;IF(AND(LEFT($J14,11)="ADM-ACT-MAT",$P14=0),"Check: matched status but 0 active pairings. ","")&amp;IF(AND($H14="Tutor",ISNUMBER($O14),$P14&gt;$O14),"Check: pairings exceed capacity. ","")&amp;IF(AND($BH14="Everyone",NOT(AND($BD14="Yes",$BG14="Yes"))),"Check: approved to tutor children but WWCC not provided/confirmed. ","")&amp;IF(AND($P14&gt;0,NOT(AND(OR(LEFT($AY14,3)="Yes",LEFT($AY14,2)="NA"),OR(LEFT($AZ14,3)="Yes",LEFT($AZ14,2)="NA")))),"Matched but vetting incomplete (interview/reference). ","")&amp;IF(COUNTIF($B$3:$B$600,$B14)&gt;1,"Duplicate participant name. ",""))</f>
        <v/>
      </c>
      <c r="BO14" s="48" t="inlineStr"/>
      <c r="BP14" s="48" t="inlineStr"/>
      <c r="BQ14" s="48" t="inlineStr"/>
      <c r="BR14" s="48" t="inlineStr"/>
      <c r="BS14" s="48" t="inlineStr"/>
      <c r="BT14" s="48" t="inlineStr"/>
      <c r="BU14" s="48" t="inlineStr"/>
      <c r="BV14" s="48" t="inlineStr"/>
      <c r="BW14" s="48" t="inlineStr"/>
      <c r="BX14" s="48" t="inlineStr"/>
      <c r="BY14" s="48" t="inlineStr"/>
      <c r="BZ14" s="48" t="inlineStr"/>
      <c r="CA14" s="48" t="inlineStr"/>
      <c r="CB14" s="48" t="inlineStr"/>
      <c r="CC14" s="48" t="inlineStr"/>
      <c r="CD14" s="48" t="inlineStr"/>
      <c r="CE14" s="48" t="inlineStr"/>
      <c r="CF14" s="48" t="inlineStr"/>
      <c r="CG14" s="48" t="inlineStr"/>
      <c r="CH14" s="48" t="inlineStr"/>
      <c r="CI14" s="48" t="inlineStr"/>
      <c r="CJ14" s="48" t="inlineStr"/>
      <c r="CK14" s="48" t="inlineStr"/>
      <c r="CL14" s="48" t="inlineStr"/>
      <c r="CM14" s="48" t="inlineStr"/>
      <c r="CN14" s="48" t="inlineStr"/>
      <c r="CO14" s="48" t="inlineStr"/>
      <c r="CP14" s="48" t="inlineStr"/>
      <c r="CQ14" s="48" t="inlineStr"/>
      <c r="CR14" s="48" t="inlineStr"/>
      <c r="CS14" s="48">
        <f>IF(LEFT($J14,3)="ERR",0,1)</f>
        <v/>
      </c>
      <c r="CT14" s="48">
        <f>IF(LEFT($J14,3)="ADM",1,0)</f>
        <v/>
      </c>
      <c r="CU14" s="48">
        <f>IF(OR($J14="ADM-ACT-MAT-CNE",$J14="ADM-ACT-MAT-CE",$J14="ADM-INACT-M&amp;T"),1,0)</f>
        <v/>
      </c>
      <c r="CV14" s="48">
        <f>IF(AND(CU14=1,ISNUMBER(M14),ISNUMBER(I14)),M14-I14,"")</f>
        <v/>
      </c>
      <c r="CW14" s="48">
        <f>IF(ISNUMBER(I14),TODAY()-I14,"")</f>
        <v/>
      </c>
      <c r="CX14" s="48">
        <f>IF(ISNUMBER(I14),DATE(YEAR(I14),MONTH(I14),1),"")</f>
        <v/>
      </c>
      <c r="CY14" s="48">
        <f>IFERROR(DATEDIF(AK14,TODAY(),"y"),"")</f>
        <v/>
      </c>
      <c r="CZ14" s="48">
        <f>IF(CY14="","",IF(CY14&lt;28,"18-27",IF(CY14&lt;38,"28-37",IF(CY14&lt;48,"38-47",IF(CY14&lt;58,"48-57",IF(CY14&lt;68,"58-67",IF(CY14&lt;78,"68-77","78+")))))) </f>
        <v/>
      </c>
      <c r="DA14" s="48">
        <f>IF(AND(BQ14&lt;&gt;"",BR14=""),N(BS14),0)+IF(AND(BW14&lt;&gt;"",BX14=""),N(BY14),0)+IF(AND(CC14&lt;&gt;"",CD14=""),N(CE14),0)+IF(AND(CI14&lt;&gt;"",CJ14=""),N(CK14),0)+IF(AND(CO14&lt;&gt;"",CP14=""),N(CQ14),0)</f>
        <v/>
      </c>
      <c r="DB14" s="48">
        <f>ROUND(IF(BQ14&lt;&gt;"",N(BS14)*MAX(0,((IF(BR14="",TODAY(),BR14))-BQ14)/7),0)+IF(BW14&lt;&gt;"",N(BY14)*MAX(0,((IF(BX14="",TODAY(),BX14))-BW14)/7),0)+IF(CC14&lt;&gt;"",N(CE14)*MAX(0,((IF(CD14="",TODAY(),CD14))-CC14)/7),0)+IF(CI14&lt;&gt;"",N(CK14)*MAX(0,((IF(CJ14="",TODAY(),CJ14))-CI14)/7),0)+IF(CO14&lt;&gt;"",N(CQ14)*MAX(0,((IF(CP14="",TODAY(),CP14))-CO14)/7),0),1)</f>
        <v/>
      </c>
      <c r="DC14" s="48">
        <f>IF(OR(TRIM(X14)="",TRIM(X14)="NA;",TRIM(X14)="NA"),0,1)</f>
        <v/>
      </c>
      <c r="DD14" s="48">
        <f>IF(OR(TRIM(Y14)="",TRIM(Y14)="NA;",TRIM(Y14)="NA"),0,1)</f>
        <v/>
      </c>
      <c r="DE14" s="48">
        <f>IF(OR(TRIM(Z14)="",TRIM(Z14)="NA;",TRIM(Z14)="NA"),0,1)</f>
        <v/>
      </c>
      <c r="DF14" s="48">
        <f>IF(OR(TRIM(AA14)="",TRIM(AA14)="NA;",TRIM(AA14)="NA"),0,1)</f>
        <v/>
      </c>
      <c r="DG14" s="48">
        <f>IF(OR(TRIM(AB14)="",TRIM(AB14)="NA;",TRIM(AB14)="NA"),0,1)</f>
        <v/>
      </c>
      <c r="DH14" s="48">
        <f>IF(OR(TRIM(AC14)="",TRIM(AC14)="NA;",TRIM(AC14)="NA"),0,1)</f>
        <v/>
      </c>
      <c r="DI14" s="48">
        <f>IF(OR(TRIM(AD14)="",TRIM(AD14)="NA;",TRIM(AD14)="NA"),0,1)</f>
        <v/>
      </c>
      <c r="DJ14" s="48">
        <f>TRIM(IF(DC14=1,"Mon ","")&amp;IF(DD14=1,"Tue ","")&amp;IF(DE14=1,"Wed ","")&amp;IF(DF14=1,"Thu ","")&amp;IF(DG14=1,"Fri ","")&amp;IF(DH14=1,"Sat ","")&amp;IF(DI14=1,"Sun ",""))</f>
        <v/>
      </c>
    </row>
    <row r="15">
      <c r="A15" s="48" t="inlineStr">
        <is>
          <t>T-O-00013</t>
        </is>
      </c>
      <c r="B15" s="48" t="inlineStr">
        <is>
          <t>Peter Drobushar</t>
        </is>
      </c>
      <c r="C15" s="48" t="inlineStr">
        <is>
          <t>peter.drobushar13@example.com</t>
        </is>
      </c>
      <c r="D15" s="48" t="inlineStr">
        <is>
          <t>+61 473 693 929</t>
        </is>
      </c>
      <c r="E15" s="48" t="inlineStr">
        <is>
          <t>Sofia Brown</t>
        </is>
      </c>
      <c r="F15" s="48" t="inlineStr">
        <is>
          <t>+61 422 751 534</t>
        </is>
      </c>
      <c r="G15" s="48" t="inlineStr">
        <is>
          <t>Caseworker</t>
        </is>
      </c>
      <c r="H15" s="48" t="inlineStr">
        <is>
          <t>Tutor</t>
        </is>
      </c>
      <c r="I15" s="49" t="n">
        <v>45377</v>
      </c>
      <c r="J15" s="48" t="inlineStr">
        <is>
          <t>ADM-ACT-MAT-CNE</t>
        </is>
      </c>
      <c r="K15" s="48">
        <f>IFERROR(VLOOKUP(J15,'(A) Introduction'!$B$35:$C$45,2,FALSE),"")</f>
        <v/>
      </c>
      <c r="L15" s="48" t="inlineStr">
        <is>
          <t>No</t>
        </is>
      </c>
      <c r="M15" s="48" t="inlineStr"/>
      <c r="N15" s="48" t="inlineStr"/>
      <c r="O15" s="48" t="n">
        <v>3</v>
      </c>
      <c r="P15" s="48">
        <f>IF($H15="Tutor",((BQ15&lt;&gt;"")*(BR15=""))+((BW15&lt;&gt;"")*(BX15=""))+((CC15&lt;&gt;"")*(CD15=""))+((CI15&lt;&gt;"")*(CJ15=""))+((CO15&lt;&gt;"")*(CP15="")),SUMPRODUCT(--($BO$3:$BO$202=$A15),--($BR$3:$BR$202=""))+SUMPRODUCT(--($BU$3:$BU$202=$A15),--($BX$3:$BX$202=""))+SUMPRODUCT(--($CA$3:$CA$202=$A15),--($CD$3:$CD$202=""))+SUMPRODUCT(--($CG$3:$CG$202=$A15),--($CJ$3:$CJ$202=""))+SUMPRODUCT(--($CM$3:$CM$202=$A15),--($CP$3:$CP$202="")))</f>
        <v/>
      </c>
      <c r="Q15" s="48">
        <f>IF($H15="Tutor",(BQ15&lt;&gt;"")+(BW15&lt;&gt;"")+(CC15&lt;&gt;"")+(CI15&lt;&gt;"")+(CO15&lt;&gt;""),SUMPRODUCT(--($BO$3:$BO$202=$A15))+SUMPRODUCT(--($BU$3:$BU$202=$A15))+SUMPRODUCT(--($CA$3:$CA$202=$A15))+SUMPRODUCT(--($CG$3:$CG$202=$A15))+SUMPRODUCT(--($CM$3:$CM$202=$A15)))</f>
        <v/>
      </c>
      <c r="R15" s="48">
        <f>IF($H15="Tutor",TRIM(IF(AND(BQ15&lt;&gt;"",BR15=""),BP15&amp;"; ","")&amp;IF(AND(BW15&lt;&gt;"",BX15=""),BV15&amp;"; ","")&amp;IF(AND(CC15&lt;&gt;"",CD15=""),CB15&amp;"; ","")&amp;IF(AND(CI15&lt;&gt;"",CJ15=""),CH15&amp;"; ","")&amp;IF(AND(CO15&lt;&gt;"",CP15=""),CN15&amp;"; ","")),IFERROR(INDEX($A$3:$B$202,(SUMPRODUCT(($BO$3:$BO$202=$A15)*($BR$3:$BR$202="")*ROW($BO$3:$BO$202))+SUMPRODUCT(($BU$3:$BU$202=$A15)*($BX$3:$BX$202="")*ROW($BU$3:$BU$202))+SUMPRODUCT(($CA$3:$CA$202=$A15)*($CD$3:$CD$202="")*ROW($CA$3:$CA$202))+SUMPRODUCT(($CG$3:$CG$202=$A15)*($CJ$3:$CJ$202="")*ROW($CG$3:$CG$202))+SUMPRODUCT(($CM$3:$CM$202=$A15)*($CP$3:$CP$202="")*ROW($CM$3:$CM$202)))-2,2),""))</f>
        <v/>
      </c>
      <c r="S15" s="48" t="inlineStr">
        <is>
          <t>Not Provided</t>
        </is>
      </c>
      <c r="T15" s="48" t="inlineStr"/>
      <c r="U15" s="48" t="inlineStr"/>
      <c r="V15" s="49" t="n">
        <v>45953</v>
      </c>
      <c r="W15" s="48" t="inlineStr">
        <is>
          <t>ACDT (UTC+10:30)</t>
        </is>
      </c>
      <c r="X15" s="48" t="inlineStr">
        <is>
          <t>12pm-3pm;</t>
        </is>
      </c>
      <c r="Y15" s="48" t="inlineStr">
        <is>
          <t>6pm-9pm;</t>
        </is>
      </c>
      <c r="Z15" s="48" t="inlineStr">
        <is>
          <t>12pm-3pm;</t>
        </is>
      </c>
      <c r="AA15" s="48" t="inlineStr">
        <is>
          <t>6pm-9pm;</t>
        </is>
      </c>
      <c r="AB15" s="48" t="inlineStr">
        <is>
          <t>3pm-6pm;</t>
        </is>
      </c>
      <c r="AC15" s="48" t="inlineStr">
        <is>
          <t>6pm-9pm;</t>
        </is>
      </c>
      <c r="AD15" s="48" t="inlineStr">
        <is>
          <t>NA;</t>
        </is>
      </c>
      <c r="AE15" s="48" t="inlineStr">
        <is>
          <t>In-Person</t>
        </is>
      </c>
      <c r="AF15" s="48" t="inlineStr">
        <is>
          <t>NA - Tutor</t>
        </is>
      </c>
      <c r="AG15" s="48" t="inlineStr">
        <is>
          <t>Australia</t>
        </is>
      </c>
      <c r="AH15" s="48" t="inlineStr">
        <is>
          <t>New South Wales</t>
        </is>
      </c>
      <c r="AI15" s="48" t="inlineStr">
        <is>
          <t>Auburn</t>
        </is>
      </c>
      <c r="AJ15" s="48" t="inlineStr">
        <is>
          <t>2144</t>
        </is>
      </c>
      <c r="AK15" s="49" t="n">
        <v>31375</v>
      </c>
      <c r="AL15" s="48" t="inlineStr">
        <is>
          <t>Male</t>
        </is>
      </c>
      <c r="AM15" s="48" t="inlineStr">
        <is>
          <t>NA</t>
        </is>
      </c>
      <c r="AN15" s="48" t="inlineStr">
        <is>
          <t>NA - Tutor</t>
        </is>
      </c>
      <c r="AO15" s="48" t="inlineStr">
        <is>
          <t>High</t>
        </is>
      </c>
      <c r="AP15" s="48" t="inlineStr">
        <is>
          <t>Australia</t>
        </is>
      </c>
      <c r="AQ15" s="48" t="inlineStr">
        <is>
          <t>NA</t>
        </is>
      </c>
      <c r="AR15" s="48" t="inlineStr">
        <is>
          <t>Bengali (C2); Tigrinya (B2)</t>
        </is>
      </c>
      <c r="AS15" s="48" t="inlineStr">
        <is>
          <t>Buddhist</t>
        </is>
      </c>
      <c r="AT15" s="48" t="inlineStr">
        <is>
          <t>Arts, Media &amp; Design</t>
        </is>
      </c>
      <c r="AU15" s="48" t="inlineStr">
        <is>
          <t>Cleaner</t>
        </is>
      </c>
      <c r="AV15" s="48" t="inlineStr">
        <is>
          <t>NA - Tutor</t>
        </is>
      </c>
      <c r="AW15" s="48" t="inlineStr">
        <is>
          <t>Gardening; Cooking; Walking</t>
        </is>
      </c>
      <c r="AX15" s="48" t="inlineStr">
        <is>
          <t>NA - Tutor</t>
        </is>
      </c>
      <c r="AY15" s="48" t="inlineStr">
        <is>
          <t>NA - RELT Member Verified</t>
        </is>
      </c>
      <c r="AZ15" s="48" t="inlineStr">
        <is>
          <t>Yes</t>
        </is>
      </c>
      <c r="BA15" s="48" t="inlineStr">
        <is>
          <t>Ibrahim Baker</t>
        </is>
      </c>
      <c r="BB15" s="48" t="inlineStr">
        <is>
          <t>Friend</t>
        </is>
      </c>
      <c r="BC15" s="48" t="inlineStr">
        <is>
          <t>rania.brown513@example.com</t>
        </is>
      </c>
      <c r="BD15" s="48" t="inlineStr">
        <is>
          <t>Yes</t>
        </is>
      </c>
      <c r="BE15" s="48" t="inlineStr">
        <is>
          <t>WWC6202636E</t>
        </is>
      </c>
      <c r="BF15" s="49" t="n">
        <v>46758</v>
      </c>
      <c r="BG15" s="48" t="inlineStr">
        <is>
          <t>No</t>
        </is>
      </c>
      <c r="BH15" s="48" t="inlineStr">
        <is>
          <t>Adults Only</t>
        </is>
      </c>
      <c r="BI15" s="48" t="inlineStr">
        <is>
          <t>Tasmania University (including the Law Society)</t>
        </is>
      </c>
      <c r="BJ15" s="48" t="inlineStr">
        <is>
          <t>NUICH Curtis</t>
        </is>
      </c>
      <c r="BK15" s="48" t="inlineStr">
        <is>
          <t>ZULMAN Levi</t>
        </is>
      </c>
      <c r="BL15" s="48" t="inlineStr">
        <is>
          <t>Synthetic test record.</t>
        </is>
      </c>
      <c r="BM15" s="48" t="inlineStr"/>
      <c r="BN15" s="48">
        <f>TRIM(IF(AND($H15="Student",$J15="ADM-ACT-MAT-CNE"),"Invalid: Student cannot be CNE. ","")&amp;IF(AND($H15="Student",ISNUMBER($O15)),"Check: capacity set for a Student. ","")&amp;IF(AND(LEFT($J15,11)="ADM-ACT-MAT",$P15=0),"Check: matched status but 0 active pairings. ","")&amp;IF(AND($H15="Tutor",ISNUMBER($O15),$P15&gt;$O15),"Check: pairings exceed capacity. ","")&amp;IF(AND($BH15="Everyone",NOT(AND($BD15="Yes",$BG15="Yes"))),"Check: approved to tutor children but WWCC not provided/confirmed. ","")&amp;IF(AND($P15&gt;0,NOT(AND(OR(LEFT($AY15,3)="Yes",LEFT($AY15,2)="NA"),OR(LEFT($AZ15,3)="Yes",LEFT($AZ15,2)="NA")))),"Matched but vetting incomplete (interview/reference). ","")&amp;IF(COUNTIF($B$3:$B$600,$B15)&gt;1,"Duplicate participant name. ",""))</f>
        <v/>
      </c>
      <c r="BO15" s="48" t="inlineStr">
        <is>
          <t>S-O-00004</t>
        </is>
      </c>
      <c r="BP15" s="48">
        <f>IFERROR(VLOOKUP(BO15,$A:$B,2,FALSE),"")</f>
        <v/>
      </c>
      <c r="BQ15" s="49" t="n">
        <v>45442</v>
      </c>
      <c r="BR15" s="48" t="inlineStr"/>
      <c r="BS15" s="48" t="n">
        <v>2</v>
      </c>
      <c r="BT15" s="48" t="inlineStr">
        <is>
          <t>KNIJNIK Marina</t>
        </is>
      </c>
      <c r="BU15" s="48" t="inlineStr">
        <is>
          <t>S-N-00005</t>
        </is>
      </c>
      <c r="BV15" s="48">
        <f>IFERROR(VLOOKUP(BU15,$A:$B,2,FALSE),"")</f>
        <v/>
      </c>
      <c r="BW15" s="49" t="n">
        <v>45780</v>
      </c>
      <c r="BX15" s="48" t="inlineStr"/>
      <c r="BY15" s="48" t="n">
        <v>1</v>
      </c>
      <c r="BZ15" s="48" t="inlineStr">
        <is>
          <t>SINGH Veera</t>
        </is>
      </c>
      <c r="CA15" s="48" t="inlineStr">
        <is>
          <t>S-N-00007</t>
        </is>
      </c>
      <c r="CB15" s="48">
        <f>IFERROR(VLOOKUP(CA15,$A:$B,2,FALSE),"")</f>
        <v/>
      </c>
      <c r="CC15" s="49" t="n">
        <v>45826</v>
      </c>
      <c r="CD15" s="49" t="n">
        <v>46018</v>
      </c>
      <c r="CE15" s="48" t="n">
        <v>1.5</v>
      </c>
      <c r="CF15" s="48" t="inlineStr">
        <is>
          <t>NUICH Curtis</t>
        </is>
      </c>
      <c r="CG15" s="48" t="inlineStr"/>
      <c r="CH15" s="48" t="inlineStr"/>
      <c r="CI15" s="48" t="inlineStr"/>
      <c r="CJ15" s="48" t="inlineStr"/>
      <c r="CK15" s="48" t="inlineStr"/>
      <c r="CL15" s="48" t="inlineStr"/>
      <c r="CM15" s="48" t="inlineStr"/>
      <c r="CN15" s="48" t="inlineStr"/>
      <c r="CO15" s="48" t="inlineStr"/>
      <c r="CP15" s="48" t="inlineStr"/>
      <c r="CQ15" s="48" t="inlineStr"/>
      <c r="CR15" s="48" t="inlineStr"/>
      <c r="CS15" s="48">
        <f>IF(LEFT($J15,3)="ERR",0,1)</f>
        <v/>
      </c>
      <c r="CT15" s="48">
        <f>IF(LEFT($J15,3)="ADM",1,0)</f>
        <v/>
      </c>
      <c r="CU15" s="48">
        <f>IF(OR($J15="ADM-ACT-MAT-CNE",$J15="ADM-ACT-MAT-CE",$J15="ADM-INACT-M&amp;T"),1,0)</f>
        <v/>
      </c>
      <c r="CV15" s="48">
        <f>IF(AND(CU15=1,ISNUMBER(M15),ISNUMBER(I15)),M15-I15,"")</f>
        <v/>
      </c>
      <c r="CW15" s="48">
        <f>IF(ISNUMBER(I15),TODAY()-I15,"")</f>
        <v/>
      </c>
      <c r="CX15" s="48">
        <f>IF(ISNUMBER(I15),DATE(YEAR(I15),MONTH(I15),1),"")</f>
        <v/>
      </c>
      <c r="CY15" s="48">
        <f>IFERROR(DATEDIF(AK15,TODAY(),"y"),"")</f>
        <v/>
      </c>
      <c r="CZ15" s="48">
        <f>IF(CY15="","",IF(CY15&lt;28,"18-27",IF(CY15&lt;38,"28-37",IF(CY15&lt;48,"38-47",IF(CY15&lt;58,"48-57",IF(CY15&lt;68,"58-67",IF(CY15&lt;78,"68-77","78+")))))) </f>
        <v/>
      </c>
      <c r="DA15" s="48">
        <f>IF(AND(BQ15&lt;&gt;"",BR15=""),N(BS15),0)+IF(AND(BW15&lt;&gt;"",BX15=""),N(BY15),0)+IF(AND(CC15&lt;&gt;"",CD15=""),N(CE15),0)+IF(AND(CI15&lt;&gt;"",CJ15=""),N(CK15),0)+IF(AND(CO15&lt;&gt;"",CP15=""),N(CQ15),0)</f>
        <v/>
      </c>
      <c r="DB15" s="48">
        <f>ROUND(IF(BQ15&lt;&gt;"",N(BS15)*MAX(0,((IF(BR15="",TODAY(),BR15))-BQ15)/7),0)+IF(BW15&lt;&gt;"",N(BY15)*MAX(0,((IF(BX15="",TODAY(),BX15))-BW15)/7),0)+IF(CC15&lt;&gt;"",N(CE15)*MAX(0,((IF(CD15="",TODAY(),CD15))-CC15)/7),0)+IF(CI15&lt;&gt;"",N(CK15)*MAX(0,((IF(CJ15="",TODAY(),CJ15))-CI15)/7),0)+IF(CO15&lt;&gt;"",N(CQ15)*MAX(0,((IF(CP15="",TODAY(),CP15))-CO15)/7),0),1)</f>
        <v/>
      </c>
      <c r="DC15" s="48">
        <f>IF(OR(TRIM(X15)="",TRIM(X15)="NA;",TRIM(X15)="NA"),0,1)</f>
        <v/>
      </c>
      <c r="DD15" s="48">
        <f>IF(OR(TRIM(Y15)="",TRIM(Y15)="NA;",TRIM(Y15)="NA"),0,1)</f>
        <v/>
      </c>
      <c r="DE15" s="48">
        <f>IF(OR(TRIM(Z15)="",TRIM(Z15)="NA;",TRIM(Z15)="NA"),0,1)</f>
        <v/>
      </c>
      <c r="DF15" s="48">
        <f>IF(OR(TRIM(AA15)="",TRIM(AA15)="NA;",TRIM(AA15)="NA"),0,1)</f>
        <v/>
      </c>
      <c r="DG15" s="48">
        <f>IF(OR(TRIM(AB15)="",TRIM(AB15)="NA;",TRIM(AB15)="NA"),0,1)</f>
        <v/>
      </c>
      <c r="DH15" s="48">
        <f>IF(OR(TRIM(AC15)="",TRIM(AC15)="NA;",TRIM(AC15)="NA"),0,1)</f>
        <v/>
      </c>
      <c r="DI15" s="48">
        <f>IF(OR(TRIM(AD15)="",TRIM(AD15)="NA;",TRIM(AD15)="NA"),0,1)</f>
        <v/>
      </c>
      <c r="DJ15" s="48">
        <f>TRIM(IF(DC15=1,"Mon ","")&amp;IF(DD15=1,"Tue ","")&amp;IF(DE15=1,"Wed ","")&amp;IF(DF15=1,"Thu ","")&amp;IF(DG15=1,"Fri ","")&amp;IF(DH15=1,"Sat ","")&amp;IF(DI15=1,"Sun ",""))</f>
        <v/>
      </c>
    </row>
    <row r="16">
      <c r="A16" s="48" t="inlineStr">
        <is>
          <t>T-O-00014</t>
        </is>
      </c>
      <c r="B16" s="48" t="inlineStr">
        <is>
          <t>Chloe Wright</t>
        </is>
      </c>
      <c r="C16" s="48" t="inlineStr">
        <is>
          <t>chloe.wright14@example.com</t>
        </is>
      </c>
      <c r="D16" s="48" t="inlineStr">
        <is>
          <t>+61 441 872 251</t>
        </is>
      </c>
      <c r="E16" s="48" t="inlineStr">
        <is>
          <t>Pedro Wilson</t>
        </is>
      </c>
      <c r="F16" s="48" t="inlineStr">
        <is>
          <t>+61 471 776 246</t>
        </is>
      </c>
      <c r="G16" s="48" t="inlineStr">
        <is>
          <t>Caseworker</t>
        </is>
      </c>
      <c r="H16" s="48" t="inlineStr">
        <is>
          <t>Tutor</t>
        </is>
      </c>
      <c r="I16" s="49" t="n">
        <v>45385</v>
      </c>
      <c r="J16" s="48" t="inlineStr">
        <is>
          <t>ADM-ACT-MAT-CE</t>
        </is>
      </c>
      <c r="K16" s="48">
        <f>IFERROR(VLOOKUP(J16,'(A) Introduction'!$B$35:$C$45,2,FALSE),"")</f>
        <v/>
      </c>
      <c r="L16" s="48" t="inlineStr">
        <is>
          <t>No</t>
        </is>
      </c>
      <c r="M16" s="48" t="inlineStr"/>
      <c r="N16" s="48" t="inlineStr"/>
      <c r="O16" s="48" t="n">
        <v>1</v>
      </c>
      <c r="P16" s="48">
        <f>IF($H16="Tutor",((BQ16&lt;&gt;"")*(BR16=""))+((BW16&lt;&gt;"")*(BX16=""))+((CC16&lt;&gt;"")*(CD16=""))+((CI16&lt;&gt;"")*(CJ16=""))+((CO16&lt;&gt;"")*(CP16="")),SUMPRODUCT(--($BO$3:$BO$202=$A16),--($BR$3:$BR$202=""))+SUMPRODUCT(--($BU$3:$BU$202=$A16),--($BX$3:$BX$202=""))+SUMPRODUCT(--($CA$3:$CA$202=$A16),--($CD$3:$CD$202=""))+SUMPRODUCT(--($CG$3:$CG$202=$A16),--($CJ$3:$CJ$202=""))+SUMPRODUCT(--($CM$3:$CM$202=$A16),--($CP$3:$CP$202="")))</f>
        <v/>
      </c>
      <c r="Q16" s="48">
        <f>IF($H16="Tutor",(BQ16&lt;&gt;"")+(BW16&lt;&gt;"")+(CC16&lt;&gt;"")+(CI16&lt;&gt;"")+(CO16&lt;&gt;""),SUMPRODUCT(--($BO$3:$BO$202=$A16))+SUMPRODUCT(--($BU$3:$BU$202=$A16))+SUMPRODUCT(--($CA$3:$CA$202=$A16))+SUMPRODUCT(--($CG$3:$CG$202=$A16))+SUMPRODUCT(--($CM$3:$CM$202=$A16)))</f>
        <v/>
      </c>
      <c r="R16" s="48">
        <f>IF($H16="Tutor",TRIM(IF(AND(BQ16&lt;&gt;"",BR16=""),BP16&amp;"; ","")&amp;IF(AND(BW16&lt;&gt;"",BX16=""),BV16&amp;"; ","")&amp;IF(AND(CC16&lt;&gt;"",CD16=""),CB16&amp;"; ","")&amp;IF(AND(CI16&lt;&gt;"",CJ16=""),CH16&amp;"; ","")&amp;IF(AND(CO16&lt;&gt;"",CP16=""),CN16&amp;"; ","")),IFERROR(INDEX($A$3:$B$202,(SUMPRODUCT(($BO$3:$BO$202=$A16)*($BR$3:$BR$202="")*ROW($BO$3:$BO$202))+SUMPRODUCT(($BU$3:$BU$202=$A16)*($BX$3:$BX$202="")*ROW($BU$3:$BU$202))+SUMPRODUCT(($CA$3:$CA$202=$A16)*($CD$3:$CD$202="")*ROW($CA$3:$CA$202))+SUMPRODUCT(($CG$3:$CG$202=$A16)*($CJ$3:$CJ$202="")*ROW($CG$3:$CG$202))+SUMPRODUCT(($CM$3:$CM$202=$A16)*($CP$3:$CP$202="")*ROW($CM$3:$CM$202)))-2,2),""))</f>
        <v/>
      </c>
      <c r="S16" s="48" t="inlineStr">
        <is>
          <t>Not Provided</t>
        </is>
      </c>
      <c r="T16" s="48" t="inlineStr"/>
      <c r="U16" s="48" t="inlineStr"/>
      <c r="V16" s="49" t="n">
        <v>45950</v>
      </c>
      <c r="W16" s="48" t="inlineStr">
        <is>
          <t>AEDT (UTC+11)</t>
        </is>
      </c>
      <c r="X16" s="48" t="inlineStr">
        <is>
          <t>12pm-3pm;</t>
        </is>
      </c>
      <c r="Y16" s="48" t="inlineStr">
        <is>
          <t>6pm-9pm;</t>
        </is>
      </c>
      <c r="Z16" s="48" t="inlineStr">
        <is>
          <t>12pm-3pm;6pm-9pm;</t>
        </is>
      </c>
      <c r="AA16" s="48" t="inlineStr">
        <is>
          <t>6am-9am;9am-12pm;</t>
        </is>
      </c>
      <c r="AB16" s="48" t="inlineStr">
        <is>
          <t>NA;</t>
        </is>
      </c>
      <c r="AC16" s="48" t="inlineStr">
        <is>
          <t>6pm-9pm;</t>
        </is>
      </c>
      <c r="AD16" s="48" t="inlineStr">
        <is>
          <t>6am-9am;9am-12pm;</t>
        </is>
      </c>
      <c r="AE16" s="48" t="inlineStr">
        <is>
          <t>Online</t>
        </is>
      </c>
      <c r="AF16" s="48" t="inlineStr">
        <is>
          <t>NA - Tutor</t>
        </is>
      </c>
      <c r="AG16" s="48" t="inlineStr">
        <is>
          <t>Australia</t>
        </is>
      </c>
      <c r="AH16" s="48" t="inlineStr">
        <is>
          <t>New South Wales</t>
        </is>
      </c>
      <c r="AI16" s="48" t="inlineStr">
        <is>
          <t>Doonside</t>
        </is>
      </c>
      <c r="AJ16" s="48" t="inlineStr">
        <is>
          <t>2767</t>
        </is>
      </c>
      <c r="AK16" s="49" t="n">
        <v>30635</v>
      </c>
      <c r="AL16" s="48" t="inlineStr">
        <is>
          <t>Female</t>
        </is>
      </c>
      <c r="AM16" s="48" t="inlineStr">
        <is>
          <t>NA</t>
        </is>
      </c>
      <c r="AN16" s="48" t="inlineStr">
        <is>
          <t>NA - Tutor</t>
        </is>
      </c>
      <c r="AO16" s="48" t="inlineStr">
        <is>
          <t>High</t>
        </is>
      </c>
      <c r="AP16" s="48" t="inlineStr">
        <is>
          <t>Russia</t>
        </is>
      </c>
      <c r="AQ16" s="48" t="inlineStr">
        <is>
          <t>NA</t>
        </is>
      </c>
      <c r="AR16" s="48" t="inlineStr">
        <is>
          <t>Somali (C2)</t>
        </is>
      </c>
      <c r="AS16" s="48" t="inlineStr">
        <is>
          <t>Buddhist</t>
        </is>
      </c>
      <c r="AT16" s="48" t="inlineStr">
        <is>
          <t>Health &amp; Medicine</t>
        </is>
      </c>
      <c r="AU16" s="48" t="inlineStr">
        <is>
          <t>Aged Care Worker</t>
        </is>
      </c>
      <c r="AV16" s="48" t="inlineStr">
        <is>
          <t>NA - Tutor</t>
        </is>
      </c>
      <c r="AW16" s="48" t="inlineStr">
        <is>
          <t>Reading; Politics; Music</t>
        </is>
      </c>
      <c r="AX16" s="48" t="inlineStr">
        <is>
          <t>NA - Tutor</t>
        </is>
      </c>
      <c r="AY16" s="48" t="inlineStr">
        <is>
          <t>NA - Partner Organisation Verified</t>
        </is>
      </c>
      <c r="AZ16" s="48" t="inlineStr">
        <is>
          <t>Yes</t>
        </is>
      </c>
      <c r="BA16" s="48" t="inlineStr">
        <is>
          <t>Viktor Wilson</t>
        </is>
      </c>
      <c r="BB16" s="48" t="inlineStr">
        <is>
          <t>Friend</t>
        </is>
      </c>
      <c r="BC16" s="48" t="inlineStr">
        <is>
          <t>layla.garcia514@example.com</t>
        </is>
      </c>
      <c r="BD16" s="48" t="inlineStr">
        <is>
          <t>Pending</t>
        </is>
      </c>
      <c r="BE16" s="48" t="inlineStr"/>
      <c r="BF16" s="48" t="inlineStr"/>
      <c r="BG16" s="48" t="inlineStr">
        <is>
          <t>No</t>
        </is>
      </c>
      <c r="BH16" s="48" t="inlineStr">
        <is>
          <t>Adults Only</t>
        </is>
      </c>
      <c r="BI16" s="48" t="inlineStr">
        <is>
          <t>Ayelet</t>
        </is>
      </c>
      <c r="BJ16" s="48" t="inlineStr">
        <is>
          <t>HERVIR Oliver</t>
        </is>
      </c>
      <c r="BK16" s="48" t="inlineStr">
        <is>
          <t>ZULMAN Levi</t>
        </is>
      </c>
      <c r="BL16" s="48" t="inlineStr">
        <is>
          <t>Synthetic test record.</t>
        </is>
      </c>
      <c r="BM16" s="48" t="inlineStr"/>
      <c r="BN16" s="48">
        <f>TRIM(IF(AND($H16="Student",$J16="ADM-ACT-MAT-CNE"),"Invalid: Student cannot be CNE. ","")&amp;IF(AND($H16="Student",ISNUMBER($O16)),"Check: capacity set for a Student. ","")&amp;IF(AND(LEFT($J16,11)="ADM-ACT-MAT",$P16=0),"Check: matched status but 0 active pairings. ","")&amp;IF(AND($H16="Tutor",ISNUMBER($O16),$P16&gt;$O16),"Check: pairings exceed capacity. ","")&amp;IF(AND($BH16="Everyone",NOT(AND($BD16="Yes",$BG16="Yes"))),"Check: approved to tutor children but WWCC not provided/confirmed. ","")&amp;IF(AND($P16&gt;0,NOT(AND(OR(LEFT($AY16,3)="Yes",LEFT($AY16,2)="NA"),OR(LEFT($AZ16,3)="Yes",LEFT($AZ16,2)="NA")))),"Matched but vetting incomplete (interview/reference). ","")&amp;IF(COUNTIF($B$3:$B$600,$B16)&gt;1,"Duplicate participant name. ",""))</f>
        <v/>
      </c>
      <c r="BO16" s="48" t="inlineStr">
        <is>
          <t>S-N-00016</t>
        </is>
      </c>
      <c r="BP16" s="48">
        <f>IFERROR(VLOOKUP(BO16,$A:$B,2,FALSE),"")</f>
        <v/>
      </c>
      <c r="BQ16" s="49" t="n">
        <v>45874</v>
      </c>
      <c r="BR16" s="48" t="inlineStr"/>
      <c r="BS16" s="48" t="n">
        <v>1</v>
      </c>
      <c r="BT16" s="48" t="inlineStr">
        <is>
          <t>AGARWAL Akanksha</t>
        </is>
      </c>
      <c r="BU16" s="48" t="inlineStr"/>
      <c r="BV16" s="48" t="inlineStr"/>
      <c r="BW16" s="48" t="inlineStr"/>
      <c r="BX16" s="48" t="inlineStr"/>
      <c r="BY16" s="48" t="inlineStr"/>
      <c r="BZ16" s="48" t="inlineStr"/>
      <c r="CA16" s="48" t="inlineStr"/>
      <c r="CB16" s="48" t="inlineStr"/>
      <c r="CC16" s="48" t="inlineStr"/>
      <c r="CD16" s="48" t="inlineStr"/>
      <c r="CE16" s="48" t="inlineStr"/>
      <c r="CF16" s="48" t="inlineStr"/>
      <c r="CG16" s="48" t="inlineStr"/>
      <c r="CH16" s="48" t="inlineStr"/>
      <c r="CI16" s="48" t="inlineStr"/>
      <c r="CJ16" s="48" t="inlineStr"/>
      <c r="CK16" s="48" t="inlineStr"/>
      <c r="CL16" s="48" t="inlineStr"/>
      <c r="CM16" s="48" t="inlineStr"/>
      <c r="CN16" s="48" t="inlineStr"/>
      <c r="CO16" s="48" t="inlineStr"/>
      <c r="CP16" s="48" t="inlineStr"/>
      <c r="CQ16" s="48" t="inlineStr"/>
      <c r="CR16" s="48" t="inlineStr"/>
      <c r="CS16" s="48">
        <f>IF(LEFT($J16,3)="ERR",0,1)</f>
        <v/>
      </c>
      <c r="CT16" s="48">
        <f>IF(LEFT($J16,3)="ADM",1,0)</f>
        <v/>
      </c>
      <c r="CU16" s="48">
        <f>IF(OR($J16="ADM-ACT-MAT-CNE",$J16="ADM-ACT-MAT-CE",$J16="ADM-INACT-M&amp;T"),1,0)</f>
        <v/>
      </c>
      <c r="CV16" s="48">
        <f>IF(AND(CU16=1,ISNUMBER(M16),ISNUMBER(I16)),M16-I16,"")</f>
        <v/>
      </c>
      <c r="CW16" s="48">
        <f>IF(ISNUMBER(I16),TODAY()-I16,"")</f>
        <v/>
      </c>
      <c r="CX16" s="48">
        <f>IF(ISNUMBER(I16),DATE(YEAR(I16),MONTH(I16),1),"")</f>
        <v/>
      </c>
      <c r="CY16" s="48">
        <f>IFERROR(DATEDIF(AK16,TODAY(),"y"),"")</f>
        <v/>
      </c>
      <c r="CZ16" s="48">
        <f>IF(CY16="","",IF(CY16&lt;28,"18-27",IF(CY16&lt;38,"28-37",IF(CY16&lt;48,"38-47",IF(CY16&lt;58,"48-57",IF(CY16&lt;68,"58-67",IF(CY16&lt;78,"68-77","78+")))))) </f>
        <v/>
      </c>
      <c r="DA16" s="48">
        <f>IF(AND(BQ16&lt;&gt;"",BR16=""),N(BS16),0)+IF(AND(BW16&lt;&gt;"",BX16=""),N(BY16),0)+IF(AND(CC16&lt;&gt;"",CD16=""),N(CE16),0)+IF(AND(CI16&lt;&gt;"",CJ16=""),N(CK16),0)+IF(AND(CO16&lt;&gt;"",CP16=""),N(CQ16),0)</f>
        <v/>
      </c>
      <c r="DB16" s="48">
        <f>ROUND(IF(BQ16&lt;&gt;"",N(BS16)*MAX(0,((IF(BR16="",TODAY(),BR16))-BQ16)/7),0)+IF(BW16&lt;&gt;"",N(BY16)*MAX(0,((IF(BX16="",TODAY(),BX16))-BW16)/7),0)+IF(CC16&lt;&gt;"",N(CE16)*MAX(0,((IF(CD16="",TODAY(),CD16))-CC16)/7),0)+IF(CI16&lt;&gt;"",N(CK16)*MAX(0,((IF(CJ16="",TODAY(),CJ16))-CI16)/7),0)+IF(CO16&lt;&gt;"",N(CQ16)*MAX(0,((IF(CP16="",TODAY(),CP16))-CO16)/7),0),1)</f>
        <v/>
      </c>
      <c r="DC16" s="48">
        <f>IF(OR(TRIM(X16)="",TRIM(X16)="NA;",TRIM(X16)="NA"),0,1)</f>
        <v/>
      </c>
      <c r="DD16" s="48">
        <f>IF(OR(TRIM(Y16)="",TRIM(Y16)="NA;",TRIM(Y16)="NA"),0,1)</f>
        <v/>
      </c>
      <c r="DE16" s="48">
        <f>IF(OR(TRIM(Z16)="",TRIM(Z16)="NA;",TRIM(Z16)="NA"),0,1)</f>
        <v/>
      </c>
      <c r="DF16" s="48">
        <f>IF(OR(TRIM(AA16)="",TRIM(AA16)="NA;",TRIM(AA16)="NA"),0,1)</f>
        <v/>
      </c>
      <c r="DG16" s="48">
        <f>IF(OR(TRIM(AB16)="",TRIM(AB16)="NA;",TRIM(AB16)="NA"),0,1)</f>
        <v/>
      </c>
      <c r="DH16" s="48">
        <f>IF(OR(TRIM(AC16)="",TRIM(AC16)="NA;",TRIM(AC16)="NA"),0,1)</f>
        <v/>
      </c>
      <c r="DI16" s="48">
        <f>IF(OR(TRIM(AD16)="",TRIM(AD16)="NA;",TRIM(AD16)="NA"),0,1)</f>
        <v/>
      </c>
      <c r="DJ16" s="48">
        <f>TRIM(IF(DC16=1,"Mon ","")&amp;IF(DD16=1,"Tue ","")&amp;IF(DE16=1,"Wed ","")&amp;IF(DF16=1,"Thu ","")&amp;IF(DG16=1,"Fri ","")&amp;IF(DH16=1,"Sat ","")&amp;IF(DI16=1,"Sun ",""))</f>
        <v/>
      </c>
    </row>
    <row r="17">
      <c r="A17" s="48" t="inlineStr">
        <is>
          <t>T-O-00015</t>
        </is>
      </c>
      <c r="B17" s="48" t="inlineStr">
        <is>
          <t>Anya Lopez</t>
        </is>
      </c>
      <c r="C17" s="48" t="inlineStr">
        <is>
          <t>anya.lopez15@example.com</t>
        </is>
      </c>
      <c r="D17" s="48" t="inlineStr">
        <is>
          <t>+61 488 249 313</t>
        </is>
      </c>
      <c r="E17" s="48" t="inlineStr">
        <is>
          <t>Peter Walker</t>
        </is>
      </c>
      <c r="F17" s="48" t="inlineStr">
        <is>
          <t>+61 476 289 102</t>
        </is>
      </c>
      <c r="G17" s="48" t="inlineStr">
        <is>
          <t>Parent</t>
        </is>
      </c>
      <c r="H17" s="48" t="inlineStr">
        <is>
          <t>Tutor</t>
        </is>
      </c>
      <c r="I17" s="49" t="n">
        <v>45390</v>
      </c>
      <c r="J17" s="48" t="inlineStr">
        <is>
          <t>ADM-INACT-NOM&amp;T</t>
        </is>
      </c>
      <c r="K17" s="48">
        <f>IFERROR(VLOOKUP(J17,'(A) Introduction'!$B$35:$C$45,2,FALSE),"")</f>
        <v/>
      </c>
      <c r="L17" s="48" t="inlineStr">
        <is>
          <t>No</t>
        </is>
      </c>
      <c r="M17" s="48" t="inlineStr"/>
      <c r="N17" s="48" t="inlineStr"/>
      <c r="O17" s="48" t="n">
        <v>3</v>
      </c>
      <c r="P17" s="48">
        <f>IF($H17="Tutor",((BQ17&lt;&gt;"")*(BR17=""))+((BW17&lt;&gt;"")*(BX17=""))+((CC17&lt;&gt;"")*(CD17=""))+((CI17&lt;&gt;"")*(CJ17=""))+((CO17&lt;&gt;"")*(CP17="")),SUMPRODUCT(--($BO$3:$BO$202=$A17),--($BR$3:$BR$202=""))+SUMPRODUCT(--($BU$3:$BU$202=$A17),--($BX$3:$BX$202=""))+SUMPRODUCT(--($CA$3:$CA$202=$A17),--($CD$3:$CD$202=""))+SUMPRODUCT(--($CG$3:$CG$202=$A17),--($CJ$3:$CJ$202=""))+SUMPRODUCT(--($CM$3:$CM$202=$A17),--($CP$3:$CP$202="")))</f>
        <v/>
      </c>
      <c r="Q17" s="48">
        <f>IF($H17="Tutor",(BQ17&lt;&gt;"")+(BW17&lt;&gt;"")+(CC17&lt;&gt;"")+(CI17&lt;&gt;"")+(CO17&lt;&gt;""),SUMPRODUCT(--($BO$3:$BO$202=$A17))+SUMPRODUCT(--($BU$3:$BU$202=$A17))+SUMPRODUCT(--($CA$3:$CA$202=$A17))+SUMPRODUCT(--($CG$3:$CG$202=$A17))+SUMPRODUCT(--($CM$3:$CM$202=$A17)))</f>
        <v/>
      </c>
      <c r="R17" s="48">
        <f>IF($H17="Tutor",TRIM(IF(AND(BQ17&lt;&gt;"",BR17=""),BP17&amp;"; ","")&amp;IF(AND(BW17&lt;&gt;"",BX17=""),BV17&amp;"; ","")&amp;IF(AND(CC17&lt;&gt;"",CD17=""),CB17&amp;"; ","")&amp;IF(AND(CI17&lt;&gt;"",CJ17=""),CH17&amp;"; ","")&amp;IF(AND(CO17&lt;&gt;"",CP17=""),CN17&amp;"; ","")),IFERROR(INDEX($A$3:$B$202,(SUMPRODUCT(($BO$3:$BO$202=$A17)*($BR$3:$BR$202="")*ROW($BO$3:$BO$202))+SUMPRODUCT(($BU$3:$BU$202=$A17)*($BX$3:$BX$202="")*ROW($BU$3:$BU$202))+SUMPRODUCT(($CA$3:$CA$202=$A17)*($CD$3:$CD$202="")*ROW($CA$3:$CA$202))+SUMPRODUCT(($CG$3:$CG$202=$A17)*($CJ$3:$CJ$202="")*ROW($CG$3:$CG$202))+SUMPRODUCT(($CM$3:$CM$202=$A17)*($CP$3:$CP$202="")*ROW($CM$3:$CM$202)))-2,2),""))</f>
        <v/>
      </c>
      <c r="S17" s="48" t="inlineStr">
        <is>
          <t>Not Provided</t>
        </is>
      </c>
      <c r="T17" s="48" t="inlineStr"/>
      <c r="U17" s="48" t="inlineStr"/>
      <c r="V17" s="49" t="n">
        <v>45472</v>
      </c>
      <c r="W17" s="48" t="inlineStr">
        <is>
          <t>AEDT (UTC+11)</t>
        </is>
      </c>
      <c r="X17" s="48" t="inlineStr">
        <is>
          <t>9am-12pm;12pm-3pm;3pm-6pm;</t>
        </is>
      </c>
      <c r="Y17" s="48" t="inlineStr">
        <is>
          <t>9am-12pm;12pm-3pm;3pm-6pm;</t>
        </is>
      </c>
      <c r="Z17" s="48" t="inlineStr">
        <is>
          <t>6am-9am;9am-12pm;</t>
        </is>
      </c>
      <c r="AA17" s="48" t="inlineStr">
        <is>
          <t>12pm-3pm;6pm-9pm;</t>
        </is>
      </c>
      <c r="AB17" s="48" t="inlineStr">
        <is>
          <t>9am-12pm;12pm-3pm;3pm-6pm;</t>
        </is>
      </c>
      <c r="AC17" s="48" t="inlineStr">
        <is>
          <t>6am-9am;9am-12pm;</t>
        </is>
      </c>
      <c r="AD17" s="48" t="inlineStr">
        <is>
          <t>6am-9am;9am-12pm;</t>
        </is>
      </c>
      <c r="AE17" s="48" t="inlineStr">
        <is>
          <t>Either</t>
        </is>
      </c>
      <c r="AF17" s="48" t="inlineStr">
        <is>
          <t>NA - Tutor</t>
        </is>
      </c>
      <c r="AG17" s="48" t="inlineStr">
        <is>
          <t>Australia</t>
        </is>
      </c>
      <c r="AH17" s="48" t="inlineStr">
        <is>
          <t>New South Wales</t>
        </is>
      </c>
      <c r="AI17" s="48" t="inlineStr">
        <is>
          <t>Marrickville</t>
        </is>
      </c>
      <c r="AJ17" s="48" t="inlineStr">
        <is>
          <t>2204</t>
        </is>
      </c>
      <c r="AK17" s="49" t="n">
        <v>30081</v>
      </c>
      <c r="AL17" s="48" t="inlineStr">
        <is>
          <t>Male</t>
        </is>
      </c>
      <c r="AM17" s="48" t="inlineStr">
        <is>
          <t>NA</t>
        </is>
      </c>
      <c r="AN17" s="48" t="inlineStr">
        <is>
          <t>NA - Tutor</t>
        </is>
      </c>
      <c r="AO17" s="48" t="inlineStr">
        <is>
          <t>High</t>
        </is>
      </c>
      <c r="AP17" s="48" t="inlineStr">
        <is>
          <t>Russia</t>
        </is>
      </c>
      <c r="AQ17" s="48" t="inlineStr">
        <is>
          <t>NA</t>
        </is>
      </c>
      <c r="AR17" s="48" t="inlineStr">
        <is>
          <t>Pashto (C2)</t>
        </is>
      </c>
      <c r="AS17" s="48" t="inlineStr">
        <is>
          <t>Christian (Orthodox)</t>
        </is>
      </c>
      <c r="AT17" s="48" t="inlineStr">
        <is>
          <t>Business &amp; Finance</t>
        </is>
      </c>
      <c r="AU17" s="48" t="inlineStr">
        <is>
          <t>Student</t>
        </is>
      </c>
      <c r="AV17" s="48" t="inlineStr">
        <is>
          <t>NA - Tutor</t>
        </is>
      </c>
      <c r="AW17" s="48" t="inlineStr">
        <is>
          <t>Language learning; Self-development</t>
        </is>
      </c>
      <c r="AX17" s="48" t="inlineStr">
        <is>
          <t>NA - Tutor</t>
        </is>
      </c>
      <c r="AY17" s="48" t="inlineStr">
        <is>
          <t>Yes</t>
        </is>
      </c>
      <c r="AZ17" s="48" t="inlineStr">
        <is>
          <t>Yes</t>
        </is>
      </c>
      <c r="BA17" s="48" t="inlineStr">
        <is>
          <t>Anya Lopez</t>
        </is>
      </c>
      <c r="BB17" s="48" t="inlineStr">
        <is>
          <t>Academic Referee</t>
        </is>
      </c>
      <c r="BC17" s="48" t="inlineStr">
        <is>
          <t>yusuf.bourne515@example.com</t>
        </is>
      </c>
      <c r="BD17" s="48" t="inlineStr">
        <is>
          <t>Yes</t>
        </is>
      </c>
      <c r="BE17" s="48" t="inlineStr">
        <is>
          <t>WWC2612483V</t>
        </is>
      </c>
      <c r="BF17" s="49" t="n">
        <v>47072</v>
      </c>
      <c r="BG17" s="48" t="inlineStr">
        <is>
          <t>Yes</t>
        </is>
      </c>
      <c r="BH17" s="48" t="inlineStr">
        <is>
          <t>Everyone</t>
        </is>
      </c>
      <c r="BI17" s="48" t="inlineStr">
        <is>
          <t>Supporting Asylum Seekers Sydney</t>
        </is>
      </c>
      <c r="BJ17" s="48" t="inlineStr">
        <is>
          <t>KNIJNIK Marina</t>
        </is>
      </c>
      <c r="BK17" s="48" t="inlineStr">
        <is>
          <t>ZULMAN Levi</t>
        </is>
      </c>
      <c r="BL17" s="48" t="inlineStr">
        <is>
          <t>Synthetic test record.</t>
        </is>
      </c>
      <c r="BM17" s="48" t="inlineStr"/>
      <c r="BN17" s="48">
        <f>TRIM(IF(AND($H17="Student",$J17="ADM-ACT-MAT-CNE"),"Invalid: Student cannot be CNE. ","")&amp;IF(AND($H17="Student",ISNUMBER($O17)),"Check: capacity set for a Student. ","")&amp;IF(AND(LEFT($J17,11)="ADM-ACT-MAT",$P17=0),"Check: matched status but 0 active pairings. ","")&amp;IF(AND($H17="Tutor",ISNUMBER($O17),$P17&gt;$O17),"Check: pairings exceed capacity. ","")&amp;IF(AND($BH17="Everyone",NOT(AND($BD17="Yes",$BG17="Yes"))),"Check: approved to tutor children but WWCC not provided/confirmed. ","")&amp;IF(AND($P17&gt;0,NOT(AND(OR(LEFT($AY17,3)="Yes",LEFT($AY17,2)="NA"),OR(LEFT($AZ17,3)="Yes",LEFT($AZ17,2)="NA")))),"Matched but vetting incomplete (interview/reference). ","")&amp;IF(COUNTIF($B$3:$B$600,$B17)&gt;1,"Duplicate participant name. ",""))</f>
        <v/>
      </c>
      <c r="BO17" s="48" t="inlineStr"/>
      <c r="BP17" s="48" t="inlineStr"/>
      <c r="BQ17" s="48" t="inlineStr"/>
      <c r="BR17" s="48" t="inlineStr"/>
      <c r="BS17" s="48" t="inlineStr"/>
      <c r="BT17" s="48" t="inlineStr"/>
      <c r="BU17" s="48" t="inlineStr"/>
      <c r="BV17" s="48" t="inlineStr"/>
      <c r="BW17" s="48" t="inlineStr"/>
      <c r="BX17" s="48" t="inlineStr"/>
      <c r="BY17" s="48" t="inlineStr"/>
      <c r="BZ17" s="48" t="inlineStr"/>
      <c r="CA17" s="48" t="inlineStr"/>
      <c r="CB17" s="48" t="inlineStr"/>
      <c r="CC17" s="48" t="inlineStr"/>
      <c r="CD17" s="48" t="inlineStr"/>
      <c r="CE17" s="48" t="inlineStr"/>
      <c r="CF17" s="48" t="inlineStr"/>
      <c r="CG17" s="48" t="inlineStr"/>
      <c r="CH17" s="48" t="inlineStr"/>
      <c r="CI17" s="48" t="inlineStr"/>
      <c r="CJ17" s="48" t="inlineStr"/>
      <c r="CK17" s="48" t="inlineStr"/>
      <c r="CL17" s="48" t="inlineStr"/>
      <c r="CM17" s="48" t="inlineStr"/>
      <c r="CN17" s="48" t="inlineStr"/>
      <c r="CO17" s="48" t="inlineStr"/>
      <c r="CP17" s="48" t="inlineStr"/>
      <c r="CQ17" s="48" t="inlineStr"/>
      <c r="CR17" s="48" t="inlineStr"/>
      <c r="CS17" s="48">
        <f>IF(LEFT($J17,3)="ERR",0,1)</f>
        <v/>
      </c>
      <c r="CT17" s="48">
        <f>IF(LEFT($J17,3)="ADM",1,0)</f>
        <v/>
      </c>
      <c r="CU17" s="48">
        <f>IF(OR($J17="ADM-ACT-MAT-CNE",$J17="ADM-ACT-MAT-CE",$J17="ADM-INACT-M&amp;T"),1,0)</f>
        <v/>
      </c>
      <c r="CV17" s="48">
        <f>IF(AND(CU17=1,ISNUMBER(M17),ISNUMBER(I17)),M17-I17,"")</f>
        <v/>
      </c>
      <c r="CW17" s="48">
        <f>IF(ISNUMBER(I17),TODAY()-I17,"")</f>
        <v/>
      </c>
      <c r="CX17" s="48">
        <f>IF(ISNUMBER(I17),DATE(YEAR(I17),MONTH(I17),1),"")</f>
        <v/>
      </c>
      <c r="CY17" s="48">
        <f>IFERROR(DATEDIF(AK17,TODAY(),"y"),"")</f>
        <v/>
      </c>
      <c r="CZ17" s="48">
        <f>IF(CY17="","",IF(CY17&lt;28,"18-27",IF(CY17&lt;38,"28-37",IF(CY17&lt;48,"38-47",IF(CY17&lt;58,"48-57",IF(CY17&lt;68,"58-67",IF(CY17&lt;78,"68-77","78+")))))) </f>
        <v/>
      </c>
      <c r="DA17" s="48">
        <f>IF(AND(BQ17&lt;&gt;"",BR17=""),N(BS17),0)+IF(AND(BW17&lt;&gt;"",BX17=""),N(BY17),0)+IF(AND(CC17&lt;&gt;"",CD17=""),N(CE17),0)+IF(AND(CI17&lt;&gt;"",CJ17=""),N(CK17),0)+IF(AND(CO17&lt;&gt;"",CP17=""),N(CQ17),0)</f>
        <v/>
      </c>
      <c r="DB17" s="48">
        <f>ROUND(IF(BQ17&lt;&gt;"",N(BS17)*MAX(0,((IF(BR17="",TODAY(),BR17))-BQ17)/7),0)+IF(BW17&lt;&gt;"",N(BY17)*MAX(0,((IF(BX17="",TODAY(),BX17))-BW17)/7),0)+IF(CC17&lt;&gt;"",N(CE17)*MAX(0,((IF(CD17="",TODAY(),CD17))-CC17)/7),0)+IF(CI17&lt;&gt;"",N(CK17)*MAX(0,((IF(CJ17="",TODAY(),CJ17))-CI17)/7),0)+IF(CO17&lt;&gt;"",N(CQ17)*MAX(0,((IF(CP17="",TODAY(),CP17))-CO17)/7),0),1)</f>
        <v/>
      </c>
      <c r="DC17" s="48">
        <f>IF(OR(TRIM(X17)="",TRIM(X17)="NA;",TRIM(X17)="NA"),0,1)</f>
        <v/>
      </c>
      <c r="DD17" s="48">
        <f>IF(OR(TRIM(Y17)="",TRIM(Y17)="NA;",TRIM(Y17)="NA"),0,1)</f>
        <v/>
      </c>
      <c r="DE17" s="48">
        <f>IF(OR(TRIM(Z17)="",TRIM(Z17)="NA;",TRIM(Z17)="NA"),0,1)</f>
        <v/>
      </c>
      <c r="DF17" s="48">
        <f>IF(OR(TRIM(AA17)="",TRIM(AA17)="NA;",TRIM(AA17)="NA"),0,1)</f>
        <v/>
      </c>
      <c r="DG17" s="48">
        <f>IF(OR(TRIM(AB17)="",TRIM(AB17)="NA;",TRIM(AB17)="NA"),0,1)</f>
        <v/>
      </c>
      <c r="DH17" s="48">
        <f>IF(OR(TRIM(AC17)="",TRIM(AC17)="NA;",TRIM(AC17)="NA"),0,1)</f>
        <v/>
      </c>
      <c r="DI17" s="48">
        <f>IF(OR(TRIM(AD17)="",TRIM(AD17)="NA;",TRIM(AD17)="NA"),0,1)</f>
        <v/>
      </c>
      <c r="DJ17" s="48">
        <f>TRIM(IF(DC17=1,"Mon ","")&amp;IF(DD17=1,"Tue ","")&amp;IF(DE17=1,"Wed ","")&amp;IF(DF17=1,"Thu ","")&amp;IF(DG17=1,"Fri ","")&amp;IF(DH17=1,"Sat ","")&amp;IF(DI17=1,"Sun ",""))</f>
        <v/>
      </c>
    </row>
    <row r="18">
      <c r="A18" s="48" t="inlineStr">
        <is>
          <t>T-O-00016</t>
        </is>
      </c>
      <c r="B18" s="48" t="inlineStr">
        <is>
          <t>Amir Hall</t>
        </is>
      </c>
      <c r="C18" s="48" t="inlineStr">
        <is>
          <t>amir.hall16@example.com</t>
        </is>
      </c>
      <c r="D18" s="48" t="inlineStr">
        <is>
          <t>+61 435 046 997</t>
        </is>
      </c>
      <c r="E18" s="48" t="inlineStr">
        <is>
          <t>Grace Bourne</t>
        </is>
      </c>
      <c r="F18" s="48" t="inlineStr">
        <is>
          <t>+61 410 254 121</t>
        </is>
      </c>
      <c r="G18" s="48" t="inlineStr">
        <is>
          <t>Friend</t>
        </is>
      </c>
      <c r="H18" s="48" t="inlineStr">
        <is>
          <t>Tutor</t>
        </is>
      </c>
      <c r="I18" s="49" t="n">
        <v>45391</v>
      </c>
      <c r="J18" s="48" t="inlineStr">
        <is>
          <t>ADM-ACT-UNMAT</t>
        </is>
      </c>
      <c r="K18" s="48">
        <f>IFERROR(VLOOKUP(J18,'(A) Introduction'!$B$35:$C$45,2,FALSE),"")</f>
        <v/>
      </c>
      <c r="L18" s="48" t="inlineStr">
        <is>
          <t>No</t>
        </is>
      </c>
      <c r="M18" s="48" t="inlineStr"/>
      <c r="N18" s="48" t="inlineStr"/>
      <c r="O18" s="48" t="n">
        <v>1</v>
      </c>
      <c r="P18" s="48">
        <f>IF($H18="Tutor",((BQ18&lt;&gt;"")*(BR18=""))+((BW18&lt;&gt;"")*(BX18=""))+((CC18&lt;&gt;"")*(CD18=""))+((CI18&lt;&gt;"")*(CJ18=""))+((CO18&lt;&gt;"")*(CP18="")),SUMPRODUCT(--($BO$3:$BO$202=$A18),--($BR$3:$BR$202=""))+SUMPRODUCT(--($BU$3:$BU$202=$A18),--($BX$3:$BX$202=""))+SUMPRODUCT(--($CA$3:$CA$202=$A18),--($CD$3:$CD$202=""))+SUMPRODUCT(--($CG$3:$CG$202=$A18),--($CJ$3:$CJ$202=""))+SUMPRODUCT(--($CM$3:$CM$202=$A18),--($CP$3:$CP$202="")))</f>
        <v/>
      </c>
      <c r="Q18" s="48">
        <f>IF($H18="Tutor",(BQ18&lt;&gt;"")+(BW18&lt;&gt;"")+(CC18&lt;&gt;"")+(CI18&lt;&gt;"")+(CO18&lt;&gt;""),SUMPRODUCT(--($BO$3:$BO$202=$A18))+SUMPRODUCT(--($BU$3:$BU$202=$A18))+SUMPRODUCT(--($CA$3:$CA$202=$A18))+SUMPRODUCT(--($CG$3:$CG$202=$A18))+SUMPRODUCT(--($CM$3:$CM$202=$A18)))</f>
        <v/>
      </c>
      <c r="R18" s="48">
        <f>IF($H18="Tutor",TRIM(IF(AND(BQ18&lt;&gt;"",BR18=""),BP18&amp;"; ","")&amp;IF(AND(BW18&lt;&gt;"",BX18=""),BV18&amp;"; ","")&amp;IF(AND(CC18&lt;&gt;"",CD18=""),CB18&amp;"; ","")&amp;IF(AND(CI18&lt;&gt;"",CJ18=""),CH18&amp;"; ","")&amp;IF(AND(CO18&lt;&gt;"",CP18=""),CN18&amp;"; ","")),IFERROR(INDEX($A$3:$B$202,(SUMPRODUCT(($BO$3:$BO$202=$A18)*($BR$3:$BR$202="")*ROW($BO$3:$BO$202))+SUMPRODUCT(($BU$3:$BU$202=$A18)*($BX$3:$BX$202="")*ROW($BU$3:$BU$202))+SUMPRODUCT(($CA$3:$CA$202=$A18)*($CD$3:$CD$202="")*ROW($CA$3:$CA$202))+SUMPRODUCT(($CG$3:$CG$202=$A18)*($CJ$3:$CJ$202="")*ROW($CG$3:$CG$202))+SUMPRODUCT(($CM$3:$CM$202=$A18)*($CP$3:$CP$202="")*ROW($CM$3:$CM$202)))-2,2),""))</f>
        <v/>
      </c>
      <c r="S18" s="48" t="inlineStr">
        <is>
          <t>NA</t>
        </is>
      </c>
      <c r="T18" s="48" t="inlineStr"/>
      <c r="U18" s="48" t="inlineStr"/>
      <c r="V18" s="49" t="n">
        <v>46181</v>
      </c>
      <c r="W18" s="48" t="inlineStr">
        <is>
          <t>AEST (UTC+10)</t>
        </is>
      </c>
      <c r="X18" s="48" t="inlineStr">
        <is>
          <t>9am-12pm;</t>
        </is>
      </c>
      <c r="Y18" s="48" t="inlineStr">
        <is>
          <t>6pm-9pm;</t>
        </is>
      </c>
      <c r="Z18" s="48" t="inlineStr">
        <is>
          <t>6pm-9pm;</t>
        </is>
      </c>
      <c r="AA18" s="48" t="inlineStr">
        <is>
          <t>NA;</t>
        </is>
      </c>
      <c r="AB18" s="48" t="inlineStr">
        <is>
          <t>3pm-6pm;</t>
        </is>
      </c>
      <c r="AC18" s="48" t="inlineStr">
        <is>
          <t>6pm-9pm;</t>
        </is>
      </c>
      <c r="AD18" s="48" t="inlineStr">
        <is>
          <t>6pm-9pm;</t>
        </is>
      </c>
      <c r="AE18" s="48" t="inlineStr">
        <is>
          <t>In-Person</t>
        </is>
      </c>
      <c r="AF18" s="48" t="inlineStr">
        <is>
          <t>NA - Tutor</t>
        </is>
      </c>
      <c r="AG18" s="48" t="inlineStr">
        <is>
          <t>Australia</t>
        </is>
      </c>
      <c r="AH18" s="48" t="inlineStr">
        <is>
          <t>New South Wales</t>
        </is>
      </c>
      <c r="AI18" s="48" t="inlineStr">
        <is>
          <t>Kogarah</t>
        </is>
      </c>
      <c r="AJ18" s="48" t="inlineStr">
        <is>
          <t>2217</t>
        </is>
      </c>
      <c r="AK18" s="49" t="n">
        <v>28229</v>
      </c>
      <c r="AL18" s="48" t="inlineStr">
        <is>
          <t>Female</t>
        </is>
      </c>
      <c r="AM18" s="48" t="inlineStr">
        <is>
          <t>NA</t>
        </is>
      </c>
      <c r="AN18" s="48" t="inlineStr">
        <is>
          <t>NA - Tutor</t>
        </is>
      </c>
      <c r="AO18" s="48" t="inlineStr">
        <is>
          <t>Low</t>
        </is>
      </c>
      <c r="AP18" s="48" t="inlineStr">
        <is>
          <t>Russia</t>
        </is>
      </c>
      <c r="AQ18" s="48" t="inlineStr">
        <is>
          <t>NA</t>
        </is>
      </c>
      <c r="AR18" s="48" t="inlineStr">
        <is>
          <t>Arabic (C2)</t>
        </is>
      </c>
      <c r="AS18" s="48" t="inlineStr">
        <is>
          <t>NA</t>
        </is>
      </c>
      <c r="AT18" s="48" t="inlineStr">
        <is>
          <t>Business &amp; Finance</t>
        </is>
      </c>
      <c r="AU18" s="48" t="inlineStr">
        <is>
          <t>Teacher</t>
        </is>
      </c>
      <c r="AV18" s="48" t="inlineStr">
        <is>
          <t>NA - Tutor</t>
        </is>
      </c>
      <c r="AW18" s="48" t="inlineStr">
        <is>
          <t>Art; Photography; Travel</t>
        </is>
      </c>
      <c r="AX18" s="48" t="inlineStr">
        <is>
          <t>NA - Tutor</t>
        </is>
      </c>
      <c r="AY18" s="48" t="inlineStr">
        <is>
          <t>NA - RELT Member Verified</t>
        </is>
      </c>
      <c r="AZ18" s="48" t="inlineStr">
        <is>
          <t>Yes</t>
        </is>
      </c>
      <c r="BA18" s="48" t="inlineStr">
        <is>
          <t>Ava Levi</t>
        </is>
      </c>
      <c r="BB18" s="48" t="inlineStr">
        <is>
          <t>Manager</t>
        </is>
      </c>
      <c r="BC18" s="48" t="inlineStr">
        <is>
          <t>luke.walker516@example.com</t>
        </is>
      </c>
      <c r="BD18" s="48" t="inlineStr">
        <is>
          <t>Pending</t>
        </is>
      </c>
      <c r="BE18" s="48" t="inlineStr"/>
      <c r="BF18" s="48" t="inlineStr"/>
      <c r="BG18" s="48" t="inlineStr">
        <is>
          <t>No</t>
        </is>
      </c>
      <c r="BH18" s="48" t="inlineStr">
        <is>
          <t>Adults Only</t>
        </is>
      </c>
      <c r="BI18" s="48" t="inlineStr">
        <is>
          <t>Asylum Seeker Resource Centre</t>
        </is>
      </c>
      <c r="BJ18" s="48" t="inlineStr">
        <is>
          <t>HALLORAN Isobel</t>
        </is>
      </c>
      <c r="BK18" s="48" t="inlineStr">
        <is>
          <t>HALLORAN Isobel</t>
        </is>
      </c>
      <c r="BL18" s="48" t="inlineStr">
        <is>
          <t>Synthetic test record.</t>
        </is>
      </c>
      <c r="BM18" s="48" t="inlineStr"/>
      <c r="BN18" s="48">
        <f>TRIM(IF(AND($H18="Student",$J18="ADM-ACT-MAT-CNE"),"Invalid: Student cannot be CNE. ","")&amp;IF(AND($H18="Student",ISNUMBER($O18)),"Check: capacity set for a Student. ","")&amp;IF(AND(LEFT($J18,11)="ADM-ACT-MAT",$P18=0),"Check: matched status but 0 active pairings. ","")&amp;IF(AND($H18="Tutor",ISNUMBER($O18),$P18&gt;$O18),"Check: pairings exceed capacity. ","")&amp;IF(AND($BH18="Everyone",NOT(AND($BD18="Yes",$BG18="Yes"))),"Check: approved to tutor children but WWCC not provided/confirmed. ","")&amp;IF(AND($P18&gt;0,NOT(AND(OR(LEFT($AY18,3)="Yes",LEFT($AY18,2)="NA"),OR(LEFT($AZ18,3)="Yes",LEFT($AZ18,2)="NA")))),"Matched but vetting incomplete (interview/reference). ","")&amp;IF(COUNTIF($B$3:$B$600,$B18)&gt;1,"Duplicate participant name. ",""))</f>
        <v/>
      </c>
      <c r="BO18" s="48" t="inlineStr"/>
      <c r="BP18" s="48" t="inlineStr"/>
      <c r="BQ18" s="48" t="inlineStr"/>
      <c r="BR18" s="48" t="inlineStr"/>
      <c r="BS18" s="48" t="inlineStr"/>
      <c r="BT18" s="48" t="inlineStr"/>
      <c r="BU18" s="48" t="inlineStr"/>
      <c r="BV18" s="48" t="inlineStr"/>
      <c r="BW18" s="48" t="inlineStr"/>
      <c r="BX18" s="48" t="inlineStr"/>
      <c r="BY18" s="48" t="inlineStr"/>
      <c r="BZ18" s="48" t="inlineStr"/>
      <c r="CA18" s="48" t="inlineStr"/>
      <c r="CB18" s="48" t="inlineStr"/>
      <c r="CC18" s="48" t="inlineStr"/>
      <c r="CD18" s="48" t="inlineStr"/>
      <c r="CE18" s="48" t="inlineStr"/>
      <c r="CF18" s="48" t="inlineStr"/>
      <c r="CG18" s="48" t="inlineStr"/>
      <c r="CH18" s="48" t="inlineStr"/>
      <c r="CI18" s="48" t="inlineStr"/>
      <c r="CJ18" s="48" t="inlineStr"/>
      <c r="CK18" s="48" t="inlineStr"/>
      <c r="CL18" s="48" t="inlineStr"/>
      <c r="CM18" s="48" t="inlineStr"/>
      <c r="CN18" s="48" t="inlineStr"/>
      <c r="CO18" s="48" t="inlineStr"/>
      <c r="CP18" s="48" t="inlineStr"/>
      <c r="CQ18" s="48" t="inlineStr"/>
      <c r="CR18" s="48" t="inlineStr"/>
      <c r="CS18" s="48">
        <f>IF(LEFT($J18,3)="ERR",0,1)</f>
        <v/>
      </c>
      <c r="CT18" s="48">
        <f>IF(LEFT($J18,3)="ADM",1,0)</f>
        <v/>
      </c>
      <c r="CU18" s="48">
        <f>IF(OR($J18="ADM-ACT-MAT-CNE",$J18="ADM-ACT-MAT-CE",$J18="ADM-INACT-M&amp;T"),1,0)</f>
        <v/>
      </c>
      <c r="CV18" s="48">
        <f>IF(AND(CU18=1,ISNUMBER(M18),ISNUMBER(I18)),M18-I18,"")</f>
        <v/>
      </c>
      <c r="CW18" s="48">
        <f>IF(ISNUMBER(I18),TODAY()-I18,"")</f>
        <v/>
      </c>
      <c r="CX18" s="48">
        <f>IF(ISNUMBER(I18),DATE(YEAR(I18),MONTH(I18),1),"")</f>
        <v/>
      </c>
      <c r="CY18" s="48">
        <f>IFERROR(DATEDIF(AK18,TODAY(),"y"),"")</f>
        <v/>
      </c>
      <c r="CZ18" s="48">
        <f>IF(CY18="","",IF(CY18&lt;28,"18-27",IF(CY18&lt;38,"28-37",IF(CY18&lt;48,"38-47",IF(CY18&lt;58,"48-57",IF(CY18&lt;68,"58-67",IF(CY18&lt;78,"68-77","78+")))))) </f>
        <v/>
      </c>
      <c r="DA18" s="48">
        <f>IF(AND(BQ18&lt;&gt;"",BR18=""),N(BS18),0)+IF(AND(BW18&lt;&gt;"",BX18=""),N(BY18),0)+IF(AND(CC18&lt;&gt;"",CD18=""),N(CE18),0)+IF(AND(CI18&lt;&gt;"",CJ18=""),N(CK18),0)+IF(AND(CO18&lt;&gt;"",CP18=""),N(CQ18),0)</f>
        <v/>
      </c>
      <c r="DB18" s="48">
        <f>ROUND(IF(BQ18&lt;&gt;"",N(BS18)*MAX(0,((IF(BR18="",TODAY(),BR18))-BQ18)/7),0)+IF(BW18&lt;&gt;"",N(BY18)*MAX(0,((IF(BX18="",TODAY(),BX18))-BW18)/7),0)+IF(CC18&lt;&gt;"",N(CE18)*MAX(0,((IF(CD18="",TODAY(),CD18))-CC18)/7),0)+IF(CI18&lt;&gt;"",N(CK18)*MAX(0,((IF(CJ18="",TODAY(),CJ18))-CI18)/7),0)+IF(CO18&lt;&gt;"",N(CQ18)*MAX(0,((IF(CP18="",TODAY(),CP18))-CO18)/7),0),1)</f>
        <v/>
      </c>
      <c r="DC18" s="48">
        <f>IF(OR(TRIM(X18)="",TRIM(X18)="NA;",TRIM(X18)="NA"),0,1)</f>
        <v/>
      </c>
      <c r="DD18" s="48">
        <f>IF(OR(TRIM(Y18)="",TRIM(Y18)="NA;",TRIM(Y18)="NA"),0,1)</f>
        <v/>
      </c>
      <c r="DE18" s="48">
        <f>IF(OR(TRIM(Z18)="",TRIM(Z18)="NA;",TRIM(Z18)="NA"),0,1)</f>
        <v/>
      </c>
      <c r="DF18" s="48">
        <f>IF(OR(TRIM(AA18)="",TRIM(AA18)="NA;",TRIM(AA18)="NA"),0,1)</f>
        <v/>
      </c>
      <c r="DG18" s="48">
        <f>IF(OR(TRIM(AB18)="",TRIM(AB18)="NA;",TRIM(AB18)="NA"),0,1)</f>
        <v/>
      </c>
      <c r="DH18" s="48">
        <f>IF(OR(TRIM(AC18)="",TRIM(AC18)="NA;",TRIM(AC18)="NA"),0,1)</f>
        <v/>
      </c>
      <c r="DI18" s="48">
        <f>IF(OR(TRIM(AD18)="",TRIM(AD18)="NA;",TRIM(AD18)="NA"),0,1)</f>
        <v/>
      </c>
      <c r="DJ18" s="48">
        <f>TRIM(IF(DC18=1,"Mon ","")&amp;IF(DD18=1,"Tue ","")&amp;IF(DE18=1,"Wed ","")&amp;IF(DF18=1,"Thu ","")&amp;IF(DG18=1,"Fri ","")&amp;IF(DH18=1,"Sat ","")&amp;IF(DI18=1,"Sun ",""))</f>
        <v/>
      </c>
    </row>
    <row r="19">
      <c r="A19" s="48" t="inlineStr">
        <is>
          <t>T-O-00017</t>
        </is>
      </c>
      <c r="B19" s="48" t="inlineStr">
        <is>
          <t>Tariq Smith</t>
        </is>
      </c>
      <c r="C19" s="48" t="inlineStr">
        <is>
          <t>tariq.smith17@example.com</t>
        </is>
      </c>
      <c r="D19" s="48" t="inlineStr">
        <is>
          <t>+61 438 880 602</t>
        </is>
      </c>
      <c r="E19" s="48" t="inlineStr">
        <is>
          <t>Lina Wright</t>
        </is>
      </c>
      <c r="F19" s="48" t="inlineStr">
        <is>
          <t>+61 484 823 956</t>
        </is>
      </c>
      <c r="G19" s="48" t="inlineStr">
        <is>
          <t>Parent</t>
        </is>
      </c>
      <c r="H19" s="48" t="inlineStr">
        <is>
          <t>Tutor</t>
        </is>
      </c>
      <c r="I19" s="49" t="n">
        <v>45395</v>
      </c>
      <c r="J19" s="48" t="inlineStr">
        <is>
          <t>NADM-REJ-UNSUIT</t>
        </is>
      </c>
      <c r="K19" s="48">
        <f>IFERROR(VLOOKUP(J19,'(A) Introduction'!$B$35:$C$45,2,FALSE),"")</f>
        <v/>
      </c>
      <c r="L19" s="48" t="inlineStr">
        <is>
          <t>No</t>
        </is>
      </c>
      <c r="M19" s="48" t="inlineStr"/>
      <c r="N19" s="48" t="inlineStr"/>
      <c r="O19" s="48" t="n">
        <v>2</v>
      </c>
      <c r="P19" s="48">
        <f>IF($H19="Tutor",((BQ19&lt;&gt;"")*(BR19=""))+((BW19&lt;&gt;"")*(BX19=""))+((CC19&lt;&gt;"")*(CD19=""))+((CI19&lt;&gt;"")*(CJ19=""))+((CO19&lt;&gt;"")*(CP19="")),SUMPRODUCT(--($BO$3:$BO$202=$A19),--($BR$3:$BR$202=""))+SUMPRODUCT(--($BU$3:$BU$202=$A19),--($BX$3:$BX$202=""))+SUMPRODUCT(--($CA$3:$CA$202=$A19),--($CD$3:$CD$202=""))+SUMPRODUCT(--($CG$3:$CG$202=$A19),--($CJ$3:$CJ$202=""))+SUMPRODUCT(--($CM$3:$CM$202=$A19),--($CP$3:$CP$202="")))</f>
        <v/>
      </c>
      <c r="Q19" s="48">
        <f>IF($H19="Tutor",(BQ19&lt;&gt;"")+(BW19&lt;&gt;"")+(CC19&lt;&gt;"")+(CI19&lt;&gt;"")+(CO19&lt;&gt;""),SUMPRODUCT(--($BO$3:$BO$202=$A19))+SUMPRODUCT(--($BU$3:$BU$202=$A19))+SUMPRODUCT(--($CA$3:$CA$202=$A19))+SUMPRODUCT(--($CG$3:$CG$202=$A19))+SUMPRODUCT(--($CM$3:$CM$202=$A19)))</f>
        <v/>
      </c>
      <c r="R19" s="48">
        <f>IF($H19="Tutor",TRIM(IF(AND(BQ19&lt;&gt;"",BR19=""),BP19&amp;"; ","")&amp;IF(AND(BW19&lt;&gt;"",BX19=""),BV19&amp;"; ","")&amp;IF(AND(CC19&lt;&gt;"",CD19=""),CB19&amp;"; ","")&amp;IF(AND(CI19&lt;&gt;"",CJ19=""),CH19&amp;"; ","")&amp;IF(AND(CO19&lt;&gt;"",CP19=""),CN19&amp;"; ","")),IFERROR(INDEX($A$3:$B$202,(SUMPRODUCT(($BO$3:$BO$202=$A19)*($BR$3:$BR$202="")*ROW($BO$3:$BO$202))+SUMPRODUCT(($BU$3:$BU$202=$A19)*($BX$3:$BX$202="")*ROW($BU$3:$BU$202))+SUMPRODUCT(($CA$3:$CA$202=$A19)*($CD$3:$CD$202="")*ROW($CA$3:$CA$202))+SUMPRODUCT(($CG$3:$CG$202=$A19)*($CJ$3:$CJ$202="")*ROW($CG$3:$CG$202))+SUMPRODUCT(($CM$3:$CM$202=$A19)*($CP$3:$CP$202="")*ROW($CM$3:$CM$202)))-2,2),""))</f>
        <v/>
      </c>
      <c r="S19" s="48" t="inlineStr">
        <is>
          <t>Not Provided</t>
        </is>
      </c>
      <c r="T19" s="48" t="inlineStr"/>
      <c r="U19" s="48" t="inlineStr"/>
      <c r="V19" s="48" t="inlineStr"/>
      <c r="W19" s="48" t="inlineStr">
        <is>
          <t>ACST (UTC+9:30)</t>
        </is>
      </c>
      <c r="X19" s="48" t="inlineStr">
        <is>
          <t>NA;</t>
        </is>
      </c>
      <c r="Y19" s="48" t="inlineStr">
        <is>
          <t>6pm-9pm;</t>
        </is>
      </c>
      <c r="Z19" s="48" t="inlineStr">
        <is>
          <t>12pm-3pm;</t>
        </is>
      </c>
      <c r="AA19" s="48" t="inlineStr">
        <is>
          <t>12pm-3pm;</t>
        </is>
      </c>
      <c r="AB19" s="48" t="inlineStr">
        <is>
          <t>3pm-6pm;</t>
        </is>
      </c>
      <c r="AC19" s="48" t="inlineStr">
        <is>
          <t>6pm-9pm;</t>
        </is>
      </c>
      <c r="AD19" s="48" t="inlineStr">
        <is>
          <t>9am-12pm;</t>
        </is>
      </c>
      <c r="AE19" s="48" t="inlineStr">
        <is>
          <t>Online</t>
        </is>
      </c>
      <c r="AF19" s="48" t="inlineStr">
        <is>
          <t>NA - Tutor</t>
        </is>
      </c>
      <c r="AG19" s="48" t="inlineStr">
        <is>
          <t>Australia</t>
        </is>
      </c>
      <c r="AH19" s="48" t="inlineStr">
        <is>
          <t>New South Wales</t>
        </is>
      </c>
      <c r="AI19" s="48" t="inlineStr">
        <is>
          <t>Blacktown</t>
        </is>
      </c>
      <c r="AJ19" s="48" t="inlineStr">
        <is>
          <t>2148</t>
        </is>
      </c>
      <c r="AK19" s="49" t="n">
        <v>25494</v>
      </c>
      <c r="AL19" s="48" t="inlineStr">
        <is>
          <t>Other</t>
        </is>
      </c>
      <c r="AM19" s="48" t="inlineStr">
        <is>
          <t>NA</t>
        </is>
      </c>
      <c r="AN19" s="48" t="inlineStr">
        <is>
          <t>NA - Tutor</t>
        </is>
      </c>
      <c r="AO19" s="48" t="inlineStr">
        <is>
          <t>Low</t>
        </is>
      </c>
      <c r="AP19" s="48" t="inlineStr">
        <is>
          <t>Australia; Ukraine</t>
        </is>
      </c>
      <c r="AQ19" s="48" t="inlineStr">
        <is>
          <t>NA</t>
        </is>
      </c>
      <c r="AR19" s="48" t="inlineStr">
        <is>
          <t>English (C2)</t>
        </is>
      </c>
      <c r="AS19" s="48" t="inlineStr">
        <is>
          <t>NA</t>
        </is>
      </c>
      <c r="AT19" s="48" t="inlineStr">
        <is>
          <t>Health &amp; Medicine</t>
        </is>
      </c>
      <c r="AU19" s="48" t="inlineStr">
        <is>
          <t>Engineer</t>
        </is>
      </c>
      <c r="AV19" s="48" t="inlineStr">
        <is>
          <t>NA - Tutor</t>
        </is>
      </c>
      <c r="AW19" s="48" t="inlineStr">
        <is>
          <t>Travel; Sport; Movies</t>
        </is>
      </c>
      <c r="AX19" s="48" t="inlineStr">
        <is>
          <t>NA - Tutor</t>
        </is>
      </c>
      <c r="AY19" s="48" t="inlineStr">
        <is>
          <t>NA - Partner Organisation Verified</t>
        </is>
      </c>
      <c r="AZ19" s="48" t="inlineStr">
        <is>
          <t>No</t>
        </is>
      </c>
      <c r="BA19" s="48" t="inlineStr">
        <is>
          <t>Nour Khan</t>
        </is>
      </c>
      <c r="BB19" s="48" t="inlineStr">
        <is>
          <t>Manager</t>
        </is>
      </c>
      <c r="BC19" s="48" t="inlineStr">
        <is>
          <t>james.petrov517@example.com</t>
        </is>
      </c>
      <c r="BD19" s="48" t="inlineStr">
        <is>
          <t>Pending</t>
        </is>
      </c>
      <c r="BE19" s="48" t="inlineStr"/>
      <c r="BF19" s="48" t="inlineStr"/>
      <c r="BG19" s="48" t="inlineStr">
        <is>
          <t>No</t>
        </is>
      </c>
      <c r="BH19" s="48" t="inlineStr">
        <is>
          <t>Adults Only</t>
        </is>
      </c>
      <c r="BI19" s="48" t="inlineStr">
        <is>
          <t>Ayelet</t>
        </is>
      </c>
      <c r="BJ19" s="48" t="inlineStr">
        <is>
          <t>THET Moh Moh</t>
        </is>
      </c>
      <c r="BK19" s="48" t="inlineStr">
        <is>
          <t>HERVIR Oliver</t>
        </is>
      </c>
      <c r="BL19" s="48" t="inlineStr">
        <is>
          <t>Synthetic test record.</t>
        </is>
      </c>
      <c r="BM19" s="48" t="inlineStr"/>
      <c r="BN19" s="48">
        <f>TRIM(IF(AND($H19="Student",$J19="ADM-ACT-MAT-CNE"),"Invalid: Student cannot be CNE. ","")&amp;IF(AND($H19="Student",ISNUMBER($O19)),"Check: capacity set for a Student. ","")&amp;IF(AND(LEFT($J19,11)="ADM-ACT-MAT",$P19=0),"Check: matched status but 0 active pairings. ","")&amp;IF(AND($H19="Tutor",ISNUMBER($O19),$P19&gt;$O19),"Check: pairings exceed capacity. ","")&amp;IF(AND($BH19="Everyone",NOT(AND($BD19="Yes",$BG19="Yes"))),"Check: approved to tutor children but WWCC not provided/confirmed. ","")&amp;IF(AND($P19&gt;0,NOT(AND(OR(LEFT($AY19,3)="Yes",LEFT($AY19,2)="NA"),OR(LEFT($AZ19,3)="Yes",LEFT($AZ19,2)="NA")))),"Matched but vetting incomplete (interview/reference). ","")&amp;IF(COUNTIF($B$3:$B$600,$B19)&gt;1,"Duplicate participant name. ",""))</f>
        <v/>
      </c>
      <c r="BO19" s="48" t="inlineStr"/>
      <c r="BP19" s="48" t="inlineStr"/>
      <c r="BQ19" s="48" t="inlineStr"/>
      <c r="BR19" s="48" t="inlineStr"/>
      <c r="BS19" s="48" t="inlineStr"/>
      <c r="BT19" s="48" t="inlineStr"/>
      <c r="BU19" s="48" t="inlineStr"/>
      <c r="BV19" s="48" t="inlineStr"/>
      <c r="BW19" s="48" t="inlineStr"/>
      <c r="BX19" s="48" t="inlineStr"/>
      <c r="BY19" s="48" t="inlineStr"/>
      <c r="BZ19" s="48" t="inlineStr"/>
      <c r="CA19" s="48" t="inlineStr"/>
      <c r="CB19" s="48" t="inlineStr"/>
      <c r="CC19" s="48" t="inlineStr"/>
      <c r="CD19" s="48" t="inlineStr"/>
      <c r="CE19" s="48" t="inlineStr"/>
      <c r="CF19" s="48" t="inlineStr"/>
      <c r="CG19" s="48" t="inlineStr"/>
      <c r="CH19" s="48" t="inlineStr"/>
      <c r="CI19" s="48" t="inlineStr"/>
      <c r="CJ19" s="48" t="inlineStr"/>
      <c r="CK19" s="48" t="inlineStr"/>
      <c r="CL19" s="48" t="inlineStr"/>
      <c r="CM19" s="48" t="inlineStr"/>
      <c r="CN19" s="48" t="inlineStr"/>
      <c r="CO19" s="48" t="inlineStr"/>
      <c r="CP19" s="48" t="inlineStr"/>
      <c r="CQ19" s="48" t="inlineStr"/>
      <c r="CR19" s="48" t="inlineStr"/>
      <c r="CS19" s="48">
        <f>IF(LEFT($J19,3)="ERR",0,1)</f>
        <v/>
      </c>
      <c r="CT19" s="48">
        <f>IF(LEFT($J19,3)="ADM",1,0)</f>
        <v/>
      </c>
      <c r="CU19" s="48">
        <f>IF(OR($J19="ADM-ACT-MAT-CNE",$J19="ADM-ACT-MAT-CE",$J19="ADM-INACT-M&amp;T"),1,0)</f>
        <v/>
      </c>
      <c r="CV19" s="48">
        <f>IF(AND(CU19=1,ISNUMBER(M19),ISNUMBER(I19)),M19-I19,"")</f>
        <v/>
      </c>
      <c r="CW19" s="48">
        <f>IF(ISNUMBER(I19),TODAY()-I19,"")</f>
        <v/>
      </c>
      <c r="CX19" s="48">
        <f>IF(ISNUMBER(I19),DATE(YEAR(I19),MONTH(I19),1),"")</f>
        <v/>
      </c>
      <c r="CY19" s="48">
        <f>IFERROR(DATEDIF(AK19,TODAY(),"y"),"")</f>
        <v/>
      </c>
      <c r="CZ19" s="48">
        <f>IF(CY19="","",IF(CY19&lt;28,"18-27",IF(CY19&lt;38,"28-37",IF(CY19&lt;48,"38-47",IF(CY19&lt;58,"48-57",IF(CY19&lt;68,"58-67",IF(CY19&lt;78,"68-77","78+")))))) </f>
        <v/>
      </c>
      <c r="DA19" s="48">
        <f>IF(AND(BQ19&lt;&gt;"",BR19=""),N(BS19),0)+IF(AND(BW19&lt;&gt;"",BX19=""),N(BY19),0)+IF(AND(CC19&lt;&gt;"",CD19=""),N(CE19),0)+IF(AND(CI19&lt;&gt;"",CJ19=""),N(CK19),0)+IF(AND(CO19&lt;&gt;"",CP19=""),N(CQ19),0)</f>
        <v/>
      </c>
      <c r="DB19" s="48">
        <f>ROUND(IF(BQ19&lt;&gt;"",N(BS19)*MAX(0,((IF(BR19="",TODAY(),BR19))-BQ19)/7),0)+IF(BW19&lt;&gt;"",N(BY19)*MAX(0,((IF(BX19="",TODAY(),BX19))-BW19)/7),0)+IF(CC19&lt;&gt;"",N(CE19)*MAX(0,((IF(CD19="",TODAY(),CD19))-CC19)/7),0)+IF(CI19&lt;&gt;"",N(CK19)*MAX(0,((IF(CJ19="",TODAY(),CJ19))-CI19)/7),0)+IF(CO19&lt;&gt;"",N(CQ19)*MAX(0,((IF(CP19="",TODAY(),CP19))-CO19)/7),0),1)</f>
        <v/>
      </c>
      <c r="DC19" s="48">
        <f>IF(OR(TRIM(X19)="",TRIM(X19)="NA;",TRIM(X19)="NA"),0,1)</f>
        <v/>
      </c>
      <c r="DD19" s="48">
        <f>IF(OR(TRIM(Y19)="",TRIM(Y19)="NA;",TRIM(Y19)="NA"),0,1)</f>
        <v/>
      </c>
      <c r="DE19" s="48">
        <f>IF(OR(TRIM(Z19)="",TRIM(Z19)="NA;",TRIM(Z19)="NA"),0,1)</f>
        <v/>
      </c>
      <c r="DF19" s="48">
        <f>IF(OR(TRIM(AA19)="",TRIM(AA19)="NA;",TRIM(AA19)="NA"),0,1)</f>
        <v/>
      </c>
      <c r="DG19" s="48">
        <f>IF(OR(TRIM(AB19)="",TRIM(AB19)="NA;",TRIM(AB19)="NA"),0,1)</f>
        <v/>
      </c>
      <c r="DH19" s="48">
        <f>IF(OR(TRIM(AC19)="",TRIM(AC19)="NA;",TRIM(AC19)="NA"),0,1)</f>
        <v/>
      </c>
      <c r="DI19" s="48">
        <f>IF(OR(TRIM(AD19)="",TRIM(AD19)="NA;",TRIM(AD19)="NA"),0,1)</f>
        <v/>
      </c>
      <c r="DJ19" s="48">
        <f>TRIM(IF(DC19=1,"Mon ","")&amp;IF(DD19=1,"Tue ","")&amp;IF(DE19=1,"Wed ","")&amp;IF(DF19=1,"Thu ","")&amp;IF(DG19=1,"Fri ","")&amp;IF(DH19=1,"Sat ","")&amp;IF(DI19=1,"Sun ",""))</f>
        <v/>
      </c>
    </row>
    <row r="20">
      <c r="A20" s="48" t="inlineStr">
        <is>
          <t>T-O-00018</t>
        </is>
      </c>
      <c r="B20" s="48" t="inlineStr">
        <is>
          <t>Ibrahim Petrov</t>
        </is>
      </c>
      <c r="C20" s="48" t="inlineStr">
        <is>
          <t>ibrahim.petrov18@example.com</t>
        </is>
      </c>
      <c r="D20" s="48" t="inlineStr">
        <is>
          <t>+61 407 169 811</t>
        </is>
      </c>
      <c r="E20" s="48" t="inlineStr">
        <is>
          <t>Ava Ng</t>
        </is>
      </c>
      <c r="F20" s="48" t="inlineStr">
        <is>
          <t>+61 473 041 781</t>
        </is>
      </c>
      <c r="G20" s="48" t="inlineStr">
        <is>
          <t>Parent</t>
        </is>
      </c>
      <c r="H20" s="48" t="inlineStr">
        <is>
          <t>Tutor</t>
        </is>
      </c>
      <c r="I20" s="49" t="n">
        <v>45399</v>
      </c>
      <c r="J20" s="48" t="inlineStr">
        <is>
          <t>ADM-ACT-MAT-CE</t>
        </is>
      </c>
      <c r="K20" s="48">
        <f>IFERROR(VLOOKUP(J20,'(A) Introduction'!$B$35:$C$45,2,FALSE),"")</f>
        <v/>
      </c>
      <c r="L20" s="48" t="inlineStr">
        <is>
          <t>No</t>
        </is>
      </c>
      <c r="M20" s="48" t="inlineStr"/>
      <c r="N20" s="48" t="inlineStr"/>
      <c r="O20" s="48" t="n">
        <v>1</v>
      </c>
      <c r="P20" s="48">
        <f>IF($H20="Tutor",((BQ20&lt;&gt;"")*(BR20=""))+((BW20&lt;&gt;"")*(BX20=""))+((CC20&lt;&gt;"")*(CD20=""))+((CI20&lt;&gt;"")*(CJ20=""))+((CO20&lt;&gt;"")*(CP20="")),SUMPRODUCT(--($BO$3:$BO$202=$A20),--($BR$3:$BR$202=""))+SUMPRODUCT(--($BU$3:$BU$202=$A20),--($BX$3:$BX$202=""))+SUMPRODUCT(--($CA$3:$CA$202=$A20),--($CD$3:$CD$202=""))+SUMPRODUCT(--($CG$3:$CG$202=$A20),--($CJ$3:$CJ$202=""))+SUMPRODUCT(--($CM$3:$CM$202=$A20),--($CP$3:$CP$202="")))</f>
        <v/>
      </c>
      <c r="Q20" s="48">
        <f>IF($H20="Tutor",(BQ20&lt;&gt;"")+(BW20&lt;&gt;"")+(CC20&lt;&gt;"")+(CI20&lt;&gt;"")+(CO20&lt;&gt;""),SUMPRODUCT(--($BO$3:$BO$202=$A20))+SUMPRODUCT(--($BU$3:$BU$202=$A20))+SUMPRODUCT(--($CA$3:$CA$202=$A20))+SUMPRODUCT(--($CG$3:$CG$202=$A20))+SUMPRODUCT(--($CM$3:$CM$202=$A20)))</f>
        <v/>
      </c>
      <c r="R20" s="48">
        <f>IF($H20="Tutor",TRIM(IF(AND(BQ20&lt;&gt;"",BR20=""),BP20&amp;"; ","")&amp;IF(AND(BW20&lt;&gt;"",BX20=""),BV20&amp;"; ","")&amp;IF(AND(CC20&lt;&gt;"",CD20=""),CB20&amp;"; ","")&amp;IF(AND(CI20&lt;&gt;"",CJ20=""),CH20&amp;"; ","")&amp;IF(AND(CO20&lt;&gt;"",CP20=""),CN20&amp;"; ","")),IFERROR(INDEX($A$3:$B$202,(SUMPRODUCT(($BO$3:$BO$202=$A20)*($BR$3:$BR$202="")*ROW($BO$3:$BO$202))+SUMPRODUCT(($BU$3:$BU$202=$A20)*($BX$3:$BX$202="")*ROW($BU$3:$BU$202))+SUMPRODUCT(($CA$3:$CA$202=$A20)*($CD$3:$CD$202="")*ROW($CA$3:$CA$202))+SUMPRODUCT(($CG$3:$CG$202=$A20)*($CJ$3:$CJ$202="")*ROW($CG$3:$CG$202))+SUMPRODUCT(($CM$3:$CM$202=$A20)*($CP$3:$CP$202="")*ROW($CM$3:$CM$202)))-2,2),""))</f>
        <v/>
      </c>
      <c r="S20" s="48" t="inlineStr">
        <is>
          <t>NA</t>
        </is>
      </c>
      <c r="T20" s="48" t="inlineStr"/>
      <c r="U20" s="48" t="inlineStr"/>
      <c r="V20" s="49" t="n">
        <v>45941</v>
      </c>
      <c r="W20" s="48" t="inlineStr">
        <is>
          <t>ACDT (UTC+10:30)</t>
        </is>
      </c>
      <c r="X20" s="48" t="inlineStr">
        <is>
          <t>3pm-6pm;</t>
        </is>
      </c>
      <c r="Y20" s="48" t="inlineStr">
        <is>
          <t>6pm-9pm;</t>
        </is>
      </c>
      <c r="Z20" s="48" t="inlineStr">
        <is>
          <t>6pm-9pm;</t>
        </is>
      </c>
      <c r="AA20" s="48" t="inlineStr">
        <is>
          <t>6pm-9pm;</t>
        </is>
      </c>
      <c r="AB20" s="48" t="inlineStr">
        <is>
          <t>3pm-6pm;</t>
        </is>
      </c>
      <c r="AC20" s="48" t="inlineStr">
        <is>
          <t>12pm-3pm;6pm-9pm;</t>
        </is>
      </c>
      <c r="AD20" s="48" t="inlineStr">
        <is>
          <t>3pm-6pm;</t>
        </is>
      </c>
      <c r="AE20" s="48" t="inlineStr">
        <is>
          <t>Either</t>
        </is>
      </c>
      <c r="AF20" s="48" t="inlineStr">
        <is>
          <t>NA - Tutor</t>
        </is>
      </c>
      <c r="AG20" s="48" t="inlineStr">
        <is>
          <t>Australia</t>
        </is>
      </c>
      <c r="AH20" s="48" t="inlineStr">
        <is>
          <t>New South Wales</t>
        </is>
      </c>
      <c r="AI20" s="48" t="inlineStr">
        <is>
          <t>Parramatta</t>
        </is>
      </c>
      <c r="AJ20" s="48" t="inlineStr">
        <is>
          <t>2150</t>
        </is>
      </c>
      <c r="AK20" s="49" t="n">
        <v>31494</v>
      </c>
      <c r="AL20" s="48" t="inlineStr">
        <is>
          <t>Male</t>
        </is>
      </c>
      <c r="AM20" s="48" t="inlineStr">
        <is>
          <t>NA</t>
        </is>
      </c>
      <c r="AN20" s="48" t="inlineStr">
        <is>
          <t>NA - Tutor</t>
        </is>
      </c>
      <c r="AO20" s="48" t="inlineStr">
        <is>
          <t>Outstanding</t>
        </is>
      </c>
      <c r="AP20" s="48" t="inlineStr">
        <is>
          <t>Australia</t>
        </is>
      </c>
      <c r="AQ20" s="48" t="inlineStr">
        <is>
          <t>NA</t>
        </is>
      </c>
      <c r="AR20" s="48" t="inlineStr">
        <is>
          <t>English (C2)</t>
        </is>
      </c>
      <c r="AS20" s="48" t="inlineStr">
        <is>
          <t>Hindu</t>
        </is>
      </c>
      <c r="AT20" s="48" t="inlineStr">
        <is>
          <t>Trades &amp; Construction</t>
        </is>
      </c>
      <c r="AU20" s="48" t="inlineStr">
        <is>
          <t>Community Worker</t>
        </is>
      </c>
      <c r="AV20" s="48" t="inlineStr">
        <is>
          <t>NA - Tutor</t>
        </is>
      </c>
      <c r="AW20" s="48" t="inlineStr">
        <is>
          <t>Football; Cooking; Family</t>
        </is>
      </c>
      <c r="AX20" s="48" t="inlineStr">
        <is>
          <t>NA - Tutor</t>
        </is>
      </c>
      <c r="AY20" s="48" t="inlineStr">
        <is>
          <t>NA - Partner Organisation Verified</t>
        </is>
      </c>
      <c r="AZ20" s="48" t="inlineStr">
        <is>
          <t>Yes</t>
        </is>
      </c>
      <c r="BA20" s="48" t="inlineStr">
        <is>
          <t>Viktor Walker</t>
        </is>
      </c>
      <c r="BB20" s="48" t="inlineStr">
        <is>
          <t>Friend</t>
        </is>
      </c>
      <c r="BC20" s="48" t="inlineStr">
        <is>
          <t>ibrahim.ahmed518@example.com</t>
        </is>
      </c>
      <c r="BD20" s="48" t="inlineStr">
        <is>
          <t>Yes</t>
        </is>
      </c>
      <c r="BE20" s="48" t="inlineStr">
        <is>
          <t>WWC8473283V</t>
        </is>
      </c>
      <c r="BF20" s="49" t="n">
        <v>46998</v>
      </c>
      <c r="BG20" s="48" t="inlineStr">
        <is>
          <t>Yes</t>
        </is>
      </c>
      <c r="BH20" s="48" t="inlineStr">
        <is>
          <t>Everyone</t>
        </is>
      </c>
      <c r="BI20" s="48" t="inlineStr">
        <is>
          <t>University of Western Sydney (including the Law Students' Society)</t>
        </is>
      </c>
      <c r="BJ20" s="48" t="inlineStr">
        <is>
          <t>SINGH Veera</t>
        </is>
      </c>
      <c r="BK20" s="48" t="inlineStr">
        <is>
          <t>AGARWAL Akanksha</t>
        </is>
      </c>
      <c r="BL20" s="48" t="inlineStr">
        <is>
          <t>Synthetic test record.</t>
        </is>
      </c>
      <c r="BM20" s="48" t="inlineStr"/>
      <c r="BN20" s="48">
        <f>TRIM(IF(AND($H20="Student",$J20="ADM-ACT-MAT-CNE"),"Invalid: Student cannot be CNE. ","")&amp;IF(AND($H20="Student",ISNUMBER($O20)),"Check: capacity set for a Student. ","")&amp;IF(AND(LEFT($J20,11)="ADM-ACT-MAT",$P20=0),"Check: matched status but 0 active pairings. ","")&amp;IF(AND($H20="Tutor",ISNUMBER($O20),$P20&gt;$O20),"Check: pairings exceed capacity. ","")&amp;IF(AND($BH20="Everyone",NOT(AND($BD20="Yes",$BG20="Yes"))),"Check: approved to tutor children but WWCC not provided/confirmed. ","")&amp;IF(AND($P20&gt;0,NOT(AND(OR(LEFT($AY20,3)="Yes",LEFT($AY20,2)="NA"),OR(LEFT($AZ20,3)="Yes",LEFT($AZ20,2)="NA")))),"Matched but vetting incomplete (interview/reference). ","")&amp;IF(COUNTIF($B$3:$B$600,$B20)&gt;1,"Duplicate participant name. ",""))</f>
        <v/>
      </c>
      <c r="BO20" s="48" t="inlineStr">
        <is>
          <t>S-N-00002</t>
        </is>
      </c>
      <c r="BP20" s="48">
        <f>IFERROR(VLOOKUP(BO20,$A:$B,2,FALSE),"")</f>
        <v/>
      </c>
      <c r="BQ20" s="49" t="n">
        <v>45735</v>
      </c>
      <c r="BR20" s="48" t="inlineStr"/>
      <c r="BS20" s="48" t="n">
        <v>1.5</v>
      </c>
      <c r="BT20" s="48" t="inlineStr">
        <is>
          <t>CROCK Mary</t>
        </is>
      </c>
      <c r="BU20" s="48" t="inlineStr"/>
      <c r="BV20" s="48" t="inlineStr"/>
      <c r="BW20" s="48" t="inlineStr"/>
      <c r="BX20" s="48" t="inlineStr"/>
      <c r="BY20" s="48" t="inlineStr"/>
      <c r="BZ20" s="48" t="inlineStr"/>
      <c r="CA20" s="48" t="inlineStr"/>
      <c r="CB20" s="48" t="inlineStr"/>
      <c r="CC20" s="48" t="inlineStr"/>
      <c r="CD20" s="48" t="inlineStr"/>
      <c r="CE20" s="48" t="inlineStr"/>
      <c r="CF20" s="48" t="inlineStr"/>
      <c r="CG20" s="48" t="inlineStr"/>
      <c r="CH20" s="48" t="inlineStr"/>
      <c r="CI20" s="48" t="inlineStr"/>
      <c r="CJ20" s="48" t="inlineStr"/>
      <c r="CK20" s="48" t="inlineStr"/>
      <c r="CL20" s="48" t="inlineStr"/>
      <c r="CM20" s="48" t="inlineStr"/>
      <c r="CN20" s="48" t="inlineStr"/>
      <c r="CO20" s="48" t="inlineStr"/>
      <c r="CP20" s="48" t="inlineStr"/>
      <c r="CQ20" s="48" t="inlineStr"/>
      <c r="CR20" s="48" t="inlineStr"/>
      <c r="CS20" s="48">
        <f>IF(LEFT($J20,3)="ERR",0,1)</f>
        <v/>
      </c>
      <c r="CT20" s="48">
        <f>IF(LEFT($J20,3)="ADM",1,0)</f>
        <v/>
      </c>
      <c r="CU20" s="48">
        <f>IF(OR($J20="ADM-ACT-MAT-CNE",$J20="ADM-ACT-MAT-CE",$J20="ADM-INACT-M&amp;T"),1,0)</f>
        <v/>
      </c>
      <c r="CV20" s="48">
        <f>IF(AND(CU20=1,ISNUMBER(M20),ISNUMBER(I20)),M20-I20,"")</f>
        <v/>
      </c>
      <c r="CW20" s="48">
        <f>IF(ISNUMBER(I20),TODAY()-I20,"")</f>
        <v/>
      </c>
      <c r="CX20" s="48">
        <f>IF(ISNUMBER(I20),DATE(YEAR(I20),MONTH(I20),1),"")</f>
        <v/>
      </c>
      <c r="CY20" s="48">
        <f>IFERROR(DATEDIF(AK20,TODAY(),"y"),"")</f>
        <v/>
      </c>
      <c r="CZ20" s="48">
        <f>IF(CY20="","",IF(CY20&lt;28,"18-27",IF(CY20&lt;38,"28-37",IF(CY20&lt;48,"38-47",IF(CY20&lt;58,"48-57",IF(CY20&lt;68,"58-67",IF(CY20&lt;78,"68-77","78+")))))) </f>
        <v/>
      </c>
      <c r="DA20" s="48">
        <f>IF(AND(BQ20&lt;&gt;"",BR20=""),N(BS20),0)+IF(AND(BW20&lt;&gt;"",BX20=""),N(BY20),0)+IF(AND(CC20&lt;&gt;"",CD20=""),N(CE20),0)+IF(AND(CI20&lt;&gt;"",CJ20=""),N(CK20),0)+IF(AND(CO20&lt;&gt;"",CP20=""),N(CQ20),0)</f>
        <v/>
      </c>
      <c r="DB20" s="48">
        <f>ROUND(IF(BQ20&lt;&gt;"",N(BS20)*MAX(0,((IF(BR20="",TODAY(),BR20))-BQ20)/7),0)+IF(BW20&lt;&gt;"",N(BY20)*MAX(0,((IF(BX20="",TODAY(),BX20))-BW20)/7),0)+IF(CC20&lt;&gt;"",N(CE20)*MAX(0,((IF(CD20="",TODAY(),CD20))-CC20)/7),0)+IF(CI20&lt;&gt;"",N(CK20)*MAX(0,((IF(CJ20="",TODAY(),CJ20))-CI20)/7),0)+IF(CO20&lt;&gt;"",N(CQ20)*MAX(0,((IF(CP20="",TODAY(),CP20))-CO20)/7),0),1)</f>
        <v/>
      </c>
      <c r="DC20" s="48">
        <f>IF(OR(TRIM(X20)="",TRIM(X20)="NA;",TRIM(X20)="NA"),0,1)</f>
        <v/>
      </c>
      <c r="DD20" s="48">
        <f>IF(OR(TRIM(Y20)="",TRIM(Y20)="NA;",TRIM(Y20)="NA"),0,1)</f>
        <v/>
      </c>
      <c r="DE20" s="48">
        <f>IF(OR(TRIM(Z20)="",TRIM(Z20)="NA;",TRIM(Z20)="NA"),0,1)</f>
        <v/>
      </c>
      <c r="DF20" s="48">
        <f>IF(OR(TRIM(AA20)="",TRIM(AA20)="NA;",TRIM(AA20)="NA"),0,1)</f>
        <v/>
      </c>
      <c r="DG20" s="48">
        <f>IF(OR(TRIM(AB20)="",TRIM(AB20)="NA;",TRIM(AB20)="NA"),0,1)</f>
        <v/>
      </c>
      <c r="DH20" s="48">
        <f>IF(OR(TRIM(AC20)="",TRIM(AC20)="NA;",TRIM(AC20)="NA"),0,1)</f>
        <v/>
      </c>
      <c r="DI20" s="48">
        <f>IF(OR(TRIM(AD20)="",TRIM(AD20)="NA;",TRIM(AD20)="NA"),0,1)</f>
        <v/>
      </c>
      <c r="DJ20" s="48">
        <f>TRIM(IF(DC20=1,"Mon ","")&amp;IF(DD20=1,"Tue ","")&amp;IF(DE20=1,"Wed ","")&amp;IF(DF20=1,"Thu ","")&amp;IF(DG20=1,"Fri ","")&amp;IF(DH20=1,"Sat ","")&amp;IF(DI20=1,"Sun ",""))</f>
        <v/>
      </c>
    </row>
    <row r="21">
      <c r="A21" s="48" t="inlineStr">
        <is>
          <t>T-O-00019</t>
        </is>
      </c>
      <c r="B21" s="48" t="inlineStr">
        <is>
          <t>Peter Brown</t>
        </is>
      </c>
      <c r="C21" s="48" t="inlineStr">
        <is>
          <t>peter.brown19@example.com</t>
        </is>
      </c>
      <c r="D21" s="48" t="inlineStr">
        <is>
          <t>+61 411 481 356</t>
        </is>
      </c>
      <c r="E21" s="48" t="inlineStr">
        <is>
          <t>Elena Walker</t>
        </is>
      </c>
      <c r="F21" s="48" t="inlineStr">
        <is>
          <t>+61 446 637 774</t>
        </is>
      </c>
      <c r="G21" s="48" t="inlineStr">
        <is>
          <t>Adult Child</t>
        </is>
      </c>
      <c r="H21" s="48" t="inlineStr">
        <is>
          <t>Tutor</t>
        </is>
      </c>
      <c r="I21" s="49" t="n">
        <v>45400</v>
      </c>
      <c r="J21" s="48" t="inlineStr">
        <is>
          <t>ADM-ACT-MAT-CE</t>
        </is>
      </c>
      <c r="K21" s="48">
        <f>IFERROR(VLOOKUP(J21,'(A) Introduction'!$B$35:$C$45,2,FALSE),"")</f>
        <v/>
      </c>
      <c r="L21" s="48" t="inlineStr">
        <is>
          <t>No</t>
        </is>
      </c>
      <c r="M21" s="48" t="inlineStr"/>
      <c r="N21" s="48" t="inlineStr"/>
      <c r="O21" s="48" t="n">
        <v>2</v>
      </c>
      <c r="P21" s="48">
        <f>IF($H21="Tutor",((BQ21&lt;&gt;"")*(BR21=""))+((BW21&lt;&gt;"")*(BX21=""))+((CC21&lt;&gt;"")*(CD21=""))+((CI21&lt;&gt;"")*(CJ21=""))+((CO21&lt;&gt;"")*(CP21="")),SUMPRODUCT(--($BO$3:$BO$202=$A21),--($BR$3:$BR$202=""))+SUMPRODUCT(--($BU$3:$BU$202=$A21),--($BX$3:$BX$202=""))+SUMPRODUCT(--($CA$3:$CA$202=$A21),--($CD$3:$CD$202=""))+SUMPRODUCT(--($CG$3:$CG$202=$A21),--($CJ$3:$CJ$202=""))+SUMPRODUCT(--($CM$3:$CM$202=$A21),--($CP$3:$CP$202="")))</f>
        <v/>
      </c>
      <c r="Q21" s="48">
        <f>IF($H21="Tutor",(BQ21&lt;&gt;"")+(BW21&lt;&gt;"")+(CC21&lt;&gt;"")+(CI21&lt;&gt;"")+(CO21&lt;&gt;""),SUMPRODUCT(--($BO$3:$BO$202=$A21))+SUMPRODUCT(--($BU$3:$BU$202=$A21))+SUMPRODUCT(--($CA$3:$CA$202=$A21))+SUMPRODUCT(--($CG$3:$CG$202=$A21))+SUMPRODUCT(--($CM$3:$CM$202=$A21)))</f>
        <v/>
      </c>
      <c r="R21" s="48">
        <f>IF($H21="Tutor",TRIM(IF(AND(BQ21&lt;&gt;"",BR21=""),BP21&amp;"; ","")&amp;IF(AND(BW21&lt;&gt;"",BX21=""),BV21&amp;"; ","")&amp;IF(AND(CC21&lt;&gt;"",CD21=""),CB21&amp;"; ","")&amp;IF(AND(CI21&lt;&gt;"",CJ21=""),CH21&amp;"; ","")&amp;IF(AND(CO21&lt;&gt;"",CP21=""),CN21&amp;"; ","")),IFERROR(INDEX($A$3:$B$202,(SUMPRODUCT(($BO$3:$BO$202=$A21)*($BR$3:$BR$202="")*ROW($BO$3:$BO$202))+SUMPRODUCT(($BU$3:$BU$202=$A21)*($BX$3:$BX$202="")*ROW($BU$3:$BU$202))+SUMPRODUCT(($CA$3:$CA$202=$A21)*($CD$3:$CD$202="")*ROW($CA$3:$CA$202))+SUMPRODUCT(($CG$3:$CG$202=$A21)*($CJ$3:$CJ$202="")*ROW($CG$3:$CG$202))+SUMPRODUCT(($CM$3:$CM$202=$A21)*($CP$3:$CP$202="")*ROW($CM$3:$CM$202)))-2,2),""))</f>
        <v/>
      </c>
      <c r="S21" s="48" t="inlineStr">
        <is>
          <t>Not Provided</t>
        </is>
      </c>
      <c r="T21" s="48" t="inlineStr"/>
      <c r="U21" s="48" t="inlineStr"/>
      <c r="V21" s="49" t="n">
        <v>46045</v>
      </c>
      <c r="W21" s="48" t="inlineStr">
        <is>
          <t>AEST (UTC+10)</t>
        </is>
      </c>
      <c r="X21" s="48" t="inlineStr">
        <is>
          <t>6pm-9pm;</t>
        </is>
      </c>
      <c r="Y21" s="48" t="inlineStr">
        <is>
          <t>9am-12pm;</t>
        </is>
      </c>
      <c r="Z21" s="48" t="inlineStr">
        <is>
          <t>6am-9am;9am-12pm;</t>
        </is>
      </c>
      <c r="AA21" s="48" t="inlineStr">
        <is>
          <t>12pm-3pm;6pm-9pm;</t>
        </is>
      </c>
      <c r="AB21" s="48" t="inlineStr">
        <is>
          <t>6pm-9pm;</t>
        </is>
      </c>
      <c r="AC21" s="48" t="inlineStr">
        <is>
          <t>3pm-6pm;</t>
        </is>
      </c>
      <c r="AD21" s="48" t="inlineStr">
        <is>
          <t>12pm-3pm;6pm-9pm;</t>
        </is>
      </c>
      <c r="AE21" s="48" t="inlineStr">
        <is>
          <t>Either</t>
        </is>
      </c>
      <c r="AF21" s="48" t="inlineStr">
        <is>
          <t>NA - Tutor</t>
        </is>
      </c>
      <c r="AG21" s="48" t="inlineStr">
        <is>
          <t>Australia</t>
        </is>
      </c>
      <c r="AH21" s="48" t="inlineStr">
        <is>
          <t>Victoria</t>
        </is>
      </c>
      <c r="AI21" s="48" t="inlineStr">
        <is>
          <t>Footscray</t>
        </is>
      </c>
      <c r="AJ21" s="48" t="inlineStr">
        <is>
          <t>3011</t>
        </is>
      </c>
      <c r="AK21" s="49" t="n">
        <v>23248</v>
      </c>
      <c r="AL21" s="48" t="inlineStr">
        <is>
          <t>Male</t>
        </is>
      </c>
      <c r="AM21" s="48" t="inlineStr">
        <is>
          <t>NA</t>
        </is>
      </c>
      <c r="AN21" s="48" t="inlineStr">
        <is>
          <t>NA - Tutor</t>
        </is>
      </c>
      <c r="AO21" s="48" t="inlineStr">
        <is>
          <t>Low</t>
        </is>
      </c>
      <c r="AP21" s="48" t="inlineStr">
        <is>
          <t>India</t>
        </is>
      </c>
      <c r="AQ21" s="48" t="inlineStr">
        <is>
          <t>NA</t>
        </is>
      </c>
      <c r="AR21" s="48" t="inlineStr">
        <is>
          <t>English (C2)</t>
        </is>
      </c>
      <c r="AS21" s="48" t="inlineStr">
        <is>
          <t>None</t>
        </is>
      </c>
      <c r="AT21" s="48" t="inlineStr">
        <is>
          <t>Hospitality &amp; Retail</t>
        </is>
      </c>
      <c r="AU21" s="48" t="inlineStr">
        <is>
          <t>Teacher</t>
        </is>
      </c>
      <c r="AV21" s="48" t="inlineStr">
        <is>
          <t>NA - Tutor</t>
        </is>
      </c>
      <c r="AW21" s="48" t="inlineStr">
        <is>
          <t>Gardening; Cooking; Walking</t>
        </is>
      </c>
      <c r="AX21" s="48" t="inlineStr">
        <is>
          <t>NA - Tutor</t>
        </is>
      </c>
      <c r="AY21" s="48" t="inlineStr">
        <is>
          <t>NA - RELT Member Verified</t>
        </is>
      </c>
      <c r="AZ21" s="48" t="inlineStr">
        <is>
          <t>Yes</t>
        </is>
      </c>
      <c r="BA21" s="48" t="inlineStr">
        <is>
          <t>Emily Smith</t>
        </is>
      </c>
      <c r="BB21" s="48" t="inlineStr">
        <is>
          <t>Colleague</t>
        </is>
      </c>
      <c r="BC21" s="48" t="inlineStr">
        <is>
          <t>carlos.ng519@example.com</t>
        </is>
      </c>
      <c r="BD21" s="48" t="inlineStr">
        <is>
          <t>Pending</t>
        </is>
      </c>
      <c r="BE21" s="48" t="inlineStr"/>
      <c r="BF21" s="48" t="inlineStr"/>
      <c r="BG21" s="48" t="inlineStr">
        <is>
          <t>No</t>
        </is>
      </c>
      <c r="BH21" s="48" t="inlineStr">
        <is>
          <t>Adults Only</t>
        </is>
      </c>
      <c r="BI21" s="48" t="inlineStr">
        <is>
          <t>STARTTS</t>
        </is>
      </c>
      <c r="BJ21" s="48" t="inlineStr">
        <is>
          <t>MCCRORIE John</t>
        </is>
      </c>
      <c r="BK21" s="48" t="inlineStr">
        <is>
          <t>AGARWAL Akanksha</t>
        </is>
      </c>
      <c r="BL21" s="48" t="inlineStr">
        <is>
          <t>Synthetic test record.</t>
        </is>
      </c>
      <c r="BM21" s="48" t="inlineStr"/>
      <c r="BN21" s="48">
        <f>TRIM(IF(AND($H21="Student",$J21="ADM-ACT-MAT-CNE"),"Invalid: Student cannot be CNE. ","")&amp;IF(AND($H21="Student",ISNUMBER($O21)),"Check: capacity set for a Student. ","")&amp;IF(AND(LEFT($J21,11)="ADM-ACT-MAT",$P21=0),"Check: matched status but 0 active pairings. ","")&amp;IF(AND($H21="Tutor",ISNUMBER($O21),$P21&gt;$O21),"Check: pairings exceed capacity. ","")&amp;IF(AND($BH21="Everyone",NOT(AND($BD21="Yes",$BG21="Yes"))),"Check: approved to tutor children but WWCC not provided/confirmed. ","")&amp;IF(AND($P21&gt;0,NOT(AND(OR(LEFT($AY21,3)="Yes",LEFT($AY21,2)="NA"),OR(LEFT($AZ21,3)="Yes",LEFT($AZ21,2)="NA")))),"Matched but vetting incomplete (interview/reference). ","")&amp;IF(COUNTIF($B$3:$B$600,$B21)&gt;1,"Duplicate participant name. ",""))</f>
        <v/>
      </c>
      <c r="BO21" s="48" t="inlineStr">
        <is>
          <t>S-N-00006</t>
        </is>
      </c>
      <c r="BP21" s="48">
        <f>IFERROR(VLOOKUP(BO21,$A:$B,2,FALSE),"")</f>
        <v/>
      </c>
      <c r="BQ21" s="49" t="n">
        <v>45831</v>
      </c>
      <c r="BR21" s="48" t="inlineStr"/>
      <c r="BS21" s="48" t="n">
        <v>1</v>
      </c>
      <c r="BT21" s="48" t="inlineStr">
        <is>
          <t>KNIJNIK Marina</t>
        </is>
      </c>
      <c r="BU21" s="48" t="inlineStr">
        <is>
          <t>S-N-00027</t>
        </is>
      </c>
      <c r="BV21" s="48">
        <f>IFERROR(VLOOKUP(BU21,$A:$B,2,FALSE),"")</f>
        <v/>
      </c>
      <c r="BW21" s="49" t="n">
        <v>45961</v>
      </c>
      <c r="BX21" s="48" t="inlineStr"/>
      <c r="BY21" s="48" t="n">
        <v>1</v>
      </c>
      <c r="BZ21" s="48" t="inlineStr">
        <is>
          <t>HERVIR Oliver</t>
        </is>
      </c>
      <c r="CA21" s="48" t="inlineStr"/>
      <c r="CB21" s="48" t="inlineStr"/>
      <c r="CC21" s="48" t="inlineStr"/>
      <c r="CD21" s="48" t="inlineStr"/>
      <c r="CE21" s="48" t="inlineStr"/>
      <c r="CF21" s="48" t="inlineStr"/>
      <c r="CG21" s="48" t="inlineStr"/>
      <c r="CH21" s="48" t="inlineStr"/>
      <c r="CI21" s="48" t="inlineStr"/>
      <c r="CJ21" s="48" t="inlineStr"/>
      <c r="CK21" s="48" t="inlineStr"/>
      <c r="CL21" s="48" t="inlineStr"/>
      <c r="CM21" s="48" t="inlineStr"/>
      <c r="CN21" s="48" t="inlineStr"/>
      <c r="CO21" s="48" t="inlineStr"/>
      <c r="CP21" s="48" t="inlineStr"/>
      <c r="CQ21" s="48" t="inlineStr"/>
      <c r="CR21" s="48" t="inlineStr"/>
      <c r="CS21" s="48">
        <f>IF(LEFT($J21,3)="ERR",0,1)</f>
        <v/>
      </c>
      <c r="CT21" s="48">
        <f>IF(LEFT($J21,3)="ADM",1,0)</f>
        <v/>
      </c>
      <c r="CU21" s="48">
        <f>IF(OR($J21="ADM-ACT-MAT-CNE",$J21="ADM-ACT-MAT-CE",$J21="ADM-INACT-M&amp;T"),1,0)</f>
        <v/>
      </c>
      <c r="CV21" s="48">
        <f>IF(AND(CU21=1,ISNUMBER(M21),ISNUMBER(I21)),M21-I21,"")</f>
        <v/>
      </c>
      <c r="CW21" s="48">
        <f>IF(ISNUMBER(I21),TODAY()-I21,"")</f>
        <v/>
      </c>
      <c r="CX21" s="48">
        <f>IF(ISNUMBER(I21),DATE(YEAR(I21),MONTH(I21),1),"")</f>
        <v/>
      </c>
      <c r="CY21" s="48">
        <f>IFERROR(DATEDIF(AK21,TODAY(),"y"),"")</f>
        <v/>
      </c>
      <c r="CZ21" s="48">
        <f>IF(CY21="","",IF(CY21&lt;28,"18-27",IF(CY21&lt;38,"28-37",IF(CY21&lt;48,"38-47",IF(CY21&lt;58,"48-57",IF(CY21&lt;68,"58-67",IF(CY21&lt;78,"68-77","78+")))))) </f>
        <v/>
      </c>
      <c r="DA21" s="48">
        <f>IF(AND(BQ21&lt;&gt;"",BR21=""),N(BS21),0)+IF(AND(BW21&lt;&gt;"",BX21=""),N(BY21),0)+IF(AND(CC21&lt;&gt;"",CD21=""),N(CE21),0)+IF(AND(CI21&lt;&gt;"",CJ21=""),N(CK21),0)+IF(AND(CO21&lt;&gt;"",CP21=""),N(CQ21),0)</f>
        <v/>
      </c>
      <c r="DB21" s="48">
        <f>ROUND(IF(BQ21&lt;&gt;"",N(BS21)*MAX(0,((IF(BR21="",TODAY(),BR21))-BQ21)/7),0)+IF(BW21&lt;&gt;"",N(BY21)*MAX(0,((IF(BX21="",TODAY(),BX21))-BW21)/7),0)+IF(CC21&lt;&gt;"",N(CE21)*MAX(0,((IF(CD21="",TODAY(),CD21))-CC21)/7),0)+IF(CI21&lt;&gt;"",N(CK21)*MAX(0,((IF(CJ21="",TODAY(),CJ21))-CI21)/7),0)+IF(CO21&lt;&gt;"",N(CQ21)*MAX(0,((IF(CP21="",TODAY(),CP21))-CO21)/7),0),1)</f>
        <v/>
      </c>
      <c r="DC21" s="48">
        <f>IF(OR(TRIM(X21)="",TRIM(X21)="NA;",TRIM(X21)="NA"),0,1)</f>
        <v/>
      </c>
      <c r="DD21" s="48">
        <f>IF(OR(TRIM(Y21)="",TRIM(Y21)="NA;",TRIM(Y21)="NA"),0,1)</f>
        <v/>
      </c>
      <c r="DE21" s="48">
        <f>IF(OR(TRIM(Z21)="",TRIM(Z21)="NA;",TRIM(Z21)="NA"),0,1)</f>
        <v/>
      </c>
      <c r="DF21" s="48">
        <f>IF(OR(TRIM(AA21)="",TRIM(AA21)="NA;",TRIM(AA21)="NA"),0,1)</f>
        <v/>
      </c>
      <c r="DG21" s="48">
        <f>IF(OR(TRIM(AB21)="",TRIM(AB21)="NA;",TRIM(AB21)="NA"),0,1)</f>
        <v/>
      </c>
      <c r="DH21" s="48">
        <f>IF(OR(TRIM(AC21)="",TRIM(AC21)="NA;",TRIM(AC21)="NA"),0,1)</f>
        <v/>
      </c>
      <c r="DI21" s="48">
        <f>IF(OR(TRIM(AD21)="",TRIM(AD21)="NA;",TRIM(AD21)="NA"),0,1)</f>
        <v/>
      </c>
      <c r="DJ21" s="48">
        <f>TRIM(IF(DC21=1,"Mon ","")&amp;IF(DD21=1,"Tue ","")&amp;IF(DE21=1,"Wed ","")&amp;IF(DF21=1,"Thu ","")&amp;IF(DG21=1,"Fri ","")&amp;IF(DH21=1,"Sat ","")&amp;IF(DI21=1,"Sun ",""))</f>
        <v/>
      </c>
    </row>
    <row r="22">
      <c r="A22" s="48" t="inlineStr">
        <is>
          <t>T-O-00020</t>
        </is>
      </c>
      <c r="B22" s="48" t="inlineStr">
        <is>
          <t>Daniel Ali</t>
        </is>
      </c>
      <c r="C22" s="48" t="inlineStr">
        <is>
          <t>daniel.ali20@example.com</t>
        </is>
      </c>
      <c r="D22" s="48" t="inlineStr">
        <is>
          <t>+61 456 901 715</t>
        </is>
      </c>
      <c r="E22" s="48" t="inlineStr">
        <is>
          <t>Sofia Slaytor</t>
        </is>
      </c>
      <c r="F22" s="48" t="inlineStr">
        <is>
          <t>+61 424 943 613</t>
        </is>
      </c>
      <c r="G22" s="48" t="inlineStr">
        <is>
          <t>Friend</t>
        </is>
      </c>
      <c r="H22" s="48" t="inlineStr">
        <is>
          <t>Tutor</t>
        </is>
      </c>
      <c r="I22" s="49" t="n">
        <v>45400</v>
      </c>
      <c r="J22" s="48" t="inlineStr">
        <is>
          <t>ADM-ACT-UNMAT</t>
        </is>
      </c>
      <c r="K22" s="48">
        <f>IFERROR(VLOOKUP(J22,'(A) Introduction'!$B$35:$C$45,2,FALSE),"")</f>
        <v/>
      </c>
      <c r="L22" s="48" t="inlineStr">
        <is>
          <t>No</t>
        </is>
      </c>
      <c r="M22" s="48" t="inlineStr"/>
      <c r="N22" s="48" t="inlineStr"/>
      <c r="O22" s="48" t="n">
        <v>2</v>
      </c>
      <c r="P22" s="48">
        <f>IF($H22="Tutor",((BQ22&lt;&gt;"")*(BR22=""))+((BW22&lt;&gt;"")*(BX22=""))+((CC22&lt;&gt;"")*(CD22=""))+((CI22&lt;&gt;"")*(CJ22=""))+((CO22&lt;&gt;"")*(CP22="")),SUMPRODUCT(--($BO$3:$BO$202=$A22),--($BR$3:$BR$202=""))+SUMPRODUCT(--($BU$3:$BU$202=$A22),--($BX$3:$BX$202=""))+SUMPRODUCT(--($CA$3:$CA$202=$A22),--($CD$3:$CD$202=""))+SUMPRODUCT(--($CG$3:$CG$202=$A22),--($CJ$3:$CJ$202=""))+SUMPRODUCT(--($CM$3:$CM$202=$A22),--($CP$3:$CP$202="")))</f>
        <v/>
      </c>
      <c r="Q22" s="48">
        <f>IF($H22="Tutor",(BQ22&lt;&gt;"")+(BW22&lt;&gt;"")+(CC22&lt;&gt;"")+(CI22&lt;&gt;"")+(CO22&lt;&gt;""),SUMPRODUCT(--($BO$3:$BO$202=$A22))+SUMPRODUCT(--($BU$3:$BU$202=$A22))+SUMPRODUCT(--($CA$3:$CA$202=$A22))+SUMPRODUCT(--($CG$3:$CG$202=$A22))+SUMPRODUCT(--($CM$3:$CM$202=$A22)))</f>
        <v/>
      </c>
      <c r="R22" s="48">
        <f>IF($H22="Tutor",TRIM(IF(AND(BQ22&lt;&gt;"",BR22=""),BP22&amp;"; ","")&amp;IF(AND(BW22&lt;&gt;"",BX22=""),BV22&amp;"; ","")&amp;IF(AND(CC22&lt;&gt;"",CD22=""),CB22&amp;"; ","")&amp;IF(AND(CI22&lt;&gt;"",CJ22=""),CH22&amp;"; ","")&amp;IF(AND(CO22&lt;&gt;"",CP22=""),CN22&amp;"; ","")),IFERROR(INDEX($A$3:$B$202,(SUMPRODUCT(($BO$3:$BO$202=$A22)*($BR$3:$BR$202="")*ROW($BO$3:$BO$202))+SUMPRODUCT(($BU$3:$BU$202=$A22)*($BX$3:$BX$202="")*ROW($BU$3:$BU$202))+SUMPRODUCT(($CA$3:$CA$202=$A22)*($CD$3:$CD$202="")*ROW($CA$3:$CA$202))+SUMPRODUCT(($CG$3:$CG$202=$A22)*($CJ$3:$CJ$202="")*ROW($CG$3:$CG$202))+SUMPRODUCT(($CM$3:$CM$202=$A22)*($CP$3:$CP$202="")*ROW($CM$3:$CM$202)))-2,2),""))</f>
        <v/>
      </c>
      <c r="S22" s="48" t="inlineStr">
        <is>
          <t>Provided</t>
        </is>
      </c>
      <c r="T22" s="48" t="inlineStr"/>
      <c r="U22" s="48" t="inlineStr"/>
      <c r="V22" s="49" t="n">
        <v>45752</v>
      </c>
      <c r="W22" s="48" t="inlineStr">
        <is>
          <t>AEST (UTC+10)</t>
        </is>
      </c>
      <c r="X22" s="48" t="inlineStr">
        <is>
          <t>12pm-3pm;</t>
        </is>
      </c>
      <c r="Y22" s="48" t="inlineStr">
        <is>
          <t>9am-12pm;</t>
        </is>
      </c>
      <c r="Z22" s="48" t="inlineStr">
        <is>
          <t>3pm-6pm;</t>
        </is>
      </c>
      <c r="AA22" s="48" t="inlineStr">
        <is>
          <t>9am-12pm;12pm-3pm;3pm-6pm;</t>
        </is>
      </c>
      <c r="AB22" s="48" t="inlineStr">
        <is>
          <t>NA;</t>
        </is>
      </c>
      <c r="AC22" s="48" t="inlineStr">
        <is>
          <t>9am-12pm;12pm-3pm;3pm-6pm;</t>
        </is>
      </c>
      <c r="AD22" s="48" t="inlineStr">
        <is>
          <t>12pm-3pm;6pm-9pm;</t>
        </is>
      </c>
      <c r="AE22" s="48" t="inlineStr">
        <is>
          <t>Online</t>
        </is>
      </c>
      <c r="AF22" s="48" t="inlineStr">
        <is>
          <t>NA - Tutor</t>
        </is>
      </c>
      <c r="AG22" s="48" t="inlineStr">
        <is>
          <t>Australia</t>
        </is>
      </c>
      <c r="AH22" s="48" t="inlineStr">
        <is>
          <t>New South Wales</t>
        </is>
      </c>
      <c r="AI22" s="48" t="inlineStr">
        <is>
          <t>Auburn</t>
        </is>
      </c>
      <c r="AJ22" s="48" t="inlineStr">
        <is>
          <t>2144</t>
        </is>
      </c>
      <c r="AK22" s="49" t="n">
        <v>26328</v>
      </c>
      <c r="AL22" s="48" t="inlineStr">
        <is>
          <t>Female</t>
        </is>
      </c>
      <c r="AM22" s="48" t="inlineStr">
        <is>
          <t>NA</t>
        </is>
      </c>
      <c r="AN22" s="48" t="inlineStr">
        <is>
          <t>NA - Tutor</t>
        </is>
      </c>
      <c r="AO22" s="48" t="inlineStr">
        <is>
          <t>Outstanding</t>
        </is>
      </c>
      <c r="AP22" s="48" t="inlineStr">
        <is>
          <t>Australia</t>
        </is>
      </c>
      <c r="AQ22" s="48" t="inlineStr">
        <is>
          <t>NA</t>
        </is>
      </c>
      <c r="AR22" s="48" t="inlineStr">
        <is>
          <t>Ukrainian (C2)</t>
        </is>
      </c>
      <c r="AS22" s="48" t="inlineStr">
        <is>
          <t>Christian (Catholic)</t>
        </is>
      </c>
      <c r="AT22" s="48" t="inlineStr">
        <is>
          <t>Law &amp; Legal Services</t>
        </is>
      </c>
      <c r="AU22" s="48" t="inlineStr">
        <is>
          <t>Accountant</t>
        </is>
      </c>
      <c r="AV22" s="48" t="inlineStr">
        <is>
          <t>NA - Tutor</t>
        </is>
      </c>
      <c r="AW22" s="48" t="inlineStr">
        <is>
          <t>Football; Cooking; Family</t>
        </is>
      </c>
      <c r="AX22" s="48" t="inlineStr">
        <is>
          <t>NA - Tutor</t>
        </is>
      </c>
      <c r="AY22" s="48" t="inlineStr">
        <is>
          <t>NA - Partner Organisation Verified</t>
        </is>
      </c>
      <c r="AZ22" s="48" t="inlineStr">
        <is>
          <t>NA - Partner Organisation Verified</t>
        </is>
      </c>
      <c r="BA22" s="48" t="inlineStr">
        <is>
          <t>Sam Ali</t>
        </is>
      </c>
      <c r="BB22" s="48" t="inlineStr">
        <is>
          <t>Colleague</t>
        </is>
      </c>
      <c r="BC22" s="48" t="inlineStr">
        <is>
          <t>ibrahim.levi520@example.com</t>
        </is>
      </c>
      <c r="BD22" s="48" t="inlineStr">
        <is>
          <t>Yes</t>
        </is>
      </c>
      <c r="BE22" s="48" t="inlineStr">
        <is>
          <t>WWC8097946E</t>
        </is>
      </c>
      <c r="BF22" s="49" t="n">
        <v>46888</v>
      </c>
      <c r="BG22" s="48" t="inlineStr">
        <is>
          <t>No</t>
        </is>
      </c>
      <c r="BH22" s="48" t="inlineStr">
        <is>
          <t>Adults Only</t>
        </is>
      </c>
      <c r="BI22" s="48" t="inlineStr">
        <is>
          <t>Kaldor Centre for International Refugee Law</t>
        </is>
      </c>
      <c r="BJ22" s="48" t="inlineStr">
        <is>
          <t>NUICH Curtis</t>
        </is>
      </c>
      <c r="BK22" s="48" t="inlineStr">
        <is>
          <t>SHANAHAN Jack</t>
        </is>
      </c>
      <c r="BL22" s="48" t="inlineStr">
        <is>
          <t>Synthetic test record.</t>
        </is>
      </c>
      <c r="BM22" s="48" t="inlineStr"/>
      <c r="BN22" s="48">
        <f>TRIM(IF(AND($H22="Student",$J22="ADM-ACT-MAT-CNE"),"Invalid: Student cannot be CNE. ","")&amp;IF(AND($H22="Student",ISNUMBER($O22)),"Check: capacity set for a Student. ","")&amp;IF(AND(LEFT($J22,11)="ADM-ACT-MAT",$P22=0),"Check: matched status but 0 active pairings. ","")&amp;IF(AND($H22="Tutor",ISNUMBER($O22),$P22&gt;$O22),"Check: pairings exceed capacity. ","")&amp;IF(AND($BH22="Everyone",NOT(AND($BD22="Yes",$BG22="Yes"))),"Check: approved to tutor children but WWCC not provided/confirmed. ","")&amp;IF(AND($P22&gt;0,NOT(AND(OR(LEFT($AY22,3)="Yes",LEFT($AY22,2)="NA"),OR(LEFT($AZ22,3)="Yes",LEFT($AZ22,2)="NA")))),"Matched but vetting incomplete (interview/reference). ","")&amp;IF(COUNTIF($B$3:$B$600,$B22)&gt;1,"Duplicate participant name. ",""))</f>
        <v/>
      </c>
      <c r="BO22" s="48" t="inlineStr"/>
      <c r="BP22" s="48" t="inlineStr"/>
      <c r="BQ22" s="48" t="inlineStr"/>
      <c r="BR22" s="48" t="inlineStr"/>
      <c r="BS22" s="48" t="inlineStr"/>
      <c r="BT22" s="48" t="inlineStr"/>
      <c r="BU22" s="48" t="inlineStr"/>
      <c r="BV22" s="48" t="inlineStr"/>
      <c r="BW22" s="48" t="inlineStr"/>
      <c r="BX22" s="48" t="inlineStr"/>
      <c r="BY22" s="48" t="inlineStr"/>
      <c r="BZ22" s="48" t="inlineStr"/>
      <c r="CA22" s="48" t="inlineStr"/>
      <c r="CB22" s="48" t="inlineStr"/>
      <c r="CC22" s="48" t="inlineStr"/>
      <c r="CD22" s="48" t="inlineStr"/>
      <c r="CE22" s="48" t="inlineStr"/>
      <c r="CF22" s="48" t="inlineStr"/>
      <c r="CG22" s="48" t="inlineStr"/>
      <c r="CH22" s="48" t="inlineStr"/>
      <c r="CI22" s="48" t="inlineStr"/>
      <c r="CJ22" s="48" t="inlineStr"/>
      <c r="CK22" s="48" t="inlineStr"/>
      <c r="CL22" s="48" t="inlineStr"/>
      <c r="CM22" s="48" t="inlineStr"/>
      <c r="CN22" s="48" t="inlineStr"/>
      <c r="CO22" s="48" t="inlineStr"/>
      <c r="CP22" s="48" t="inlineStr"/>
      <c r="CQ22" s="48" t="inlineStr"/>
      <c r="CR22" s="48" t="inlineStr"/>
      <c r="CS22" s="48">
        <f>IF(LEFT($J22,3)="ERR",0,1)</f>
        <v/>
      </c>
      <c r="CT22" s="48">
        <f>IF(LEFT($J22,3)="ADM",1,0)</f>
        <v/>
      </c>
      <c r="CU22" s="48">
        <f>IF(OR($J22="ADM-ACT-MAT-CNE",$J22="ADM-ACT-MAT-CE",$J22="ADM-INACT-M&amp;T"),1,0)</f>
        <v/>
      </c>
      <c r="CV22" s="48">
        <f>IF(AND(CU22=1,ISNUMBER(M22),ISNUMBER(I22)),M22-I22,"")</f>
        <v/>
      </c>
      <c r="CW22" s="48">
        <f>IF(ISNUMBER(I22),TODAY()-I22,"")</f>
        <v/>
      </c>
      <c r="CX22" s="48">
        <f>IF(ISNUMBER(I22),DATE(YEAR(I22),MONTH(I22),1),"")</f>
        <v/>
      </c>
      <c r="CY22" s="48">
        <f>IFERROR(DATEDIF(AK22,TODAY(),"y"),"")</f>
        <v/>
      </c>
      <c r="CZ22" s="48">
        <f>IF(CY22="","",IF(CY22&lt;28,"18-27",IF(CY22&lt;38,"28-37",IF(CY22&lt;48,"38-47",IF(CY22&lt;58,"48-57",IF(CY22&lt;68,"58-67",IF(CY22&lt;78,"68-77","78+")))))) </f>
        <v/>
      </c>
      <c r="DA22" s="48">
        <f>IF(AND(BQ22&lt;&gt;"",BR22=""),N(BS22),0)+IF(AND(BW22&lt;&gt;"",BX22=""),N(BY22),0)+IF(AND(CC22&lt;&gt;"",CD22=""),N(CE22),0)+IF(AND(CI22&lt;&gt;"",CJ22=""),N(CK22),0)+IF(AND(CO22&lt;&gt;"",CP22=""),N(CQ22),0)</f>
        <v/>
      </c>
      <c r="DB22" s="48">
        <f>ROUND(IF(BQ22&lt;&gt;"",N(BS22)*MAX(0,((IF(BR22="",TODAY(),BR22))-BQ22)/7),0)+IF(BW22&lt;&gt;"",N(BY22)*MAX(0,((IF(BX22="",TODAY(),BX22))-BW22)/7),0)+IF(CC22&lt;&gt;"",N(CE22)*MAX(0,((IF(CD22="",TODAY(),CD22))-CC22)/7),0)+IF(CI22&lt;&gt;"",N(CK22)*MAX(0,((IF(CJ22="",TODAY(),CJ22))-CI22)/7),0)+IF(CO22&lt;&gt;"",N(CQ22)*MAX(0,((IF(CP22="",TODAY(),CP22))-CO22)/7),0),1)</f>
        <v/>
      </c>
      <c r="DC22" s="48">
        <f>IF(OR(TRIM(X22)="",TRIM(X22)="NA;",TRIM(X22)="NA"),0,1)</f>
        <v/>
      </c>
      <c r="DD22" s="48">
        <f>IF(OR(TRIM(Y22)="",TRIM(Y22)="NA;",TRIM(Y22)="NA"),0,1)</f>
        <v/>
      </c>
      <c r="DE22" s="48">
        <f>IF(OR(TRIM(Z22)="",TRIM(Z22)="NA;",TRIM(Z22)="NA"),0,1)</f>
        <v/>
      </c>
      <c r="DF22" s="48">
        <f>IF(OR(TRIM(AA22)="",TRIM(AA22)="NA;",TRIM(AA22)="NA"),0,1)</f>
        <v/>
      </c>
      <c r="DG22" s="48">
        <f>IF(OR(TRIM(AB22)="",TRIM(AB22)="NA;",TRIM(AB22)="NA"),0,1)</f>
        <v/>
      </c>
      <c r="DH22" s="48">
        <f>IF(OR(TRIM(AC22)="",TRIM(AC22)="NA;",TRIM(AC22)="NA"),0,1)</f>
        <v/>
      </c>
      <c r="DI22" s="48">
        <f>IF(OR(TRIM(AD22)="",TRIM(AD22)="NA;",TRIM(AD22)="NA"),0,1)</f>
        <v/>
      </c>
      <c r="DJ22" s="48">
        <f>TRIM(IF(DC22=1,"Mon ","")&amp;IF(DD22=1,"Tue ","")&amp;IF(DE22=1,"Wed ","")&amp;IF(DF22=1,"Thu ","")&amp;IF(DG22=1,"Fri ","")&amp;IF(DH22=1,"Sat ","")&amp;IF(DI22=1,"Sun ",""))</f>
        <v/>
      </c>
    </row>
    <row r="23">
      <c r="A23" s="48" t="inlineStr">
        <is>
          <t>T-O-00021</t>
        </is>
      </c>
      <c r="B23" s="48" t="inlineStr">
        <is>
          <t>Reza Lee</t>
        </is>
      </c>
      <c r="C23" s="48" t="inlineStr">
        <is>
          <t>reza.lee21@example.com</t>
        </is>
      </c>
      <c r="D23" s="48" t="inlineStr">
        <is>
          <t>+61 400 289 743</t>
        </is>
      </c>
      <c r="E23" s="48" t="inlineStr">
        <is>
          <t>Tariq Petrov</t>
        </is>
      </c>
      <c r="F23" s="48" t="inlineStr">
        <is>
          <t>+61 463 987 037</t>
        </is>
      </c>
      <c r="G23" s="48" t="inlineStr">
        <is>
          <t>Parent</t>
        </is>
      </c>
      <c r="H23" s="48" t="inlineStr">
        <is>
          <t>Tutor</t>
        </is>
      </c>
      <c r="I23" s="49" t="n">
        <v>45410</v>
      </c>
      <c r="J23" s="48" t="inlineStr">
        <is>
          <t>ADM-INACT-NOM&amp;T</t>
        </is>
      </c>
      <c r="K23" s="48">
        <f>IFERROR(VLOOKUP(J23,'(A) Introduction'!$B$35:$C$45,2,FALSE),"")</f>
        <v/>
      </c>
      <c r="L23" s="48" t="inlineStr">
        <is>
          <t>No</t>
        </is>
      </c>
      <c r="M23" s="48" t="inlineStr"/>
      <c r="N23" s="48" t="inlineStr"/>
      <c r="O23" s="48" t="n">
        <v>2</v>
      </c>
      <c r="P23" s="48">
        <f>IF($H23="Tutor",((BQ23&lt;&gt;"")*(BR23=""))+((BW23&lt;&gt;"")*(BX23=""))+((CC23&lt;&gt;"")*(CD23=""))+((CI23&lt;&gt;"")*(CJ23=""))+((CO23&lt;&gt;"")*(CP23="")),SUMPRODUCT(--($BO$3:$BO$202=$A23),--($BR$3:$BR$202=""))+SUMPRODUCT(--($BU$3:$BU$202=$A23),--($BX$3:$BX$202=""))+SUMPRODUCT(--($CA$3:$CA$202=$A23),--($CD$3:$CD$202=""))+SUMPRODUCT(--($CG$3:$CG$202=$A23),--($CJ$3:$CJ$202=""))+SUMPRODUCT(--($CM$3:$CM$202=$A23),--($CP$3:$CP$202="")))</f>
        <v/>
      </c>
      <c r="Q23" s="48">
        <f>IF($H23="Tutor",(BQ23&lt;&gt;"")+(BW23&lt;&gt;"")+(CC23&lt;&gt;"")+(CI23&lt;&gt;"")+(CO23&lt;&gt;""),SUMPRODUCT(--($BO$3:$BO$202=$A23))+SUMPRODUCT(--($BU$3:$BU$202=$A23))+SUMPRODUCT(--($CA$3:$CA$202=$A23))+SUMPRODUCT(--($CG$3:$CG$202=$A23))+SUMPRODUCT(--($CM$3:$CM$202=$A23)))</f>
        <v/>
      </c>
      <c r="R23" s="48">
        <f>IF($H23="Tutor",TRIM(IF(AND(BQ23&lt;&gt;"",BR23=""),BP23&amp;"; ","")&amp;IF(AND(BW23&lt;&gt;"",BX23=""),BV23&amp;"; ","")&amp;IF(AND(CC23&lt;&gt;"",CD23=""),CB23&amp;"; ","")&amp;IF(AND(CI23&lt;&gt;"",CJ23=""),CH23&amp;"; ","")&amp;IF(AND(CO23&lt;&gt;"",CP23=""),CN23&amp;"; ","")),IFERROR(INDEX($A$3:$B$202,(SUMPRODUCT(($BO$3:$BO$202=$A23)*($BR$3:$BR$202="")*ROW($BO$3:$BO$202))+SUMPRODUCT(($BU$3:$BU$202=$A23)*($BX$3:$BX$202="")*ROW($BU$3:$BU$202))+SUMPRODUCT(($CA$3:$CA$202=$A23)*($CD$3:$CD$202="")*ROW($CA$3:$CA$202))+SUMPRODUCT(($CG$3:$CG$202=$A23)*($CJ$3:$CJ$202="")*ROW($CG$3:$CG$202))+SUMPRODUCT(($CM$3:$CM$202=$A23)*($CP$3:$CP$202="")*ROW($CM$3:$CM$202)))-2,2),""))</f>
        <v/>
      </c>
      <c r="S23" s="48" t="inlineStr">
        <is>
          <t>NA</t>
        </is>
      </c>
      <c r="T23" s="48" t="inlineStr"/>
      <c r="U23" s="48" t="inlineStr"/>
      <c r="V23" s="49" t="n">
        <v>45837</v>
      </c>
      <c r="W23" s="48" t="inlineStr">
        <is>
          <t>ACST (UTC+9:30)</t>
        </is>
      </c>
      <c r="X23" s="48" t="inlineStr">
        <is>
          <t>6pm-9pm;</t>
        </is>
      </c>
      <c r="Y23" s="48" t="inlineStr">
        <is>
          <t>9am-12pm;</t>
        </is>
      </c>
      <c r="Z23" s="48" t="inlineStr">
        <is>
          <t>6pm-9pm;</t>
        </is>
      </c>
      <c r="AA23" s="48" t="inlineStr">
        <is>
          <t>9am-12pm;12pm-3pm;3pm-6pm;</t>
        </is>
      </c>
      <c r="AB23" s="48" t="inlineStr">
        <is>
          <t>6pm-9pm;</t>
        </is>
      </c>
      <c r="AC23" s="48" t="inlineStr">
        <is>
          <t>6am-9am;9am-12pm;</t>
        </is>
      </c>
      <c r="AD23" s="48" t="inlineStr">
        <is>
          <t>6am-9am;9am-12pm;</t>
        </is>
      </c>
      <c r="AE23" s="48" t="inlineStr">
        <is>
          <t>Either</t>
        </is>
      </c>
      <c r="AF23" s="48" t="inlineStr">
        <is>
          <t>NA - Tutor</t>
        </is>
      </c>
      <c r="AG23" s="48" t="inlineStr">
        <is>
          <t>Australia</t>
        </is>
      </c>
      <c r="AH23" s="48" t="inlineStr">
        <is>
          <t>New South Wales</t>
        </is>
      </c>
      <c r="AI23" s="48" t="inlineStr">
        <is>
          <t>Doonside</t>
        </is>
      </c>
      <c r="AJ23" s="48" t="inlineStr">
        <is>
          <t>2767</t>
        </is>
      </c>
      <c r="AK23" s="49" t="n">
        <v>35145</v>
      </c>
      <c r="AL23" s="48" t="inlineStr">
        <is>
          <t>Other</t>
        </is>
      </c>
      <c r="AM23" s="48" t="inlineStr">
        <is>
          <t>NA</t>
        </is>
      </c>
      <c r="AN23" s="48" t="inlineStr">
        <is>
          <t>NA - Tutor</t>
        </is>
      </c>
      <c r="AO23" s="48" t="inlineStr">
        <is>
          <t>Outstanding</t>
        </is>
      </c>
      <c r="AP23" s="48" t="inlineStr">
        <is>
          <t>China</t>
        </is>
      </c>
      <c r="AQ23" s="48" t="inlineStr">
        <is>
          <t>NA</t>
        </is>
      </c>
      <c r="AR23" s="48" t="inlineStr">
        <is>
          <t>Somali (C2)</t>
        </is>
      </c>
      <c r="AS23" s="48" t="inlineStr">
        <is>
          <t>Buddhist</t>
        </is>
      </c>
      <c r="AT23" s="48" t="inlineStr">
        <is>
          <t>Education &amp; Academia</t>
        </is>
      </c>
      <c r="AU23" s="48" t="inlineStr">
        <is>
          <t>Student</t>
        </is>
      </c>
      <c r="AV23" s="48" t="inlineStr">
        <is>
          <t>NA - Tutor</t>
        </is>
      </c>
      <c r="AW23" s="48" t="inlineStr">
        <is>
          <t>Football; Cooking; Family</t>
        </is>
      </c>
      <c r="AX23" s="48" t="inlineStr">
        <is>
          <t>NA - Tutor</t>
        </is>
      </c>
      <c r="AY23" s="48" t="inlineStr">
        <is>
          <t>NA - RELT Member Verified</t>
        </is>
      </c>
      <c r="AZ23" s="48" t="inlineStr">
        <is>
          <t>Yes</t>
        </is>
      </c>
      <c r="BA23" s="48" t="inlineStr">
        <is>
          <t>Camila Wright</t>
        </is>
      </c>
      <c r="BB23" s="48" t="inlineStr">
        <is>
          <t>Academic Referee</t>
        </is>
      </c>
      <c r="BC23" s="48" t="inlineStr">
        <is>
          <t>fatima.smith521@example.com</t>
        </is>
      </c>
      <c r="BD23" s="48" t="inlineStr">
        <is>
          <t>Yes</t>
        </is>
      </c>
      <c r="BE23" s="48" t="inlineStr">
        <is>
          <t>WWC7177975E</t>
        </is>
      </c>
      <c r="BF23" s="49" t="n">
        <v>46912</v>
      </c>
      <c r="BG23" s="48" t="inlineStr">
        <is>
          <t>Yes</t>
        </is>
      </c>
      <c r="BH23" s="48" t="inlineStr">
        <is>
          <t>Adults Only</t>
        </is>
      </c>
      <c r="BI23" s="48" t="inlineStr">
        <is>
          <t>Supporting Asylum Seekers Sydney</t>
        </is>
      </c>
      <c r="BJ23" s="48" t="inlineStr">
        <is>
          <t>ZULMAN Levi</t>
        </is>
      </c>
      <c r="BK23" s="48" t="inlineStr">
        <is>
          <t>MCCRORIE John</t>
        </is>
      </c>
      <c r="BL23" s="48" t="inlineStr">
        <is>
          <t>Synthetic test record.</t>
        </is>
      </c>
      <c r="BM23" s="48" t="inlineStr"/>
      <c r="BN23" s="48">
        <f>TRIM(IF(AND($H23="Student",$J23="ADM-ACT-MAT-CNE"),"Invalid: Student cannot be CNE. ","")&amp;IF(AND($H23="Student",ISNUMBER($O23)),"Check: capacity set for a Student. ","")&amp;IF(AND(LEFT($J23,11)="ADM-ACT-MAT",$P23=0),"Check: matched status but 0 active pairings. ","")&amp;IF(AND($H23="Tutor",ISNUMBER($O23),$P23&gt;$O23),"Check: pairings exceed capacity. ","")&amp;IF(AND($BH23="Everyone",NOT(AND($BD23="Yes",$BG23="Yes"))),"Check: approved to tutor children but WWCC not provided/confirmed. ","")&amp;IF(AND($P23&gt;0,NOT(AND(OR(LEFT($AY23,3)="Yes",LEFT($AY23,2)="NA"),OR(LEFT($AZ23,3)="Yes",LEFT($AZ23,2)="NA")))),"Matched but vetting incomplete (interview/reference). ","")&amp;IF(COUNTIF($B$3:$B$600,$B23)&gt;1,"Duplicate participant name. ",""))</f>
        <v/>
      </c>
      <c r="BO23" s="48" t="inlineStr"/>
      <c r="BP23" s="48" t="inlineStr"/>
      <c r="BQ23" s="48" t="inlineStr"/>
      <c r="BR23" s="48" t="inlineStr"/>
      <c r="BS23" s="48" t="inlineStr"/>
      <c r="BT23" s="48" t="inlineStr"/>
      <c r="BU23" s="48" t="inlineStr"/>
      <c r="BV23" s="48" t="inlineStr"/>
      <c r="BW23" s="48" t="inlineStr"/>
      <c r="BX23" s="48" t="inlineStr"/>
      <c r="BY23" s="48" t="inlineStr"/>
      <c r="BZ23" s="48" t="inlineStr"/>
      <c r="CA23" s="48" t="inlineStr"/>
      <c r="CB23" s="48" t="inlineStr"/>
      <c r="CC23" s="48" t="inlineStr"/>
      <c r="CD23" s="48" t="inlineStr"/>
      <c r="CE23" s="48" t="inlineStr"/>
      <c r="CF23" s="48" t="inlineStr"/>
      <c r="CG23" s="48" t="inlineStr"/>
      <c r="CH23" s="48" t="inlineStr"/>
      <c r="CI23" s="48" t="inlineStr"/>
      <c r="CJ23" s="48" t="inlineStr"/>
      <c r="CK23" s="48" t="inlineStr"/>
      <c r="CL23" s="48" t="inlineStr"/>
      <c r="CM23" s="48" t="inlineStr"/>
      <c r="CN23" s="48" t="inlineStr"/>
      <c r="CO23" s="48" t="inlineStr"/>
      <c r="CP23" s="48" t="inlineStr"/>
      <c r="CQ23" s="48" t="inlineStr"/>
      <c r="CR23" s="48" t="inlineStr"/>
      <c r="CS23" s="48">
        <f>IF(LEFT($J23,3)="ERR",0,1)</f>
        <v/>
      </c>
      <c r="CT23" s="48">
        <f>IF(LEFT($J23,3)="ADM",1,0)</f>
        <v/>
      </c>
      <c r="CU23" s="48">
        <f>IF(OR($J23="ADM-ACT-MAT-CNE",$J23="ADM-ACT-MAT-CE",$J23="ADM-INACT-M&amp;T"),1,0)</f>
        <v/>
      </c>
      <c r="CV23" s="48">
        <f>IF(AND(CU23=1,ISNUMBER(M23),ISNUMBER(I23)),M23-I23,"")</f>
        <v/>
      </c>
      <c r="CW23" s="48">
        <f>IF(ISNUMBER(I23),TODAY()-I23,"")</f>
        <v/>
      </c>
      <c r="CX23" s="48">
        <f>IF(ISNUMBER(I23),DATE(YEAR(I23),MONTH(I23),1),"")</f>
        <v/>
      </c>
      <c r="CY23" s="48">
        <f>IFERROR(DATEDIF(AK23,TODAY(),"y"),"")</f>
        <v/>
      </c>
      <c r="CZ23" s="48">
        <f>IF(CY23="","",IF(CY23&lt;28,"18-27",IF(CY23&lt;38,"28-37",IF(CY23&lt;48,"38-47",IF(CY23&lt;58,"48-57",IF(CY23&lt;68,"58-67",IF(CY23&lt;78,"68-77","78+")))))) </f>
        <v/>
      </c>
      <c r="DA23" s="48">
        <f>IF(AND(BQ23&lt;&gt;"",BR23=""),N(BS23),0)+IF(AND(BW23&lt;&gt;"",BX23=""),N(BY23),0)+IF(AND(CC23&lt;&gt;"",CD23=""),N(CE23),0)+IF(AND(CI23&lt;&gt;"",CJ23=""),N(CK23),0)+IF(AND(CO23&lt;&gt;"",CP23=""),N(CQ23),0)</f>
        <v/>
      </c>
      <c r="DB23" s="48">
        <f>ROUND(IF(BQ23&lt;&gt;"",N(BS23)*MAX(0,((IF(BR23="",TODAY(),BR23))-BQ23)/7),0)+IF(BW23&lt;&gt;"",N(BY23)*MAX(0,((IF(BX23="",TODAY(),BX23))-BW23)/7),0)+IF(CC23&lt;&gt;"",N(CE23)*MAX(0,((IF(CD23="",TODAY(),CD23))-CC23)/7),0)+IF(CI23&lt;&gt;"",N(CK23)*MAX(0,((IF(CJ23="",TODAY(),CJ23))-CI23)/7),0)+IF(CO23&lt;&gt;"",N(CQ23)*MAX(0,((IF(CP23="",TODAY(),CP23))-CO23)/7),0),1)</f>
        <v/>
      </c>
      <c r="DC23" s="48">
        <f>IF(OR(TRIM(X23)="",TRIM(X23)="NA;",TRIM(X23)="NA"),0,1)</f>
        <v/>
      </c>
      <c r="DD23" s="48">
        <f>IF(OR(TRIM(Y23)="",TRIM(Y23)="NA;",TRIM(Y23)="NA"),0,1)</f>
        <v/>
      </c>
      <c r="DE23" s="48">
        <f>IF(OR(TRIM(Z23)="",TRIM(Z23)="NA;",TRIM(Z23)="NA"),0,1)</f>
        <v/>
      </c>
      <c r="DF23" s="48">
        <f>IF(OR(TRIM(AA23)="",TRIM(AA23)="NA;",TRIM(AA23)="NA"),0,1)</f>
        <v/>
      </c>
      <c r="DG23" s="48">
        <f>IF(OR(TRIM(AB23)="",TRIM(AB23)="NA;",TRIM(AB23)="NA"),0,1)</f>
        <v/>
      </c>
      <c r="DH23" s="48">
        <f>IF(OR(TRIM(AC23)="",TRIM(AC23)="NA;",TRIM(AC23)="NA"),0,1)</f>
        <v/>
      </c>
      <c r="DI23" s="48">
        <f>IF(OR(TRIM(AD23)="",TRIM(AD23)="NA;",TRIM(AD23)="NA"),0,1)</f>
        <v/>
      </c>
      <c r="DJ23" s="48">
        <f>TRIM(IF(DC23=1,"Mon ","")&amp;IF(DD23=1,"Tue ","")&amp;IF(DE23=1,"Wed ","")&amp;IF(DF23=1,"Thu ","")&amp;IF(DG23=1,"Fri ","")&amp;IF(DH23=1,"Sat ","")&amp;IF(DI23=1,"Sun ",""))</f>
        <v/>
      </c>
    </row>
    <row r="24">
      <c r="A24" s="48" t="inlineStr">
        <is>
          <t>T-O-00022</t>
        </is>
      </c>
      <c r="B24" s="48" t="inlineStr">
        <is>
          <t>Fatima Walker</t>
        </is>
      </c>
      <c r="C24" s="48" t="inlineStr">
        <is>
          <t>fatima.walker22@example.com</t>
        </is>
      </c>
      <c r="D24" s="48" t="inlineStr">
        <is>
          <t>+61 401 739 147</t>
        </is>
      </c>
      <c r="E24" s="48" t="inlineStr">
        <is>
          <t>Jose Brown</t>
        </is>
      </c>
      <c r="F24" s="48" t="inlineStr">
        <is>
          <t>+61 412 778 648</t>
        </is>
      </c>
      <c r="G24" s="48" t="inlineStr">
        <is>
          <t>Caseworker</t>
        </is>
      </c>
      <c r="H24" s="48" t="inlineStr">
        <is>
          <t>Tutor</t>
        </is>
      </c>
      <c r="I24" s="49" t="n">
        <v>45423</v>
      </c>
      <c r="J24" s="48" t="inlineStr">
        <is>
          <t>ADM-ACT-UNMAT</t>
        </is>
      </c>
      <c r="K24" s="48">
        <f>IFERROR(VLOOKUP(J24,'(A) Introduction'!$B$35:$C$45,2,FALSE),"")</f>
        <v/>
      </c>
      <c r="L24" s="48" t="inlineStr">
        <is>
          <t>No</t>
        </is>
      </c>
      <c r="M24" s="48" t="inlineStr"/>
      <c r="N24" s="48" t="inlineStr"/>
      <c r="O24" s="48" t="n">
        <v>2</v>
      </c>
      <c r="P24" s="48">
        <f>IF($H24="Tutor",((BQ24&lt;&gt;"")*(BR24=""))+((BW24&lt;&gt;"")*(BX24=""))+((CC24&lt;&gt;"")*(CD24=""))+((CI24&lt;&gt;"")*(CJ24=""))+((CO24&lt;&gt;"")*(CP24="")),SUMPRODUCT(--($BO$3:$BO$202=$A24),--($BR$3:$BR$202=""))+SUMPRODUCT(--($BU$3:$BU$202=$A24),--($BX$3:$BX$202=""))+SUMPRODUCT(--($CA$3:$CA$202=$A24),--($CD$3:$CD$202=""))+SUMPRODUCT(--($CG$3:$CG$202=$A24),--($CJ$3:$CJ$202=""))+SUMPRODUCT(--($CM$3:$CM$202=$A24),--($CP$3:$CP$202="")))</f>
        <v/>
      </c>
      <c r="Q24" s="48">
        <f>IF($H24="Tutor",(BQ24&lt;&gt;"")+(BW24&lt;&gt;"")+(CC24&lt;&gt;"")+(CI24&lt;&gt;"")+(CO24&lt;&gt;""),SUMPRODUCT(--($BO$3:$BO$202=$A24))+SUMPRODUCT(--($BU$3:$BU$202=$A24))+SUMPRODUCT(--($CA$3:$CA$202=$A24))+SUMPRODUCT(--($CG$3:$CG$202=$A24))+SUMPRODUCT(--($CM$3:$CM$202=$A24)))</f>
        <v/>
      </c>
      <c r="R24" s="48">
        <f>IF($H24="Tutor",TRIM(IF(AND(BQ24&lt;&gt;"",BR24=""),BP24&amp;"; ","")&amp;IF(AND(BW24&lt;&gt;"",BX24=""),BV24&amp;"; ","")&amp;IF(AND(CC24&lt;&gt;"",CD24=""),CB24&amp;"; ","")&amp;IF(AND(CI24&lt;&gt;"",CJ24=""),CH24&amp;"; ","")&amp;IF(AND(CO24&lt;&gt;"",CP24=""),CN24&amp;"; ","")),IFERROR(INDEX($A$3:$B$202,(SUMPRODUCT(($BO$3:$BO$202=$A24)*($BR$3:$BR$202="")*ROW($BO$3:$BO$202))+SUMPRODUCT(($BU$3:$BU$202=$A24)*($BX$3:$BX$202="")*ROW($BU$3:$BU$202))+SUMPRODUCT(($CA$3:$CA$202=$A24)*($CD$3:$CD$202="")*ROW($CA$3:$CA$202))+SUMPRODUCT(($CG$3:$CG$202=$A24)*($CJ$3:$CJ$202="")*ROW($CG$3:$CG$202))+SUMPRODUCT(($CM$3:$CM$202=$A24)*($CP$3:$CP$202="")*ROW($CM$3:$CM$202)))-2,2),""))</f>
        <v/>
      </c>
      <c r="S24" s="48" t="inlineStr">
        <is>
          <t>NA</t>
        </is>
      </c>
      <c r="T24" s="48" t="inlineStr"/>
      <c r="U24" s="48" t="inlineStr"/>
      <c r="V24" s="49" t="n">
        <v>46038</v>
      </c>
      <c r="W24" s="48" t="inlineStr">
        <is>
          <t>AEST (UTC+10)</t>
        </is>
      </c>
      <c r="X24" s="48" t="inlineStr">
        <is>
          <t>6pm-9pm;</t>
        </is>
      </c>
      <c r="Y24" s="48" t="inlineStr">
        <is>
          <t>6pm-9pm;</t>
        </is>
      </c>
      <c r="Z24" s="48" t="inlineStr">
        <is>
          <t>3pm-6pm;</t>
        </is>
      </c>
      <c r="AA24" s="48" t="inlineStr">
        <is>
          <t>6am-9am;9am-12pm;</t>
        </is>
      </c>
      <c r="AB24" s="48" t="inlineStr">
        <is>
          <t>12pm-3pm;6pm-9pm;</t>
        </is>
      </c>
      <c r="AC24" s="48" t="inlineStr">
        <is>
          <t>6pm-9pm;</t>
        </is>
      </c>
      <c r="AD24" s="48" t="inlineStr">
        <is>
          <t>6am-9am;9am-12pm;</t>
        </is>
      </c>
      <c r="AE24" s="48" t="inlineStr">
        <is>
          <t>Either</t>
        </is>
      </c>
      <c r="AF24" s="48" t="inlineStr">
        <is>
          <t>NA - Tutor</t>
        </is>
      </c>
      <c r="AG24" s="48" t="inlineStr">
        <is>
          <t>Australia</t>
        </is>
      </c>
      <c r="AH24" s="48" t="inlineStr">
        <is>
          <t>New South Wales</t>
        </is>
      </c>
      <c r="AI24" s="48" t="inlineStr">
        <is>
          <t>Blacktown</t>
        </is>
      </c>
      <c r="AJ24" s="48" t="inlineStr">
        <is>
          <t>2148</t>
        </is>
      </c>
      <c r="AK24" s="49" t="n">
        <v>36726</v>
      </c>
      <c r="AL24" s="48" t="inlineStr">
        <is>
          <t>Other</t>
        </is>
      </c>
      <c r="AM24" s="48" t="inlineStr">
        <is>
          <t>NA</t>
        </is>
      </c>
      <c r="AN24" s="48" t="inlineStr">
        <is>
          <t>NA - Tutor</t>
        </is>
      </c>
      <c r="AO24" s="48" t="inlineStr">
        <is>
          <t>Outstanding</t>
        </is>
      </c>
      <c r="AP24" s="48" t="inlineStr">
        <is>
          <t>India</t>
        </is>
      </c>
      <c r="AQ24" s="48" t="inlineStr">
        <is>
          <t>NA</t>
        </is>
      </c>
      <c r="AR24" s="48" t="inlineStr">
        <is>
          <t>Ukrainian (C2)</t>
        </is>
      </c>
      <c r="AS24" s="48" t="inlineStr">
        <is>
          <t>NA</t>
        </is>
      </c>
      <c r="AT24" s="48" t="inlineStr">
        <is>
          <t>Military &amp; Public Safety</t>
        </is>
      </c>
      <c r="AU24" s="48" t="inlineStr">
        <is>
          <t>Engineer</t>
        </is>
      </c>
      <c r="AV24" s="48" t="inlineStr">
        <is>
          <t>NA - Tutor</t>
        </is>
      </c>
      <c r="AW24" s="48" t="inlineStr">
        <is>
          <t>Football; Cooking; Family</t>
        </is>
      </c>
      <c r="AX24" s="48" t="inlineStr">
        <is>
          <t>NA - Tutor</t>
        </is>
      </c>
      <c r="AY24" s="48" t="inlineStr">
        <is>
          <t>Yes</t>
        </is>
      </c>
      <c r="AZ24" s="48" t="inlineStr">
        <is>
          <t>Yes</t>
        </is>
      </c>
      <c r="BA24" s="48" t="inlineStr">
        <is>
          <t>Fatima Smith</t>
        </is>
      </c>
      <c r="BB24" s="48" t="inlineStr">
        <is>
          <t>Manager</t>
        </is>
      </c>
      <c r="BC24" s="48" t="inlineStr">
        <is>
          <t>laura.bourne522@example.com</t>
        </is>
      </c>
      <c r="BD24" s="48" t="inlineStr">
        <is>
          <t>Pending</t>
        </is>
      </c>
      <c r="BE24" s="48" t="inlineStr"/>
      <c r="BF24" s="48" t="inlineStr"/>
      <c r="BG24" s="48" t="inlineStr">
        <is>
          <t>No</t>
        </is>
      </c>
      <c r="BH24" s="48" t="inlineStr">
        <is>
          <t>Adults Only</t>
        </is>
      </c>
      <c r="BI24" s="48" t="inlineStr">
        <is>
          <t>Notice Board</t>
        </is>
      </c>
      <c r="BJ24" s="48" t="inlineStr">
        <is>
          <t>HERVIR Oliver</t>
        </is>
      </c>
      <c r="BK24" s="48" t="inlineStr">
        <is>
          <t>ZULMAN Levi</t>
        </is>
      </c>
      <c r="BL24" s="48" t="inlineStr">
        <is>
          <t>Synthetic test record.</t>
        </is>
      </c>
      <c r="BM24" s="48" t="inlineStr"/>
      <c r="BN24" s="48">
        <f>TRIM(IF(AND($H24="Student",$J24="ADM-ACT-MAT-CNE"),"Invalid: Student cannot be CNE. ","")&amp;IF(AND($H24="Student",ISNUMBER($O24)),"Check: capacity set for a Student. ","")&amp;IF(AND(LEFT($J24,11)="ADM-ACT-MAT",$P24=0),"Check: matched status but 0 active pairings. ","")&amp;IF(AND($H24="Tutor",ISNUMBER($O24),$P24&gt;$O24),"Check: pairings exceed capacity. ","")&amp;IF(AND($BH24="Everyone",NOT(AND($BD24="Yes",$BG24="Yes"))),"Check: approved to tutor children but WWCC not provided/confirmed. ","")&amp;IF(AND($P24&gt;0,NOT(AND(OR(LEFT($AY24,3)="Yes",LEFT($AY24,2)="NA"),OR(LEFT($AZ24,3)="Yes",LEFT($AZ24,2)="NA")))),"Matched but vetting incomplete (interview/reference). ","")&amp;IF(COUNTIF($B$3:$B$600,$B24)&gt;1,"Duplicate participant name. ",""))</f>
        <v/>
      </c>
      <c r="BO24" s="48" t="inlineStr"/>
      <c r="BP24" s="48" t="inlineStr"/>
      <c r="BQ24" s="48" t="inlineStr"/>
      <c r="BR24" s="48" t="inlineStr"/>
      <c r="BS24" s="48" t="inlineStr"/>
      <c r="BT24" s="48" t="inlineStr"/>
      <c r="BU24" s="48" t="inlineStr"/>
      <c r="BV24" s="48" t="inlineStr"/>
      <c r="BW24" s="48" t="inlineStr"/>
      <c r="BX24" s="48" t="inlineStr"/>
      <c r="BY24" s="48" t="inlineStr"/>
      <c r="BZ24" s="48" t="inlineStr"/>
      <c r="CA24" s="48" t="inlineStr"/>
      <c r="CB24" s="48" t="inlineStr"/>
      <c r="CC24" s="48" t="inlineStr"/>
      <c r="CD24" s="48" t="inlineStr"/>
      <c r="CE24" s="48" t="inlineStr"/>
      <c r="CF24" s="48" t="inlineStr"/>
      <c r="CG24" s="48" t="inlineStr"/>
      <c r="CH24" s="48" t="inlineStr"/>
      <c r="CI24" s="48" t="inlineStr"/>
      <c r="CJ24" s="48" t="inlineStr"/>
      <c r="CK24" s="48" t="inlineStr"/>
      <c r="CL24" s="48" t="inlineStr"/>
      <c r="CM24" s="48" t="inlineStr"/>
      <c r="CN24" s="48" t="inlineStr"/>
      <c r="CO24" s="48" t="inlineStr"/>
      <c r="CP24" s="48" t="inlineStr"/>
      <c r="CQ24" s="48" t="inlineStr"/>
      <c r="CR24" s="48" t="inlineStr"/>
      <c r="CS24" s="48">
        <f>IF(LEFT($J24,3)="ERR",0,1)</f>
        <v/>
      </c>
      <c r="CT24" s="48">
        <f>IF(LEFT($J24,3)="ADM",1,0)</f>
        <v/>
      </c>
      <c r="CU24" s="48">
        <f>IF(OR($J24="ADM-ACT-MAT-CNE",$J24="ADM-ACT-MAT-CE",$J24="ADM-INACT-M&amp;T"),1,0)</f>
        <v/>
      </c>
      <c r="CV24" s="48">
        <f>IF(AND(CU24=1,ISNUMBER(M24),ISNUMBER(I24)),M24-I24,"")</f>
        <v/>
      </c>
      <c r="CW24" s="48">
        <f>IF(ISNUMBER(I24),TODAY()-I24,"")</f>
        <v/>
      </c>
      <c r="CX24" s="48">
        <f>IF(ISNUMBER(I24),DATE(YEAR(I24),MONTH(I24),1),"")</f>
        <v/>
      </c>
      <c r="CY24" s="48">
        <f>IFERROR(DATEDIF(AK24,TODAY(),"y"),"")</f>
        <v/>
      </c>
      <c r="CZ24" s="48">
        <f>IF(CY24="","",IF(CY24&lt;28,"18-27",IF(CY24&lt;38,"28-37",IF(CY24&lt;48,"38-47",IF(CY24&lt;58,"48-57",IF(CY24&lt;68,"58-67",IF(CY24&lt;78,"68-77","78+")))))) </f>
        <v/>
      </c>
      <c r="DA24" s="48">
        <f>IF(AND(BQ24&lt;&gt;"",BR24=""),N(BS24),0)+IF(AND(BW24&lt;&gt;"",BX24=""),N(BY24),0)+IF(AND(CC24&lt;&gt;"",CD24=""),N(CE24),0)+IF(AND(CI24&lt;&gt;"",CJ24=""),N(CK24),0)+IF(AND(CO24&lt;&gt;"",CP24=""),N(CQ24),0)</f>
        <v/>
      </c>
      <c r="DB24" s="48">
        <f>ROUND(IF(BQ24&lt;&gt;"",N(BS24)*MAX(0,((IF(BR24="",TODAY(),BR24))-BQ24)/7),0)+IF(BW24&lt;&gt;"",N(BY24)*MAX(0,((IF(BX24="",TODAY(),BX24))-BW24)/7),0)+IF(CC24&lt;&gt;"",N(CE24)*MAX(0,((IF(CD24="",TODAY(),CD24))-CC24)/7),0)+IF(CI24&lt;&gt;"",N(CK24)*MAX(0,((IF(CJ24="",TODAY(),CJ24))-CI24)/7),0)+IF(CO24&lt;&gt;"",N(CQ24)*MAX(0,((IF(CP24="",TODAY(),CP24))-CO24)/7),0),1)</f>
        <v/>
      </c>
      <c r="DC24" s="48">
        <f>IF(OR(TRIM(X24)="",TRIM(X24)="NA;",TRIM(X24)="NA"),0,1)</f>
        <v/>
      </c>
      <c r="DD24" s="48">
        <f>IF(OR(TRIM(Y24)="",TRIM(Y24)="NA;",TRIM(Y24)="NA"),0,1)</f>
        <v/>
      </c>
      <c r="DE24" s="48">
        <f>IF(OR(TRIM(Z24)="",TRIM(Z24)="NA;",TRIM(Z24)="NA"),0,1)</f>
        <v/>
      </c>
      <c r="DF24" s="48">
        <f>IF(OR(TRIM(AA24)="",TRIM(AA24)="NA;",TRIM(AA24)="NA"),0,1)</f>
        <v/>
      </c>
      <c r="DG24" s="48">
        <f>IF(OR(TRIM(AB24)="",TRIM(AB24)="NA;",TRIM(AB24)="NA"),0,1)</f>
        <v/>
      </c>
      <c r="DH24" s="48">
        <f>IF(OR(TRIM(AC24)="",TRIM(AC24)="NA;",TRIM(AC24)="NA"),0,1)</f>
        <v/>
      </c>
      <c r="DI24" s="48">
        <f>IF(OR(TRIM(AD24)="",TRIM(AD24)="NA;",TRIM(AD24)="NA"),0,1)</f>
        <v/>
      </c>
      <c r="DJ24" s="48">
        <f>TRIM(IF(DC24=1,"Mon ","")&amp;IF(DD24=1,"Tue ","")&amp;IF(DE24=1,"Wed ","")&amp;IF(DF24=1,"Thu ","")&amp;IF(DG24=1,"Fri ","")&amp;IF(DH24=1,"Sat ","")&amp;IF(DI24=1,"Sun ",""))</f>
        <v/>
      </c>
    </row>
    <row r="25">
      <c r="A25" s="48" t="inlineStr">
        <is>
          <t>T-O-00023</t>
        </is>
      </c>
      <c r="B25" s="48" t="inlineStr">
        <is>
          <t>Layla Mosquera</t>
        </is>
      </c>
      <c r="C25" s="48" t="inlineStr">
        <is>
          <t>layla.mosquera23@example.com</t>
        </is>
      </c>
      <c r="D25" s="48" t="inlineStr">
        <is>
          <t>+61 407 300 367</t>
        </is>
      </c>
      <c r="E25" s="48" t="inlineStr">
        <is>
          <t>Aisha Silva</t>
        </is>
      </c>
      <c r="F25" s="48" t="inlineStr">
        <is>
          <t>+61 409 452 967</t>
        </is>
      </c>
      <c r="G25" s="48" t="inlineStr">
        <is>
          <t>Sibling</t>
        </is>
      </c>
      <c r="H25" s="48" t="inlineStr">
        <is>
          <t>Tutor</t>
        </is>
      </c>
      <c r="I25" s="49" t="n">
        <v>45438</v>
      </c>
      <c r="J25" s="48" t="inlineStr">
        <is>
          <t>ADM-INACT-M&amp;T</t>
        </is>
      </c>
      <c r="K25" s="48">
        <f>IFERROR(VLOOKUP(J25,'(A) Introduction'!$B$35:$C$45,2,FALSE),"")</f>
        <v/>
      </c>
      <c r="L25" s="48" t="inlineStr">
        <is>
          <t>No</t>
        </is>
      </c>
      <c r="M25" s="48" t="inlineStr"/>
      <c r="N25" s="48" t="inlineStr"/>
      <c r="O25" s="48" t="n">
        <v>2</v>
      </c>
      <c r="P25" s="48">
        <f>IF($H25="Tutor",((BQ25&lt;&gt;"")*(BR25=""))+((BW25&lt;&gt;"")*(BX25=""))+((CC25&lt;&gt;"")*(CD25=""))+((CI25&lt;&gt;"")*(CJ25=""))+((CO25&lt;&gt;"")*(CP25="")),SUMPRODUCT(--($BO$3:$BO$202=$A25),--($BR$3:$BR$202=""))+SUMPRODUCT(--($BU$3:$BU$202=$A25),--($BX$3:$BX$202=""))+SUMPRODUCT(--($CA$3:$CA$202=$A25),--($CD$3:$CD$202=""))+SUMPRODUCT(--($CG$3:$CG$202=$A25),--($CJ$3:$CJ$202=""))+SUMPRODUCT(--($CM$3:$CM$202=$A25),--($CP$3:$CP$202="")))</f>
        <v/>
      </c>
      <c r="Q25" s="48">
        <f>IF($H25="Tutor",(BQ25&lt;&gt;"")+(BW25&lt;&gt;"")+(CC25&lt;&gt;"")+(CI25&lt;&gt;"")+(CO25&lt;&gt;""),SUMPRODUCT(--($BO$3:$BO$202=$A25))+SUMPRODUCT(--($BU$3:$BU$202=$A25))+SUMPRODUCT(--($CA$3:$CA$202=$A25))+SUMPRODUCT(--($CG$3:$CG$202=$A25))+SUMPRODUCT(--($CM$3:$CM$202=$A25)))</f>
        <v/>
      </c>
      <c r="R25" s="48">
        <f>IF($H25="Tutor",TRIM(IF(AND(BQ25&lt;&gt;"",BR25=""),BP25&amp;"; ","")&amp;IF(AND(BW25&lt;&gt;"",BX25=""),BV25&amp;"; ","")&amp;IF(AND(CC25&lt;&gt;"",CD25=""),CB25&amp;"; ","")&amp;IF(AND(CI25&lt;&gt;"",CJ25=""),CH25&amp;"; ","")&amp;IF(AND(CO25&lt;&gt;"",CP25=""),CN25&amp;"; ","")),IFERROR(INDEX($A$3:$B$202,(SUMPRODUCT(($BO$3:$BO$202=$A25)*($BR$3:$BR$202="")*ROW($BO$3:$BO$202))+SUMPRODUCT(($BU$3:$BU$202=$A25)*($BX$3:$BX$202="")*ROW($BU$3:$BU$202))+SUMPRODUCT(($CA$3:$CA$202=$A25)*($CD$3:$CD$202="")*ROW($CA$3:$CA$202))+SUMPRODUCT(($CG$3:$CG$202=$A25)*($CJ$3:$CJ$202="")*ROW($CG$3:$CG$202))+SUMPRODUCT(($CM$3:$CM$202=$A25)*($CP$3:$CP$202="")*ROW($CM$3:$CM$202)))-2,2),""))</f>
        <v/>
      </c>
      <c r="S25" s="48" t="inlineStr">
        <is>
          <t>Not Provided</t>
        </is>
      </c>
      <c r="T25" s="48" t="inlineStr"/>
      <c r="U25" s="48" t="inlineStr"/>
      <c r="V25" s="49" t="n">
        <v>45683</v>
      </c>
      <c r="W25" s="48" t="inlineStr">
        <is>
          <t>AEST (UTC+10)</t>
        </is>
      </c>
      <c r="X25" s="48" t="inlineStr">
        <is>
          <t>12pm-3pm;</t>
        </is>
      </c>
      <c r="Y25" s="48" t="inlineStr">
        <is>
          <t>9am-12pm;12pm-3pm;3pm-6pm;</t>
        </is>
      </c>
      <c r="Z25" s="48" t="inlineStr">
        <is>
          <t>12pm-3pm;6pm-9pm;</t>
        </is>
      </c>
      <c r="AA25" s="48" t="inlineStr">
        <is>
          <t>9am-12pm;</t>
        </is>
      </c>
      <c r="AB25" s="48" t="inlineStr">
        <is>
          <t>9am-12pm;</t>
        </is>
      </c>
      <c r="AC25" s="48" t="inlineStr">
        <is>
          <t>9am-12pm;</t>
        </is>
      </c>
      <c r="AD25" s="48" t="inlineStr">
        <is>
          <t>6pm-9pm;</t>
        </is>
      </c>
      <c r="AE25" s="48" t="inlineStr">
        <is>
          <t>Either</t>
        </is>
      </c>
      <c r="AF25" s="48" t="inlineStr">
        <is>
          <t>NA - Tutor</t>
        </is>
      </c>
      <c r="AG25" s="48" t="inlineStr">
        <is>
          <t>Australia</t>
        </is>
      </c>
      <c r="AH25" s="48" t="inlineStr">
        <is>
          <t>New South Wales</t>
        </is>
      </c>
      <c r="AI25" s="48" t="inlineStr">
        <is>
          <t>Fairfield</t>
        </is>
      </c>
      <c r="AJ25" s="48" t="inlineStr">
        <is>
          <t>2165</t>
        </is>
      </c>
      <c r="AK25" s="49" t="n">
        <v>36914</v>
      </c>
      <c r="AL25" s="48" t="inlineStr">
        <is>
          <t>Male</t>
        </is>
      </c>
      <c r="AM25" s="48" t="inlineStr">
        <is>
          <t>NA</t>
        </is>
      </c>
      <c r="AN25" s="48" t="inlineStr">
        <is>
          <t>NA - Tutor</t>
        </is>
      </c>
      <c r="AO25" s="48" t="inlineStr">
        <is>
          <t>Moderate</t>
        </is>
      </c>
      <c r="AP25" s="48" t="inlineStr">
        <is>
          <t>China</t>
        </is>
      </c>
      <c r="AQ25" s="48" t="inlineStr">
        <is>
          <t>NA</t>
        </is>
      </c>
      <c r="AR25" s="48" t="inlineStr">
        <is>
          <t>English (C2)</t>
        </is>
      </c>
      <c r="AS25" s="48" t="inlineStr">
        <is>
          <t>Christian (Catholic)</t>
        </is>
      </c>
      <c r="AT25" s="48" t="inlineStr">
        <is>
          <t>Education &amp; Academia</t>
        </is>
      </c>
      <c r="AU25" s="48" t="inlineStr">
        <is>
          <t>Lawyer</t>
        </is>
      </c>
      <c r="AV25" s="48" t="inlineStr">
        <is>
          <t>NA - Tutor</t>
        </is>
      </c>
      <c r="AW25" s="48" t="inlineStr">
        <is>
          <t>Reading; Politics; Music</t>
        </is>
      </c>
      <c r="AX25" s="48" t="inlineStr">
        <is>
          <t>NA - Tutor</t>
        </is>
      </c>
      <c r="AY25" s="48" t="inlineStr">
        <is>
          <t>NA - Partner Organisation Verified</t>
        </is>
      </c>
      <c r="AZ25" s="48" t="inlineStr">
        <is>
          <t>NA - Partner Organisation Verified</t>
        </is>
      </c>
      <c r="BA25" s="48" t="inlineStr">
        <is>
          <t>Peter Bourne</t>
        </is>
      </c>
      <c r="BB25" s="48" t="inlineStr">
        <is>
          <t>Friend</t>
        </is>
      </c>
      <c r="BC25" s="48" t="inlineStr">
        <is>
          <t>laura.stanley523@example.com</t>
        </is>
      </c>
      <c r="BD25" s="48" t="inlineStr">
        <is>
          <t>Yes</t>
        </is>
      </c>
      <c r="BE25" s="48" t="inlineStr">
        <is>
          <t>WWC2559399E</t>
        </is>
      </c>
      <c r="BF25" s="49" t="n">
        <v>47074</v>
      </c>
      <c r="BG25" s="48" t="inlineStr">
        <is>
          <t>No</t>
        </is>
      </c>
      <c r="BH25" s="48" t="inlineStr">
        <is>
          <t>Adults Only</t>
        </is>
      </c>
      <c r="BI25" s="48" t="inlineStr">
        <is>
          <t>STARTTS</t>
        </is>
      </c>
      <c r="BJ25" s="48" t="inlineStr">
        <is>
          <t>KNIJNIK Marina</t>
        </is>
      </c>
      <c r="BK25" s="48" t="inlineStr">
        <is>
          <t>THET Moh Moh</t>
        </is>
      </c>
      <c r="BL25" s="48" t="inlineStr">
        <is>
          <t>Synthetic test record.</t>
        </is>
      </c>
      <c r="BM25" s="48" t="inlineStr"/>
      <c r="BN25" s="48">
        <f>TRIM(IF(AND($H25="Student",$J25="ADM-ACT-MAT-CNE"),"Invalid: Student cannot be CNE. ","")&amp;IF(AND($H25="Student",ISNUMBER($O25)),"Check: capacity set for a Student. ","")&amp;IF(AND(LEFT($J25,11)="ADM-ACT-MAT",$P25=0),"Check: matched status but 0 active pairings. ","")&amp;IF(AND($H25="Tutor",ISNUMBER($O25),$P25&gt;$O25),"Check: pairings exceed capacity. ","")&amp;IF(AND($BH25="Everyone",NOT(AND($BD25="Yes",$BG25="Yes"))),"Check: approved to tutor children but WWCC not provided/confirmed. ","")&amp;IF(AND($P25&gt;0,NOT(AND(OR(LEFT($AY25,3)="Yes",LEFT($AY25,2)="NA"),OR(LEFT($AZ25,3)="Yes",LEFT($AZ25,2)="NA")))),"Matched but vetting incomplete (interview/reference). ","")&amp;IF(COUNTIF($B$3:$B$600,$B25)&gt;1,"Duplicate participant name. ",""))</f>
        <v/>
      </c>
      <c r="BO25" s="48" t="inlineStr">
        <is>
          <t>S-O-00048</t>
        </is>
      </c>
      <c r="BP25" s="48">
        <f>IFERROR(VLOOKUP(BO25,$A:$B,2,FALSE),"")</f>
        <v/>
      </c>
      <c r="BQ25" s="49" t="n">
        <v>45716</v>
      </c>
      <c r="BR25" s="49" t="n">
        <v>45868</v>
      </c>
      <c r="BS25" s="48" t="n">
        <v>1</v>
      </c>
      <c r="BT25" s="48" t="inlineStr">
        <is>
          <t>KNIJNIK Marina</t>
        </is>
      </c>
      <c r="BU25" s="48" t="inlineStr"/>
      <c r="BV25" s="48" t="inlineStr"/>
      <c r="BW25" s="48" t="inlineStr"/>
      <c r="BX25" s="48" t="inlineStr"/>
      <c r="BY25" s="48" t="inlineStr"/>
      <c r="BZ25" s="48" t="inlineStr"/>
      <c r="CA25" s="48" t="inlineStr"/>
      <c r="CB25" s="48" t="inlineStr"/>
      <c r="CC25" s="48" t="inlineStr"/>
      <c r="CD25" s="48" t="inlineStr"/>
      <c r="CE25" s="48" t="inlineStr"/>
      <c r="CF25" s="48" t="inlineStr"/>
      <c r="CG25" s="48" t="inlineStr"/>
      <c r="CH25" s="48" t="inlineStr"/>
      <c r="CI25" s="48" t="inlineStr"/>
      <c r="CJ25" s="48" t="inlineStr"/>
      <c r="CK25" s="48" t="inlineStr"/>
      <c r="CL25" s="48" t="inlineStr"/>
      <c r="CM25" s="48" t="inlineStr"/>
      <c r="CN25" s="48" t="inlineStr"/>
      <c r="CO25" s="48" t="inlineStr"/>
      <c r="CP25" s="48" t="inlineStr"/>
      <c r="CQ25" s="48" t="inlineStr"/>
      <c r="CR25" s="48" t="inlineStr"/>
      <c r="CS25" s="48">
        <f>IF(LEFT($J25,3)="ERR",0,1)</f>
        <v/>
      </c>
      <c r="CT25" s="48">
        <f>IF(LEFT($J25,3)="ADM",1,0)</f>
        <v/>
      </c>
      <c r="CU25" s="48">
        <f>IF(OR($J25="ADM-ACT-MAT-CNE",$J25="ADM-ACT-MAT-CE",$J25="ADM-INACT-M&amp;T"),1,0)</f>
        <v/>
      </c>
      <c r="CV25" s="48">
        <f>IF(AND(CU25=1,ISNUMBER(M25),ISNUMBER(I25)),M25-I25,"")</f>
        <v/>
      </c>
      <c r="CW25" s="48">
        <f>IF(ISNUMBER(I25),TODAY()-I25,"")</f>
        <v/>
      </c>
      <c r="CX25" s="48">
        <f>IF(ISNUMBER(I25),DATE(YEAR(I25),MONTH(I25),1),"")</f>
        <v/>
      </c>
      <c r="CY25" s="48">
        <f>IFERROR(DATEDIF(AK25,TODAY(),"y"),"")</f>
        <v/>
      </c>
      <c r="CZ25" s="48">
        <f>IF(CY25="","",IF(CY25&lt;28,"18-27",IF(CY25&lt;38,"28-37",IF(CY25&lt;48,"38-47",IF(CY25&lt;58,"48-57",IF(CY25&lt;68,"58-67",IF(CY25&lt;78,"68-77","78+")))))) </f>
        <v/>
      </c>
      <c r="DA25" s="48">
        <f>IF(AND(BQ25&lt;&gt;"",BR25=""),N(BS25),0)+IF(AND(BW25&lt;&gt;"",BX25=""),N(BY25),0)+IF(AND(CC25&lt;&gt;"",CD25=""),N(CE25),0)+IF(AND(CI25&lt;&gt;"",CJ25=""),N(CK25),0)+IF(AND(CO25&lt;&gt;"",CP25=""),N(CQ25),0)</f>
        <v/>
      </c>
      <c r="DB25" s="48">
        <f>ROUND(IF(BQ25&lt;&gt;"",N(BS25)*MAX(0,((IF(BR25="",TODAY(),BR25))-BQ25)/7),0)+IF(BW25&lt;&gt;"",N(BY25)*MAX(0,((IF(BX25="",TODAY(),BX25))-BW25)/7),0)+IF(CC25&lt;&gt;"",N(CE25)*MAX(0,((IF(CD25="",TODAY(),CD25))-CC25)/7),0)+IF(CI25&lt;&gt;"",N(CK25)*MAX(0,((IF(CJ25="",TODAY(),CJ25))-CI25)/7),0)+IF(CO25&lt;&gt;"",N(CQ25)*MAX(0,((IF(CP25="",TODAY(),CP25))-CO25)/7),0),1)</f>
        <v/>
      </c>
      <c r="DC25" s="48">
        <f>IF(OR(TRIM(X25)="",TRIM(X25)="NA;",TRIM(X25)="NA"),0,1)</f>
        <v/>
      </c>
      <c r="DD25" s="48">
        <f>IF(OR(TRIM(Y25)="",TRIM(Y25)="NA;",TRIM(Y25)="NA"),0,1)</f>
        <v/>
      </c>
      <c r="DE25" s="48">
        <f>IF(OR(TRIM(Z25)="",TRIM(Z25)="NA;",TRIM(Z25)="NA"),0,1)</f>
        <v/>
      </c>
      <c r="DF25" s="48">
        <f>IF(OR(TRIM(AA25)="",TRIM(AA25)="NA;",TRIM(AA25)="NA"),0,1)</f>
        <v/>
      </c>
      <c r="DG25" s="48">
        <f>IF(OR(TRIM(AB25)="",TRIM(AB25)="NA;",TRIM(AB25)="NA"),0,1)</f>
        <v/>
      </c>
      <c r="DH25" s="48">
        <f>IF(OR(TRIM(AC25)="",TRIM(AC25)="NA;",TRIM(AC25)="NA"),0,1)</f>
        <v/>
      </c>
      <c r="DI25" s="48">
        <f>IF(OR(TRIM(AD25)="",TRIM(AD25)="NA;",TRIM(AD25)="NA"),0,1)</f>
        <v/>
      </c>
      <c r="DJ25" s="48">
        <f>TRIM(IF(DC25=1,"Mon ","")&amp;IF(DD25=1,"Tue ","")&amp;IF(DE25=1,"Wed ","")&amp;IF(DF25=1,"Thu ","")&amp;IF(DG25=1,"Fri ","")&amp;IF(DH25=1,"Sat ","")&amp;IF(DI25=1,"Sun ",""))</f>
        <v/>
      </c>
    </row>
    <row r="26">
      <c r="A26" s="48" t="inlineStr">
        <is>
          <t>T-O-00024</t>
        </is>
      </c>
      <c r="B26" s="48" t="inlineStr">
        <is>
          <t>Rania Bourne</t>
        </is>
      </c>
      <c r="C26" s="48" t="inlineStr">
        <is>
          <t>rania.bourne24@example.com</t>
        </is>
      </c>
      <c r="D26" s="48" t="inlineStr">
        <is>
          <t>+61 449 873 494</t>
        </is>
      </c>
      <c r="E26" s="48" t="inlineStr">
        <is>
          <t>Luke Ali</t>
        </is>
      </c>
      <c r="F26" s="48" t="inlineStr">
        <is>
          <t>+61 480 099 925</t>
        </is>
      </c>
      <c r="G26" s="48" t="inlineStr">
        <is>
          <t>Caseworker</t>
        </is>
      </c>
      <c r="H26" s="48" t="inlineStr">
        <is>
          <t>Tutor</t>
        </is>
      </c>
      <c r="I26" s="49" t="n">
        <v>45455</v>
      </c>
      <c r="J26" s="48" t="inlineStr">
        <is>
          <t>ADM-ACT-MAT-CE</t>
        </is>
      </c>
      <c r="K26" s="48">
        <f>IFERROR(VLOOKUP(J26,'(A) Introduction'!$B$35:$C$45,2,FALSE),"")</f>
        <v/>
      </c>
      <c r="L26" s="48" t="inlineStr">
        <is>
          <t>No</t>
        </is>
      </c>
      <c r="M26" s="48" t="inlineStr"/>
      <c r="N26" s="48" t="inlineStr"/>
      <c r="O26" s="48" t="n">
        <v>2</v>
      </c>
      <c r="P26" s="48">
        <f>IF($H26="Tutor",((BQ26&lt;&gt;"")*(BR26=""))+((BW26&lt;&gt;"")*(BX26=""))+((CC26&lt;&gt;"")*(CD26=""))+((CI26&lt;&gt;"")*(CJ26=""))+((CO26&lt;&gt;"")*(CP26="")),SUMPRODUCT(--($BO$3:$BO$202=$A26),--($BR$3:$BR$202=""))+SUMPRODUCT(--($BU$3:$BU$202=$A26),--($BX$3:$BX$202=""))+SUMPRODUCT(--($CA$3:$CA$202=$A26),--($CD$3:$CD$202=""))+SUMPRODUCT(--($CG$3:$CG$202=$A26),--($CJ$3:$CJ$202=""))+SUMPRODUCT(--($CM$3:$CM$202=$A26),--($CP$3:$CP$202="")))</f>
        <v/>
      </c>
      <c r="Q26" s="48">
        <f>IF($H26="Tutor",(BQ26&lt;&gt;"")+(BW26&lt;&gt;"")+(CC26&lt;&gt;"")+(CI26&lt;&gt;"")+(CO26&lt;&gt;""),SUMPRODUCT(--($BO$3:$BO$202=$A26))+SUMPRODUCT(--($BU$3:$BU$202=$A26))+SUMPRODUCT(--($CA$3:$CA$202=$A26))+SUMPRODUCT(--($CG$3:$CG$202=$A26))+SUMPRODUCT(--($CM$3:$CM$202=$A26)))</f>
        <v/>
      </c>
      <c r="R26" s="48">
        <f>IF($H26="Tutor",TRIM(IF(AND(BQ26&lt;&gt;"",BR26=""),BP26&amp;"; ","")&amp;IF(AND(BW26&lt;&gt;"",BX26=""),BV26&amp;"; ","")&amp;IF(AND(CC26&lt;&gt;"",CD26=""),CB26&amp;"; ","")&amp;IF(AND(CI26&lt;&gt;"",CJ26=""),CH26&amp;"; ","")&amp;IF(AND(CO26&lt;&gt;"",CP26=""),CN26&amp;"; ","")),IFERROR(INDEX($A$3:$B$202,(SUMPRODUCT(($BO$3:$BO$202=$A26)*($BR$3:$BR$202="")*ROW($BO$3:$BO$202))+SUMPRODUCT(($BU$3:$BU$202=$A26)*($BX$3:$BX$202="")*ROW($BU$3:$BU$202))+SUMPRODUCT(($CA$3:$CA$202=$A26)*($CD$3:$CD$202="")*ROW($CA$3:$CA$202))+SUMPRODUCT(($CG$3:$CG$202=$A26)*($CJ$3:$CJ$202="")*ROW($CG$3:$CG$202))+SUMPRODUCT(($CM$3:$CM$202=$A26)*($CP$3:$CP$202="")*ROW($CM$3:$CM$202)))-2,2),""))</f>
        <v/>
      </c>
      <c r="S26" s="48" t="inlineStr">
        <is>
          <t>Provided</t>
        </is>
      </c>
      <c r="T26" s="48" t="inlineStr"/>
      <c r="U26" s="48" t="inlineStr"/>
      <c r="V26" s="49" t="n">
        <v>45939</v>
      </c>
      <c r="W26" s="48" t="inlineStr">
        <is>
          <t>AEDT (UTC+11)</t>
        </is>
      </c>
      <c r="X26" s="48" t="inlineStr">
        <is>
          <t>6am-9am;9am-12pm;</t>
        </is>
      </c>
      <c r="Y26" s="48" t="inlineStr">
        <is>
          <t>3pm-6pm;</t>
        </is>
      </c>
      <c r="Z26" s="48" t="inlineStr">
        <is>
          <t>3pm-6pm;</t>
        </is>
      </c>
      <c r="AA26" s="48" t="inlineStr">
        <is>
          <t>NA;</t>
        </is>
      </c>
      <c r="AB26" s="48" t="inlineStr">
        <is>
          <t>12pm-3pm;6pm-9pm;</t>
        </is>
      </c>
      <c r="AC26" s="48" t="inlineStr">
        <is>
          <t>3pm-6pm;</t>
        </is>
      </c>
      <c r="AD26" s="48" t="inlineStr">
        <is>
          <t>NA;</t>
        </is>
      </c>
      <c r="AE26" s="48" t="inlineStr">
        <is>
          <t>Either</t>
        </is>
      </c>
      <c r="AF26" s="48" t="inlineStr">
        <is>
          <t>NA - Tutor</t>
        </is>
      </c>
      <c r="AG26" s="48" t="inlineStr">
        <is>
          <t>Australia</t>
        </is>
      </c>
      <c r="AH26" s="48" t="inlineStr">
        <is>
          <t>New South Wales</t>
        </is>
      </c>
      <c r="AI26" s="48" t="inlineStr">
        <is>
          <t>Campsie</t>
        </is>
      </c>
      <c r="AJ26" s="48" t="inlineStr">
        <is>
          <t>2194</t>
        </is>
      </c>
      <c r="AK26" s="49" t="n">
        <v>36820</v>
      </c>
      <c r="AL26" s="48" t="inlineStr">
        <is>
          <t>Other</t>
        </is>
      </c>
      <c r="AM26" s="48" t="inlineStr">
        <is>
          <t>NA</t>
        </is>
      </c>
      <c r="AN26" s="48" t="inlineStr">
        <is>
          <t>NA - Tutor</t>
        </is>
      </c>
      <c r="AO26" s="48" t="inlineStr">
        <is>
          <t>Low</t>
        </is>
      </c>
      <c r="AP26" s="48" t="inlineStr">
        <is>
          <t>Egypt</t>
        </is>
      </c>
      <c r="AQ26" s="48" t="inlineStr">
        <is>
          <t>NA</t>
        </is>
      </c>
      <c r="AR26" s="48" t="inlineStr">
        <is>
          <t>English (C2)</t>
        </is>
      </c>
      <c r="AS26" s="48" t="inlineStr">
        <is>
          <t>NA</t>
        </is>
      </c>
      <c r="AT26" s="48" t="inlineStr">
        <is>
          <t>Health &amp; Medicine</t>
        </is>
      </c>
      <c r="AU26" s="48" t="inlineStr">
        <is>
          <t>Student</t>
        </is>
      </c>
      <c r="AV26" s="48" t="inlineStr">
        <is>
          <t>NA - Tutor</t>
        </is>
      </c>
      <c r="AW26" s="48" t="inlineStr">
        <is>
          <t>Football; Cooking; Family</t>
        </is>
      </c>
      <c r="AX26" s="48" t="inlineStr">
        <is>
          <t>NA - Tutor</t>
        </is>
      </c>
      <c r="AY26" s="48" t="inlineStr">
        <is>
          <t>NA - Partner Organisation Verified</t>
        </is>
      </c>
      <c r="AZ26" s="48" t="inlineStr">
        <is>
          <t>Yes</t>
        </is>
      </c>
      <c r="BA26" s="48" t="inlineStr">
        <is>
          <t>James Mosquera</t>
        </is>
      </c>
      <c r="BB26" s="48" t="inlineStr">
        <is>
          <t>Academic Referee</t>
        </is>
      </c>
      <c r="BC26" s="48" t="inlineStr">
        <is>
          <t>bilal.mosquera524@example.com</t>
        </is>
      </c>
      <c r="BD26" s="48" t="inlineStr">
        <is>
          <t>Pending</t>
        </is>
      </c>
      <c r="BE26" s="48" t="inlineStr"/>
      <c r="BF26" s="48" t="inlineStr"/>
      <c r="BG26" s="48" t="inlineStr">
        <is>
          <t>Yes</t>
        </is>
      </c>
      <c r="BH26" s="48" t="inlineStr">
        <is>
          <t>Adults Only</t>
        </is>
      </c>
      <c r="BI26" s="48" t="inlineStr">
        <is>
          <t>National Justice Project</t>
        </is>
      </c>
      <c r="BJ26" s="48" t="inlineStr">
        <is>
          <t>THET Moh Moh</t>
        </is>
      </c>
      <c r="BK26" s="48" t="inlineStr">
        <is>
          <t>ZULMAN Levi</t>
        </is>
      </c>
      <c r="BL26" s="48" t="inlineStr">
        <is>
          <t>Synthetic test record.</t>
        </is>
      </c>
      <c r="BM26" s="48" t="inlineStr"/>
      <c r="BN26" s="48">
        <f>TRIM(IF(AND($H26="Student",$J26="ADM-ACT-MAT-CNE"),"Invalid: Student cannot be CNE. ","")&amp;IF(AND($H26="Student",ISNUMBER($O26)),"Check: capacity set for a Student. ","")&amp;IF(AND(LEFT($J26,11)="ADM-ACT-MAT",$P26=0),"Check: matched status but 0 active pairings. ","")&amp;IF(AND($H26="Tutor",ISNUMBER($O26),$P26&gt;$O26),"Check: pairings exceed capacity. ","")&amp;IF(AND($BH26="Everyone",NOT(AND($BD26="Yes",$BG26="Yes"))),"Check: approved to tutor children but WWCC not provided/confirmed. ","")&amp;IF(AND($P26&gt;0,NOT(AND(OR(LEFT($AY26,3)="Yes",LEFT($AY26,2)="NA"),OR(LEFT($AZ26,3)="Yes",LEFT($AZ26,2)="NA")))),"Matched but vetting incomplete (interview/reference). ","")&amp;IF(COUNTIF($B$3:$B$600,$B26)&gt;1,"Duplicate participant name. ",""))</f>
        <v/>
      </c>
      <c r="BO26" s="48" t="inlineStr">
        <is>
          <t>S-O-00034</t>
        </is>
      </c>
      <c r="BP26" s="48">
        <f>IFERROR(VLOOKUP(BO26,$A:$B,2,FALSE),"")</f>
        <v/>
      </c>
      <c r="BQ26" s="49" t="n">
        <v>45563</v>
      </c>
      <c r="BR26" s="48" t="inlineStr"/>
      <c r="BS26" s="48" t="n">
        <v>1</v>
      </c>
      <c r="BT26" s="48" t="inlineStr">
        <is>
          <t>CROCK Mary</t>
        </is>
      </c>
      <c r="BU26" s="48" t="inlineStr">
        <is>
          <t>S-N-00020</t>
        </is>
      </c>
      <c r="BV26" s="48">
        <f>IFERROR(VLOOKUP(BU26,$A:$B,2,FALSE),"")</f>
        <v/>
      </c>
      <c r="BW26" s="49" t="n">
        <v>45892</v>
      </c>
      <c r="BX26" s="48" t="inlineStr"/>
      <c r="BY26" s="48" t="n">
        <v>1</v>
      </c>
      <c r="BZ26" s="48" t="inlineStr">
        <is>
          <t>HALLORAN Isobel</t>
        </is>
      </c>
      <c r="CA26" s="48" t="inlineStr"/>
      <c r="CB26" s="48" t="inlineStr"/>
      <c r="CC26" s="48" t="inlineStr"/>
      <c r="CD26" s="48" t="inlineStr"/>
      <c r="CE26" s="48" t="inlineStr"/>
      <c r="CF26" s="48" t="inlineStr"/>
      <c r="CG26" s="48" t="inlineStr"/>
      <c r="CH26" s="48" t="inlineStr"/>
      <c r="CI26" s="48" t="inlineStr"/>
      <c r="CJ26" s="48" t="inlineStr"/>
      <c r="CK26" s="48" t="inlineStr"/>
      <c r="CL26" s="48" t="inlineStr"/>
      <c r="CM26" s="48" t="inlineStr"/>
      <c r="CN26" s="48" t="inlineStr"/>
      <c r="CO26" s="48" t="inlineStr"/>
      <c r="CP26" s="48" t="inlineStr"/>
      <c r="CQ26" s="48" t="inlineStr"/>
      <c r="CR26" s="48" t="inlineStr"/>
      <c r="CS26" s="48">
        <f>IF(LEFT($J26,3)="ERR",0,1)</f>
        <v/>
      </c>
      <c r="CT26" s="48">
        <f>IF(LEFT($J26,3)="ADM",1,0)</f>
        <v/>
      </c>
      <c r="CU26" s="48">
        <f>IF(OR($J26="ADM-ACT-MAT-CNE",$J26="ADM-ACT-MAT-CE",$J26="ADM-INACT-M&amp;T"),1,0)</f>
        <v/>
      </c>
      <c r="CV26" s="48">
        <f>IF(AND(CU26=1,ISNUMBER(M26),ISNUMBER(I26)),M26-I26,"")</f>
        <v/>
      </c>
      <c r="CW26" s="48">
        <f>IF(ISNUMBER(I26),TODAY()-I26,"")</f>
        <v/>
      </c>
      <c r="CX26" s="48">
        <f>IF(ISNUMBER(I26),DATE(YEAR(I26),MONTH(I26),1),"")</f>
        <v/>
      </c>
      <c r="CY26" s="48">
        <f>IFERROR(DATEDIF(AK26,TODAY(),"y"),"")</f>
        <v/>
      </c>
      <c r="CZ26" s="48">
        <f>IF(CY26="","",IF(CY26&lt;28,"18-27",IF(CY26&lt;38,"28-37",IF(CY26&lt;48,"38-47",IF(CY26&lt;58,"48-57",IF(CY26&lt;68,"58-67",IF(CY26&lt;78,"68-77","78+")))))) </f>
        <v/>
      </c>
      <c r="DA26" s="48">
        <f>IF(AND(BQ26&lt;&gt;"",BR26=""),N(BS26),0)+IF(AND(BW26&lt;&gt;"",BX26=""),N(BY26),0)+IF(AND(CC26&lt;&gt;"",CD26=""),N(CE26),0)+IF(AND(CI26&lt;&gt;"",CJ26=""),N(CK26),0)+IF(AND(CO26&lt;&gt;"",CP26=""),N(CQ26),0)</f>
        <v/>
      </c>
      <c r="DB26" s="48">
        <f>ROUND(IF(BQ26&lt;&gt;"",N(BS26)*MAX(0,((IF(BR26="",TODAY(),BR26))-BQ26)/7),0)+IF(BW26&lt;&gt;"",N(BY26)*MAX(0,((IF(BX26="",TODAY(),BX26))-BW26)/7),0)+IF(CC26&lt;&gt;"",N(CE26)*MAX(0,((IF(CD26="",TODAY(),CD26))-CC26)/7),0)+IF(CI26&lt;&gt;"",N(CK26)*MAX(0,((IF(CJ26="",TODAY(),CJ26))-CI26)/7),0)+IF(CO26&lt;&gt;"",N(CQ26)*MAX(0,((IF(CP26="",TODAY(),CP26))-CO26)/7),0),1)</f>
        <v/>
      </c>
      <c r="DC26" s="48">
        <f>IF(OR(TRIM(X26)="",TRIM(X26)="NA;",TRIM(X26)="NA"),0,1)</f>
        <v/>
      </c>
      <c r="DD26" s="48">
        <f>IF(OR(TRIM(Y26)="",TRIM(Y26)="NA;",TRIM(Y26)="NA"),0,1)</f>
        <v/>
      </c>
      <c r="DE26" s="48">
        <f>IF(OR(TRIM(Z26)="",TRIM(Z26)="NA;",TRIM(Z26)="NA"),0,1)</f>
        <v/>
      </c>
      <c r="DF26" s="48">
        <f>IF(OR(TRIM(AA26)="",TRIM(AA26)="NA;",TRIM(AA26)="NA"),0,1)</f>
        <v/>
      </c>
      <c r="DG26" s="48">
        <f>IF(OR(TRIM(AB26)="",TRIM(AB26)="NA;",TRIM(AB26)="NA"),0,1)</f>
        <v/>
      </c>
      <c r="DH26" s="48">
        <f>IF(OR(TRIM(AC26)="",TRIM(AC26)="NA;",TRIM(AC26)="NA"),0,1)</f>
        <v/>
      </c>
      <c r="DI26" s="48">
        <f>IF(OR(TRIM(AD26)="",TRIM(AD26)="NA;",TRIM(AD26)="NA"),0,1)</f>
        <v/>
      </c>
      <c r="DJ26" s="48">
        <f>TRIM(IF(DC26=1,"Mon ","")&amp;IF(DD26=1,"Tue ","")&amp;IF(DE26=1,"Wed ","")&amp;IF(DF26=1,"Thu ","")&amp;IF(DG26=1,"Fri ","")&amp;IF(DH26=1,"Sat ","")&amp;IF(DI26=1,"Sun ",""))</f>
        <v/>
      </c>
    </row>
    <row r="27">
      <c r="A27" s="48" t="inlineStr">
        <is>
          <t>T-O-00025</t>
        </is>
      </c>
      <c r="B27" s="48" t="inlineStr">
        <is>
          <t>Peter Morris</t>
        </is>
      </c>
      <c r="C27" s="48" t="inlineStr">
        <is>
          <t>peter.morris25@example.com</t>
        </is>
      </c>
      <c r="D27" s="48" t="inlineStr">
        <is>
          <t>+61 411 931 302</t>
        </is>
      </c>
      <c r="E27" s="48" t="inlineStr">
        <is>
          <t>Mark Cohen</t>
        </is>
      </c>
      <c r="F27" s="48" t="inlineStr">
        <is>
          <t>+61 471 374 092</t>
        </is>
      </c>
      <c r="G27" s="48" t="inlineStr">
        <is>
          <t>Adult Child</t>
        </is>
      </c>
      <c r="H27" s="48" t="inlineStr">
        <is>
          <t>Tutor</t>
        </is>
      </c>
      <c r="I27" s="49" t="n">
        <v>45459</v>
      </c>
      <c r="J27" s="48" t="inlineStr">
        <is>
          <t>ADM-ACT-MAT-CE</t>
        </is>
      </c>
      <c r="K27" s="48">
        <f>IFERROR(VLOOKUP(J27,'(A) Introduction'!$B$35:$C$45,2,FALSE),"")</f>
        <v/>
      </c>
      <c r="L27" s="48" t="inlineStr">
        <is>
          <t>No</t>
        </is>
      </c>
      <c r="M27" s="48" t="inlineStr"/>
      <c r="N27" s="48" t="inlineStr"/>
      <c r="O27" s="48" t="n">
        <v>2</v>
      </c>
      <c r="P27" s="48">
        <f>IF($H27="Tutor",((BQ27&lt;&gt;"")*(BR27=""))+((BW27&lt;&gt;"")*(BX27=""))+((CC27&lt;&gt;"")*(CD27=""))+((CI27&lt;&gt;"")*(CJ27=""))+((CO27&lt;&gt;"")*(CP27="")),SUMPRODUCT(--($BO$3:$BO$202=$A27),--($BR$3:$BR$202=""))+SUMPRODUCT(--($BU$3:$BU$202=$A27),--($BX$3:$BX$202=""))+SUMPRODUCT(--($CA$3:$CA$202=$A27),--($CD$3:$CD$202=""))+SUMPRODUCT(--($CG$3:$CG$202=$A27),--($CJ$3:$CJ$202=""))+SUMPRODUCT(--($CM$3:$CM$202=$A27),--($CP$3:$CP$202="")))</f>
        <v/>
      </c>
      <c r="Q27" s="48">
        <f>IF($H27="Tutor",(BQ27&lt;&gt;"")+(BW27&lt;&gt;"")+(CC27&lt;&gt;"")+(CI27&lt;&gt;"")+(CO27&lt;&gt;""),SUMPRODUCT(--($BO$3:$BO$202=$A27))+SUMPRODUCT(--($BU$3:$BU$202=$A27))+SUMPRODUCT(--($CA$3:$CA$202=$A27))+SUMPRODUCT(--($CG$3:$CG$202=$A27))+SUMPRODUCT(--($CM$3:$CM$202=$A27)))</f>
        <v/>
      </c>
      <c r="R27" s="48">
        <f>IF($H27="Tutor",TRIM(IF(AND(BQ27&lt;&gt;"",BR27=""),BP27&amp;"; ","")&amp;IF(AND(BW27&lt;&gt;"",BX27=""),BV27&amp;"; ","")&amp;IF(AND(CC27&lt;&gt;"",CD27=""),CB27&amp;"; ","")&amp;IF(AND(CI27&lt;&gt;"",CJ27=""),CH27&amp;"; ","")&amp;IF(AND(CO27&lt;&gt;"",CP27=""),CN27&amp;"; ","")),IFERROR(INDEX($A$3:$B$202,(SUMPRODUCT(($BO$3:$BO$202=$A27)*($BR$3:$BR$202="")*ROW($BO$3:$BO$202))+SUMPRODUCT(($BU$3:$BU$202=$A27)*($BX$3:$BX$202="")*ROW($BU$3:$BU$202))+SUMPRODUCT(($CA$3:$CA$202=$A27)*($CD$3:$CD$202="")*ROW($CA$3:$CA$202))+SUMPRODUCT(($CG$3:$CG$202=$A27)*($CJ$3:$CJ$202="")*ROW($CG$3:$CG$202))+SUMPRODUCT(($CM$3:$CM$202=$A27)*($CP$3:$CP$202="")*ROW($CM$3:$CM$202)))-2,2),""))</f>
        <v/>
      </c>
      <c r="S27" s="48" t="inlineStr">
        <is>
          <t>NA</t>
        </is>
      </c>
      <c r="T27" s="48" t="inlineStr"/>
      <c r="U27" s="48" t="inlineStr"/>
      <c r="V27" s="49" t="n">
        <v>45771</v>
      </c>
      <c r="W27" s="48" t="inlineStr">
        <is>
          <t>AEDT (UTC+11)</t>
        </is>
      </c>
      <c r="X27" s="48" t="inlineStr">
        <is>
          <t>9am-12pm;</t>
        </is>
      </c>
      <c r="Y27" s="48" t="inlineStr">
        <is>
          <t>12pm-3pm;</t>
        </is>
      </c>
      <c r="Z27" s="48" t="inlineStr">
        <is>
          <t>9am-12pm;</t>
        </is>
      </c>
      <c r="AA27" s="48" t="inlineStr">
        <is>
          <t>9am-12pm;12pm-3pm;3pm-6pm;</t>
        </is>
      </c>
      <c r="AB27" s="48" t="inlineStr">
        <is>
          <t>6am-9am;9am-12pm;</t>
        </is>
      </c>
      <c r="AC27" s="48" t="inlineStr">
        <is>
          <t>9am-12pm;12pm-3pm;3pm-6pm;</t>
        </is>
      </c>
      <c r="AD27" s="48" t="inlineStr">
        <is>
          <t>9am-12pm;12pm-3pm;3pm-6pm;</t>
        </is>
      </c>
      <c r="AE27" s="48" t="inlineStr">
        <is>
          <t>In-Person</t>
        </is>
      </c>
      <c r="AF27" s="48" t="inlineStr">
        <is>
          <t>NA - Tutor</t>
        </is>
      </c>
      <c r="AG27" s="48" t="inlineStr">
        <is>
          <t>Australia</t>
        </is>
      </c>
      <c r="AH27" s="48" t="inlineStr">
        <is>
          <t>New South Wales</t>
        </is>
      </c>
      <c r="AI27" s="48" t="inlineStr">
        <is>
          <t>Kogarah</t>
        </is>
      </c>
      <c r="AJ27" s="48" t="inlineStr">
        <is>
          <t>2217</t>
        </is>
      </c>
      <c r="AK27" s="49" t="n">
        <v>36253</v>
      </c>
      <c r="AL27" s="48" t="inlineStr">
        <is>
          <t>Female</t>
        </is>
      </c>
      <c r="AM27" s="48" t="inlineStr">
        <is>
          <t>NA</t>
        </is>
      </c>
      <c r="AN27" s="48" t="inlineStr">
        <is>
          <t>NA - Tutor</t>
        </is>
      </c>
      <c r="AO27" s="48" t="inlineStr">
        <is>
          <t>High</t>
        </is>
      </c>
      <c r="AP27" s="48" t="inlineStr">
        <is>
          <t>China</t>
        </is>
      </c>
      <c r="AQ27" s="48" t="inlineStr">
        <is>
          <t>NA</t>
        </is>
      </c>
      <c r="AR27" s="48" t="inlineStr">
        <is>
          <t>English (C2)</t>
        </is>
      </c>
      <c r="AS27" s="48" t="inlineStr">
        <is>
          <t>None</t>
        </is>
      </c>
      <c r="AT27" s="48" t="inlineStr">
        <is>
          <t>Trades &amp; Construction</t>
        </is>
      </c>
      <c r="AU27" s="48" t="inlineStr">
        <is>
          <t>Community Worker</t>
        </is>
      </c>
      <c r="AV27" s="48" t="inlineStr">
        <is>
          <t>NA - Tutor</t>
        </is>
      </c>
      <c r="AW27" s="48" t="inlineStr">
        <is>
          <t>Gardening; Cooking; Walking</t>
        </is>
      </c>
      <c r="AX27" s="48" t="inlineStr">
        <is>
          <t>NA - Tutor</t>
        </is>
      </c>
      <c r="AY27" s="48" t="inlineStr">
        <is>
          <t>Yes</t>
        </is>
      </c>
      <c r="AZ27" s="48" t="inlineStr">
        <is>
          <t>NA - Partner Organisation Verified</t>
        </is>
      </c>
      <c r="BA27" s="48" t="inlineStr">
        <is>
          <t>Amir Stanley</t>
        </is>
      </c>
      <c r="BB27" s="48" t="inlineStr">
        <is>
          <t>Colleague</t>
        </is>
      </c>
      <c r="BC27" s="48" t="inlineStr">
        <is>
          <t>rania.morris525@example.com</t>
        </is>
      </c>
      <c r="BD27" s="48" t="inlineStr">
        <is>
          <t>Yes</t>
        </is>
      </c>
      <c r="BE27" s="48" t="inlineStr">
        <is>
          <t>WWC6733527V</t>
        </is>
      </c>
      <c r="BF27" s="49" t="n">
        <v>46482</v>
      </c>
      <c r="BG27" s="48" t="inlineStr">
        <is>
          <t>Yes</t>
        </is>
      </c>
      <c r="BH27" s="48" t="inlineStr">
        <is>
          <t>Adults Only</t>
        </is>
      </c>
      <c r="BI27" s="48" t="inlineStr">
        <is>
          <t>Kaldor Centre for International Refugee Law</t>
        </is>
      </c>
      <c r="BJ27" s="48" t="inlineStr">
        <is>
          <t>THET Moh Moh</t>
        </is>
      </c>
      <c r="BK27" s="48" t="inlineStr">
        <is>
          <t>ZULMAN Levi</t>
        </is>
      </c>
      <c r="BL27" s="48" t="inlineStr">
        <is>
          <t>Synthetic test record.</t>
        </is>
      </c>
      <c r="BM27" s="48" t="inlineStr"/>
      <c r="BN27" s="48">
        <f>TRIM(IF(AND($H27="Student",$J27="ADM-ACT-MAT-CNE"),"Invalid: Student cannot be CNE. ","")&amp;IF(AND($H27="Student",ISNUMBER($O27)),"Check: capacity set for a Student. ","")&amp;IF(AND(LEFT($J27,11)="ADM-ACT-MAT",$P27=0),"Check: matched status but 0 active pairings. ","")&amp;IF(AND($H27="Tutor",ISNUMBER($O27),$P27&gt;$O27),"Check: pairings exceed capacity. ","")&amp;IF(AND($BH27="Everyone",NOT(AND($BD27="Yes",$BG27="Yes"))),"Check: approved to tutor children but WWCC not provided/confirmed. ","")&amp;IF(AND($P27&gt;0,NOT(AND(OR(LEFT($AY27,3)="Yes",LEFT($AY27,2)="NA"),OR(LEFT($AZ27,3)="Yes",LEFT($AZ27,2)="NA")))),"Matched but vetting incomplete (interview/reference). ","")&amp;IF(COUNTIF($B$3:$B$600,$B27)&gt;1,"Duplicate participant name. ",""))</f>
        <v/>
      </c>
      <c r="BO27" s="48" t="inlineStr">
        <is>
          <t>S-N-00014</t>
        </is>
      </c>
      <c r="BP27" s="48">
        <f>IFERROR(VLOOKUP(BO27,$A:$B,2,FALSE),"")</f>
        <v/>
      </c>
      <c r="BQ27" s="49" t="n">
        <v>45868</v>
      </c>
      <c r="BR27" s="48" t="inlineStr"/>
      <c r="BS27" s="48" t="n">
        <v>1</v>
      </c>
      <c r="BT27" s="48" t="inlineStr">
        <is>
          <t>THET Moh Moh</t>
        </is>
      </c>
      <c r="BU27" s="48" t="inlineStr">
        <is>
          <t>S-N-00019</t>
        </is>
      </c>
      <c r="BV27" s="48">
        <f>IFERROR(VLOOKUP(BU27,$A:$B,2,FALSE),"")</f>
        <v/>
      </c>
      <c r="BW27" s="49" t="n">
        <v>45919</v>
      </c>
      <c r="BX27" s="48" t="inlineStr"/>
      <c r="BY27" s="48" t="n">
        <v>1</v>
      </c>
      <c r="BZ27" s="48" t="inlineStr">
        <is>
          <t>SHANAHAN Jack</t>
        </is>
      </c>
      <c r="CA27" s="48" t="inlineStr"/>
      <c r="CB27" s="48" t="inlineStr"/>
      <c r="CC27" s="48" t="inlineStr"/>
      <c r="CD27" s="48" t="inlineStr"/>
      <c r="CE27" s="48" t="inlineStr"/>
      <c r="CF27" s="48" t="inlineStr"/>
      <c r="CG27" s="48" t="inlineStr"/>
      <c r="CH27" s="48" t="inlineStr"/>
      <c r="CI27" s="48" t="inlineStr"/>
      <c r="CJ27" s="48" t="inlineStr"/>
      <c r="CK27" s="48" t="inlineStr"/>
      <c r="CL27" s="48" t="inlineStr"/>
      <c r="CM27" s="48" t="inlineStr"/>
      <c r="CN27" s="48" t="inlineStr"/>
      <c r="CO27" s="48" t="inlineStr"/>
      <c r="CP27" s="48" t="inlineStr"/>
      <c r="CQ27" s="48" t="inlineStr"/>
      <c r="CR27" s="48" t="inlineStr"/>
      <c r="CS27" s="48">
        <f>IF(LEFT($J27,3)="ERR",0,1)</f>
        <v/>
      </c>
      <c r="CT27" s="48">
        <f>IF(LEFT($J27,3)="ADM",1,0)</f>
        <v/>
      </c>
      <c r="CU27" s="48">
        <f>IF(OR($J27="ADM-ACT-MAT-CNE",$J27="ADM-ACT-MAT-CE",$J27="ADM-INACT-M&amp;T"),1,0)</f>
        <v/>
      </c>
      <c r="CV27" s="48">
        <f>IF(AND(CU27=1,ISNUMBER(M27),ISNUMBER(I27)),M27-I27,"")</f>
        <v/>
      </c>
      <c r="CW27" s="48">
        <f>IF(ISNUMBER(I27),TODAY()-I27,"")</f>
        <v/>
      </c>
      <c r="CX27" s="48">
        <f>IF(ISNUMBER(I27),DATE(YEAR(I27),MONTH(I27),1),"")</f>
        <v/>
      </c>
      <c r="CY27" s="48">
        <f>IFERROR(DATEDIF(AK27,TODAY(),"y"),"")</f>
        <v/>
      </c>
      <c r="CZ27" s="48">
        <f>IF(CY27="","",IF(CY27&lt;28,"18-27",IF(CY27&lt;38,"28-37",IF(CY27&lt;48,"38-47",IF(CY27&lt;58,"48-57",IF(CY27&lt;68,"58-67",IF(CY27&lt;78,"68-77","78+")))))) </f>
        <v/>
      </c>
      <c r="DA27" s="48">
        <f>IF(AND(BQ27&lt;&gt;"",BR27=""),N(BS27),0)+IF(AND(BW27&lt;&gt;"",BX27=""),N(BY27),0)+IF(AND(CC27&lt;&gt;"",CD27=""),N(CE27),0)+IF(AND(CI27&lt;&gt;"",CJ27=""),N(CK27),0)+IF(AND(CO27&lt;&gt;"",CP27=""),N(CQ27),0)</f>
        <v/>
      </c>
      <c r="DB27" s="48">
        <f>ROUND(IF(BQ27&lt;&gt;"",N(BS27)*MAX(0,((IF(BR27="",TODAY(),BR27))-BQ27)/7),0)+IF(BW27&lt;&gt;"",N(BY27)*MAX(0,((IF(BX27="",TODAY(),BX27))-BW27)/7),0)+IF(CC27&lt;&gt;"",N(CE27)*MAX(0,((IF(CD27="",TODAY(),CD27))-CC27)/7),0)+IF(CI27&lt;&gt;"",N(CK27)*MAX(0,((IF(CJ27="",TODAY(),CJ27))-CI27)/7),0)+IF(CO27&lt;&gt;"",N(CQ27)*MAX(0,((IF(CP27="",TODAY(),CP27))-CO27)/7),0),1)</f>
        <v/>
      </c>
      <c r="DC27" s="48">
        <f>IF(OR(TRIM(X27)="",TRIM(X27)="NA;",TRIM(X27)="NA"),0,1)</f>
        <v/>
      </c>
      <c r="DD27" s="48">
        <f>IF(OR(TRIM(Y27)="",TRIM(Y27)="NA;",TRIM(Y27)="NA"),0,1)</f>
        <v/>
      </c>
      <c r="DE27" s="48">
        <f>IF(OR(TRIM(Z27)="",TRIM(Z27)="NA;",TRIM(Z27)="NA"),0,1)</f>
        <v/>
      </c>
      <c r="DF27" s="48">
        <f>IF(OR(TRIM(AA27)="",TRIM(AA27)="NA;",TRIM(AA27)="NA"),0,1)</f>
        <v/>
      </c>
      <c r="DG27" s="48">
        <f>IF(OR(TRIM(AB27)="",TRIM(AB27)="NA;",TRIM(AB27)="NA"),0,1)</f>
        <v/>
      </c>
      <c r="DH27" s="48">
        <f>IF(OR(TRIM(AC27)="",TRIM(AC27)="NA;",TRIM(AC27)="NA"),0,1)</f>
        <v/>
      </c>
      <c r="DI27" s="48">
        <f>IF(OR(TRIM(AD27)="",TRIM(AD27)="NA;",TRIM(AD27)="NA"),0,1)</f>
        <v/>
      </c>
      <c r="DJ27" s="48">
        <f>TRIM(IF(DC27=1,"Mon ","")&amp;IF(DD27=1,"Tue ","")&amp;IF(DE27=1,"Wed ","")&amp;IF(DF27=1,"Thu ","")&amp;IF(DG27=1,"Fri ","")&amp;IF(DH27=1,"Sat ","")&amp;IF(DI27=1,"Sun ",""))</f>
        <v/>
      </c>
    </row>
    <row r="28">
      <c r="A28" s="48" t="inlineStr">
        <is>
          <t>T-O-00026</t>
        </is>
      </c>
      <c r="B28" s="48" t="inlineStr">
        <is>
          <t>Mark Stanley</t>
        </is>
      </c>
      <c r="C28" s="48" t="inlineStr">
        <is>
          <t>mark.stanley26@example.com</t>
        </is>
      </c>
      <c r="D28" s="48" t="inlineStr">
        <is>
          <t>+61 448 842 653</t>
        </is>
      </c>
      <c r="E28" s="48" t="inlineStr">
        <is>
          <t>Tariq Jones</t>
        </is>
      </c>
      <c r="F28" s="48" t="inlineStr">
        <is>
          <t>+61 447 686 972</t>
        </is>
      </c>
      <c r="G28" s="48" t="inlineStr">
        <is>
          <t>Caseworker</t>
        </is>
      </c>
      <c r="H28" s="48" t="inlineStr">
        <is>
          <t>Tutor</t>
        </is>
      </c>
      <c r="I28" s="49" t="n">
        <v>45462</v>
      </c>
      <c r="J28" s="48" t="inlineStr">
        <is>
          <t>ADM-ACT-MAT-CNE</t>
        </is>
      </c>
      <c r="K28" s="48">
        <f>IFERROR(VLOOKUP(J28,'(A) Introduction'!$B$35:$C$45,2,FALSE),"")</f>
        <v/>
      </c>
      <c r="L28" s="48" t="inlineStr">
        <is>
          <t>No</t>
        </is>
      </c>
      <c r="M28" s="48" t="inlineStr"/>
      <c r="N28" s="48" t="inlineStr"/>
      <c r="O28" s="48" t="n">
        <v>3</v>
      </c>
      <c r="P28" s="48">
        <f>IF($H28="Tutor",((BQ28&lt;&gt;"")*(BR28=""))+((BW28&lt;&gt;"")*(BX28=""))+((CC28&lt;&gt;"")*(CD28=""))+((CI28&lt;&gt;"")*(CJ28=""))+((CO28&lt;&gt;"")*(CP28="")),SUMPRODUCT(--($BO$3:$BO$202=$A28),--($BR$3:$BR$202=""))+SUMPRODUCT(--($BU$3:$BU$202=$A28),--($BX$3:$BX$202=""))+SUMPRODUCT(--($CA$3:$CA$202=$A28),--($CD$3:$CD$202=""))+SUMPRODUCT(--($CG$3:$CG$202=$A28),--($CJ$3:$CJ$202=""))+SUMPRODUCT(--($CM$3:$CM$202=$A28),--($CP$3:$CP$202="")))</f>
        <v/>
      </c>
      <c r="Q28" s="48">
        <f>IF($H28="Tutor",(BQ28&lt;&gt;"")+(BW28&lt;&gt;"")+(CC28&lt;&gt;"")+(CI28&lt;&gt;"")+(CO28&lt;&gt;""),SUMPRODUCT(--($BO$3:$BO$202=$A28))+SUMPRODUCT(--($BU$3:$BU$202=$A28))+SUMPRODUCT(--($CA$3:$CA$202=$A28))+SUMPRODUCT(--($CG$3:$CG$202=$A28))+SUMPRODUCT(--($CM$3:$CM$202=$A28)))</f>
        <v/>
      </c>
      <c r="R28" s="48">
        <f>IF($H28="Tutor",TRIM(IF(AND(BQ28&lt;&gt;"",BR28=""),BP28&amp;"; ","")&amp;IF(AND(BW28&lt;&gt;"",BX28=""),BV28&amp;"; ","")&amp;IF(AND(CC28&lt;&gt;"",CD28=""),CB28&amp;"; ","")&amp;IF(AND(CI28&lt;&gt;"",CJ28=""),CH28&amp;"; ","")&amp;IF(AND(CO28&lt;&gt;"",CP28=""),CN28&amp;"; ","")),IFERROR(INDEX($A$3:$B$202,(SUMPRODUCT(($BO$3:$BO$202=$A28)*($BR$3:$BR$202="")*ROW($BO$3:$BO$202))+SUMPRODUCT(($BU$3:$BU$202=$A28)*($BX$3:$BX$202="")*ROW($BU$3:$BU$202))+SUMPRODUCT(($CA$3:$CA$202=$A28)*($CD$3:$CD$202="")*ROW($CA$3:$CA$202))+SUMPRODUCT(($CG$3:$CG$202=$A28)*($CJ$3:$CJ$202="")*ROW($CG$3:$CG$202))+SUMPRODUCT(($CM$3:$CM$202=$A28)*($CP$3:$CP$202="")*ROW($CM$3:$CM$202)))-2,2),""))</f>
        <v/>
      </c>
      <c r="S28" s="48" t="inlineStr">
        <is>
          <t>Provided</t>
        </is>
      </c>
      <c r="T28" s="48" t="inlineStr"/>
      <c r="U28" s="48" t="inlineStr"/>
      <c r="V28" s="49" t="n">
        <v>46146</v>
      </c>
      <c r="W28" s="48" t="inlineStr">
        <is>
          <t>ACDT (UTC+10:30)</t>
        </is>
      </c>
      <c r="X28" s="48" t="inlineStr">
        <is>
          <t>12pm-3pm;</t>
        </is>
      </c>
      <c r="Y28" s="48" t="inlineStr">
        <is>
          <t>6pm-9pm;</t>
        </is>
      </c>
      <c r="Z28" s="48" t="inlineStr">
        <is>
          <t>NA;</t>
        </is>
      </c>
      <c r="AA28" s="48" t="inlineStr">
        <is>
          <t>9am-12pm;12pm-3pm;3pm-6pm;</t>
        </is>
      </c>
      <c r="AB28" s="48" t="inlineStr">
        <is>
          <t>6am-9am;9am-12pm;</t>
        </is>
      </c>
      <c r="AC28" s="48" t="inlineStr">
        <is>
          <t>12pm-3pm;</t>
        </is>
      </c>
      <c r="AD28" s="48" t="inlineStr">
        <is>
          <t>6pm-9pm;</t>
        </is>
      </c>
      <c r="AE28" s="48" t="inlineStr">
        <is>
          <t>Either</t>
        </is>
      </c>
      <c r="AF28" s="48" t="inlineStr">
        <is>
          <t>NA - Tutor</t>
        </is>
      </c>
      <c r="AG28" s="48" t="inlineStr">
        <is>
          <t>Australia</t>
        </is>
      </c>
      <c r="AH28" s="48" t="inlineStr">
        <is>
          <t>Queensland</t>
        </is>
      </c>
      <c r="AI28" s="48" t="inlineStr">
        <is>
          <t>Logan</t>
        </is>
      </c>
      <c r="AJ28" s="48" t="inlineStr">
        <is>
          <t>4114</t>
        </is>
      </c>
      <c r="AK28" s="49" t="n">
        <v>36145</v>
      </c>
      <c r="AL28" s="48" t="inlineStr">
        <is>
          <t>Male</t>
        </is>
      </c>
      <c r="AM28" s="48" t="inlineStr">
        <is>
          <t>NA</t>
        </is>
      </c>
      <c r="AN28" s="48" t="inlineStr">
        <is>
          <t>NA - Tutor</t>
        </is>
      </c>
      <c r="AO28" s="48" t="inlineStr">
        <is>
          <t>High</t>
        </is>
      </c>
      <c r="AP28" s="48" t="inlineStr">
        <is>
          <t>Vietnam</t>
        </is>
      </c>
      <c r="AQ28" s="48" t="inlineStr">
        <is>
          <t>NA</t>
        </is>
      </c>
      <c r="AR28" s="48" t="inlineStr">
        <is>
          <t>English (C2)</t>
        </is>
      </c>
      <c r="AS28" s="48" t="inlineStr">
        <is>
          <t>Hindu</t>
        </is>
      </c>
      <c r="AT28" s="48" t="inlineStr">
        <is>
          <t>Business &amp; Finance</t>
        </is>
      </c>
      <c r="AU28" s="48" t="inlineStr">
        <is>
          <t>Nurse</t>
        </is>
      </c>
      <c r="AV28" s="48" t="inlineStr">
        <is>
          <t>NA - Tutor</t>
        </is>
      </c>
      <c r="AW28" s="48" t="inlineStr">
        <is>
          <t>Cooking; Reading; Music</t>
        </is>
      </c>
      <c r="AX28" s="48" t="inlineStr">
        <is>
          <t>NA - Tutor</t>
        </is>
      </c>
      <c r="AY28" s="48" t="inlineStr">
        <is>
          <t>Yes</t>
        </is>
      </c>
      <c r="AZ28" s="48" t="inlineStr">
        <is>
          <t>No</t>
        </is>
      </c>
      <c r="BA28" s="48" t="inlineStr">
        <is>
          <t>Laura Hall</t>
        </is>
      </c>
      <c r="BB28" s="48" t="inlineStr">
        <is>
          <t>Friend</t>
        </is>
      </c>
      <c r="BC28" s="48" t="inlineStr">
        <is>
          <t>peter.petrov526@example.com</t>
        </is>
      </c>
      <c r="BD28" s="48" t="inlineStr">
        <is>
          <t>Yes</t>
        </is>
      </c>
      <c r="BE28" s="48" t="inlineStr">
        <is>
          <t>WWC3601637V</t>
        </is>
      </c>
      <c r="BF28" s="49" t="n">
        <v>47102</v>
      </c>
      <c r="BG28" s="48" t="inlineStr">
        <is>
          <t>Yes</t>
        </is>
      </c>
      <c r="BH28" s="48" t="inlineStr">
        <is>
          <t>Adults Only</t>
        </is>
      </c>
      <c r="BI28" s="48" t="inlineStr">
        <is>
          <t>Kaldor Centre for International Refugee Law</t>
        </is>
      </c>
      <c r="BJ28" s="48" t="inlineStr">
        <is>
          <t>SHANAHAN Jack</t>
        </is>
      </c>
      <c r="BK28" s="48" t="inlineStr">
        <is>
          <t>HALLORAN Isobel</t>
        </is>
      </c>
      <c r="BL28" s="48" t="inlineStr">
        <is>
          <t>Synthetic test record.</t>
        </is>
      </c>
      <c r="BM28" s="48" t="inlineStr"/>
      <c r="BN28" s="48">
        <f>TRIM(IF(AND($H28="Student",$J28="ADM-ACT-MAT-CNE"),"Invalid: Student cannot be CNE. ","")&amp;IF(AND($H28="Student",ISNUMBER($O28)),"Check: capacity set for a Student. ","")&amp;IF(AND(LEFT($J28,11)="ADM-ACT-MAT",$P28=0),"Check: matched status but 0 active pairings. ","")&amp;IF(AND($H28="Tutor",ISNUMBER($O28),$P28&gt;$O28),"Check: pairings exceed capacity. ","")&amp;IF(AND($BH28="Everyone",NOT(AND($BD28="Yes",$BG28="Yes"))),"Check: approved to tutor children but WWCC not provided/confirmed. ","")&amp;IF(AND($P28&gt;0,NOT(AND(OR(LEFT($AY28,3)="Yes",LEFT($AY28,2)="NA"),OR(LEFT($AZ28,3)="Yes",LEFT($AZ28,2)="NA")))),"Matched but vetting incomplete (interview/reference). ","")&amp;IF(COUNTIF($B$3:$B$600,$B28)&gt;1,"Duplicate participant name. ",""))</f>
        <v/>
      </c>
      <c r="BO28" s="48" t="inlineStr">
        <is>
          <t>S-O-00019</t>
        </is>
      </c>
      <c r="BP28" s="48">
        <f>IFERROR(VLOOKUP(BO28,$A:$B,2,FALSE),"")</f>
        <v/>
      </c>
      <c r="BQ28" s="49" t="n">
        <v>45545</v>
      </c>
      <c r="BR28" s="48" t="inlineStr"/>
      <c r="BS28" s="48" t="n">
        <v>1</v>
      </c>
      <c r="BT28" s="48" t="inlineStr">
        <is>
          <t>KNIJNIK Marina</t>
        </is>
      </c>
      <c r="BU28" s="48" t="inlineStr"/>
      <c r="BV28" s="48" t="inlineStr"/>
      <c r="BW28" s="48" t="inlineStr"/>
      <c r="BX28" s="48" t="inlineStr"/>
      <c r="BY28" s="48" t="inlineStr"/>
      <c r="BZ28" s="48" t="inlineStr"/>
      <c r="CA28" s="48" t="inlineStr"/>
      <c r="CB28" s="48" t="inlineStr"/>
      <c r="CC28" s="48" t="inlineStr"/>
      <c r="CD28" s="48" t="inlineStr"/>
      <c r="CE28" s="48" t="inlineStr"/>
      <c r="CF28" s="48" t="inlineStr"/>
      <c r="CG28" s="48" t="inlineStr"/>
      <c r="CH28" s="48" t="inlineStr"/>
      <c r="CI28" s="48" t="inlineStr"/>
      <c r="CJ28" s="48" t="inlineStr"/>
      <c r="CK28" s="48" t="inlineStr"/>
      <c r="CL28" s="48" t="inlineStr"/>
      <c r="CM28" s="48" t="inlineStr"/>
      <c r="CN28" s="48" t="inlineStr"/>
      <c r="CO28" s="48" t="inlineStr"/>
      <c r="CP28" s="48" t="inlineStr"/>
      <c r="CQ28" s="48" t="inlineStr"/>
      <c r="CR28" s="48" t="inlineStr"/>
      <c r="CS28" s="48">
        <f>IF(LEFT($J28,3)="ERR",0,1)</f>
        <v/>
      </c>
      <c r="CT28" s="48">
        <f>IF(LEFT($J28,3)="ADM",1,0)</f>
        <v/>
      </c>
      <c r="CU28" s="48">
        <f>IF(OR($J28="ADM-ACT-MAT-CNE",$J28="ADM-ACT-MAT-CE",$J28="ADM-INACT-M&amp;T"),1,0)</f>
        <v/>
      </c>
      <c r="CV28" s="48">
        <f>IF(AND(CU28=1,ISNUMBER(M28),ISNUMBER(I28)),M28-I28,"")</f>
        <v/>
      </c>
      <c r="CW28" s="48">
        <f>IF(ISNUMBER(I28),TODAY()-I28,"")</f>
        <v/>
      </c>
      <c r="CX28" s="48">
        <f>IF(ISNUMBER(I28),DATE(YEAR(I28),MONTH(I28),1),"")</f>
        <v/>
      </c>
      <c r="CY28" s="48">
        <f>IFERROR(DATEDIF(AK28,TODAY(),"y"),"")</f>
        <v/>
      </c>
      <c r="CZ28" s="48">
        <f>IF(CY28="","",IF(CY28&lt;28,"18-27",IF(CY28&lt;38,"28-37",IF(CY28&lt;48,"38-47",IF(CY28&lt;58,"48-57",IF(CY28&lt;68,"58-67",IF(CY28&lt;78,"68-77","78+")))))) </f>
        <v/>
      </c>
      <c r="DA28" s="48">
        <f>IF(AND(BQ28&lt;&gt;"",BR28=""),N(BS28),0)+IF(AND(BW28&lt;&gt;"",BX28=""),N(BY28),0)+IF(AND(CC28&lt;&gt;"",CD28=""),N(CE28),0)+IF(AND(CI28&lt;&gt;"",CJ28=""),N(CK28),0)+IF(AND(CO28&lt;&gt;"",CP28=""),N(CQ28),0)</f>
        <v/>
      </c>
      <c r="DB28" s="48">
        <f>ROUND(IF(BQ28&lt;&gt;"",N(BS28)*MAX(0,((IF(BR28="",TODAY(),BR28))-BQ28)/7),0)+IF(BW28&lt;&gt;"",N(BY28)*MAX(0,((IF(BX28="",TODAY(),BX28))-BW28)/7),0)+IF(CC28&lt;&gt;"",N(CE28)*MAX(0,((IF(CD28="",TODAY(),CD28))-CC28)/7),0)+IF(CI28&lt;&gt;"",N(CK28)*MAX(0,((IF(CJ28="",TODAY(),CJ28))-CI28)/7),0)+IF(CO28&lt;&gt;"",N(CQ28)*MAX(0,((IF(CP28="",TODAY(),CP28))-CO28)/7),0),1)</f>
        <v/>
      </c>
      <c r="DC28" s="48">
        <f>IF(OR(TRIM(X28)="",TRIM(X28)="NA;",TRIM(X28)="NA"),0,1)</f>
        <v/>
      </c>
      <c r="DD28" s="48">
        <f>IF(OR(TRIM(Y28)="",TRIM(Y28)="NA;",TRIM(Y28)="NA"),0,1)</f>
        <v/>
      </c>
      <c r="DE28" s="48">
        <f>IF(OR(TRIM(Z28)="",TRIM(Z28)="NA;",TRIM(Z28)="NA"),0,1)</f>
        <v/>
      </c>
      <c r="DF28" s="48">
        <f>IF(OR(TRIM(AA28)="",TRIM(AA28)="NA;",TRIM(AA28)="NA"),0,1)</f>
        <v/>
      </c>
      <c r="DG28" s="48">
        <f>IF(OR(TRIM(AB28)="",TRIM(AB28)="NA;",TRIM(AB28)="NA"),0,1)</f>
        <v/>
      </c>
      <c r="DH28" s="48">
        <f>IF(OR(TRIM(AC28)="",TRIM(AC28)="NA;",TRIM(AC28)="NA"),0,1)</f>
        <v/>
      </c>
      <c r="DI28" s="48">
        <f>IF(OR(TRIM(AD28)="",TRIM(AD28)="NA;",TRIM(AD28)="NA"),0,1)</f>
        <v/>
      </c>
      <c r="DJ28" s="48">
        <f>TRIM(IF(DC28=1,"Mon ","")&amp;IF(DD28=1,"Tue ","")&amp;IF(DE28=1,"Wed ","")&amp;IF(DF28=1,"Thu ","")&amp;IF(DG28=1,"Fri ","")&amp;IF(DH28=1,"Sat ","")&amp;IF(DI28=1,"Sun ",""))</f>
        <v/>
      </c>
    </row>
    <row r="29">
      <c r="A29" s="48" t="inlineStr">
        <is>
          <t>T-O-00027</t>
        </is>
      </c>
      <c r="B29" s="48" t="inlineStr">
        <is>
          <t>Pedro Nguyen</t>
        </is>
      </c>
      <c r="C29" s="48" t="inlineStr">
        <is>
          <t>pedro.nguyen27@example.com</t>
        </is>
      </c>
      <c r="D29" s="48" t="inlineStr">
        <is>
          <t>+61 478 417 961</t>
        </is>
      </c>
      <c r="E29" s="48" t="inlineStr">
        <is>
          <t>Carlos Hassan</t>
        </is>
      </c>
      <c r="F29" s="48" t="inlineStr">
        <is>
          <t>+61 497 567 212</t>
        </is>
      </c>
      <c r="G29" s="48" t="inlineStr">
        <is>
          <t>Friend</t>
        </is>
      </c>
      <c r="H29" s="48" t="inlineStr">
        <is>
          <t>Tutor</t>
        </is>
      </c>
      <c r="I29" s="49" t="n">
        <v>45463</v>
      </c>
      <c r="J29" s="48" t="inlineStr">
        <is>
          <t>ADM-ACT-MAT-CE</t>
        </is>
      </c>
      <c r="K29" s="48">
        <f>IFERROR(VLOOKUP(J29,'(A) Introduction'!$B$35:$C$45,2,FALSE),"")</f>
        <v/>
      </c>
      <c r="L29" s="48" t="inlineStr">
        <is>
          <t>No</t>
        </is>
      </c>
      <c r="M29" s="48" t="inlineStr"/>
      <c r="N29" s="48" t="inlineStr"/>
      <c r="O29" s="48" t="n">
        <v>1</v>
      </c>
      <c r="P29" s="48">
        <f>IF($H29="Tutor",((BQ29&lt;&gt;"")*(BR29=""))+((BW29&lt;&gt;"")*(BX29=""))+((CC29&lt;&gt;"")*(CD29=""))+((CI29&lt;&gt;"")*(CJ29=""))+((CO29&lt;&gt;"")*(CP29="")),SUMPRODUCT(--($BO$3:$BO$202=$A29),--($BR$3:$BR$202=""))+SUMPRODUCT(--($BU$3:$BU$202=$A29),--($BX$3:$BX$202=""))+SUMPRODUCT(--($CA$3:$CA$202=$A29),--($CD$3:$CD$202=""))+SUMPRODUCT(--($CG$3:$CG$202=$A29),--($CJ$3:$CJ$202=""))+SUMPRODUCT(--($CM$3:$CM$202=$A29),--($CP$3:$CP$202="")))</f>
        <v/>
      </c>
      <c r="Q29" s="48">
        <f>IF($H29="Tutor",(BQ29&lt;&gt;"")+(BW29&lt;&gt;"")+(CC29&lt;&gt;"")+(CI29&lt;&gt;"")+(CO29&lt;&gt;""),SUMPRODUCT(--($BO$3:$BO$202=$A29))+SUMPRODUCT(--($BU$3:$BU$202=$A29))+SUMPRODUCT(--($CA$3:$CA$202=$A29))+SUMPRODUCT(--($CG$3:$CG$202=$A29))+SUMPRODUCT(--($CM$3:$CM$202=$A29)))</f>
        <v/>
      </c>
      <c r="R29" s="48">
        <f>IF($H29="Tutor",TRIM(IF(AND(BQ29&lt;&gt;"",BR29=""),BP29&amp;"; ","")&amp;IF(AND(BW29&lt;&gt;"",BX29=""),BV29&amp;"; ","")&amp;IF(AND(CC29&lt;&gt;"",CD29=""),CB29&amp;"; ","")&amp;IF(AND(CI29&lt;&gt;"",CJ29=""),CH29&amp;"; ","")&amp;IF(AND(CO29&lt;&gt;"",CP29=""),CN29&amp;"; ","")),IFERROR(INDEX($A$3:$B$202,(SUMPRODUCT(($BO$3:$BO$202=$A29)*($BR$3:$BR$202="")*ROW($BO$3:$BO$202))+SUMPRODUCT(($BU$3:$BU$202=$A29)*($BX$3:$BX$202="")*ROW($BU$3:$BU$202))+SUMPRODUCT(($CA$3:$CA$202=$A29)*($CD$3:$CD$202="")*ROW($CA$3:$CA$202))+SUMPRODUCT(($CG$3:$CG$202=$A29)*($CJ$3:$CJ$202="")*ROW($CG$3:$CG$202))+SUMPRODUCT(($CM$3:$CM$202=$A29)*($CP$3:$CP$202="")*ROW($CM$3:$CM$202)))-2,2),""))</f>
        <v/>
      </c>
      <c r="S29" s="48" t="inlineStr">
        <is>
          <t>Provided</t>
        </is>
      </c>
      <c r="T29" s="48" t="inlineStr"/>
      <c r="U29" s="48" t="inlineStr"/>
      <c r="V29" s="49" t="n">
        <v>45794</v>
      </c>
      <c r="W29" s="48" t="inlineStr">
        <is>
          <t>ACDT (UTC+10:30)</t>
        </is>
      </c>
      <c r="X29" s="48" t="inlineStr">
        <is>
          <t>6am-9am;9am-12pm;</t>
        </is>
      </c>
      <c r="Y29" s="48" t="inlineStr">
        <is>
          <t>12pm-3pm;</t>
        </is>
      </c>
      <c r="Z29" s="48" t="inlineStr">
        <is>
          <t>6pm-9pm;</t>
        </is>
      </c>
      <c r="AA29" s="48" t="inlineStr">
        <is>
          <t>6pm-9pm;</t>
        </is>
      </c>
      <c r="AB29" s="48" t="inlineStr">
        <is>
          <t>12pm-3pm;</t>
        </is>
      </c>
      <c r="AC29" s="48" t="inlineStr">
        <is>
          <t>6am-9am;9am-12pm;</t>
        </is>
      </c>
      <c r="AD29" s="48" t="inlineStr">
        <is>
          <t>6pm-9pm;</t>
        </is>
      </c>
      <c r="AE29" s="48" t="inlineStr">
        <is>
          <t>Either</t>
        </is>
      </c>
      <c r="AF29" s="48" t="inlineStr">
        <is>
          <t>NA - Tutor</t>
        </is>
      </c>
      <c r="AG29" s="48" t="inlineStr">
        <is>
          <t>Australia</t>
        </is>
      </c>
      <c r="AH29" s="48" t="inlineStr">
        <is>
          <t>Victoria</t>
        </is>
      </c>
      <c r="AI29" s="48" t="inlineStr">
        <is>
          <t>Footscray</t>
        </is>
      </c>
      <c r="AJ29" s="48" t="inlineStr">
        <is>
          <t>3011</t>
        </is>
      </c>
      <c r="AK29" s="49" t="n">
        <v>28665</v>
      </c>
      <c r="AL29" s="48" t="inlineStr">
        <is>
          <t>Other</t>
        </is>
      </c>
      <c r="AM29" s="48" t="inlineStr">
        <is>
          <t>NA</t>
        </is>
      </c>
      <c r="AN29" s="48" t="inlineStr">
        <is>
          <t>NA - Tutor</t>
        </is>
      </c>
      <c r="AO29" s="48" t="inlineStr">
        <is>
          <t>High</t>
        </is>
      </c>
      <c r="AP29" s="48" t="inlineStr">
        <is>
          <t>Australia</t>
        </is>
      </c>
      <c r="AQ29" s="48" t="inlineStr">
        <is>
          <t>NA</t>
        </is>
      </c>
      <c r="AR29" s="48" t="inlineStr">
        <is>
          <t>Pashto (C2)</t>
        </is>
      </c>
      <c r="AS29" s="48" t="inlineStr">
        <is>
          <t>Christian (Orthodox)</t>
        </is>
      </c>
      <c r="AT29" s="48" t="inlineStr">
        <is>
          <t>Business &amp; Finance</t>
        </is>
      </c>
      <c r="AU29" s="48" t="inlineStr">
        <is>
          <t>Lawyer</t>
        </is>
      </c>
      <c r="AV29" s="48" t="inlineStr">
        <is>
          <t>NA - Tutor</t>
        </is>
      </c>
      <c r="AW29" s="48" t="inlineStr">
        <is>
          <t>Cooking; Reading; Music</t>
        </is>
      </c>
      <c r="AX29" s="48" t="inlineStr">
        <is>
          <t>NA - Tutor</t>
        </is>
      </c>
      <c r="AY29" s="48" t="inlineStr">
        <is>
          <t>Yes</t>
        </is>
      </c>
      <c r="AZ29" s="48" t="inlineStr">
        <is>
          <t>Yes</t>
        </is>
      </c>
      <c r="BA29" s="48" t="inlineStr">
        <is>
          <t>Carlos Lopez</t>
        </is>
      </c>
      <c r="BB29" s="48" t="inlineStr">
        <is>
          <t>Academic Referee</t>
        </is>
      </c>
      <c r="BC29" s="48" t="inlineStr">
        <is>
          <t>luke.petrov527@example.com</t>
        </is>
      </c>
      <c r="BD29" s="48" t="inlineStr">
        <is>
          <t>Yes</t>
        </is>
      </c>
      <c r="BE29" s="48" t="inlineStr">
        <is>
          <t>WWC9802632E</t>
        </is>
      </c>
      <c r="BF29" s="49" t="n">
        <v>46618</v>
      </c>
      <c r="BG29" s="48" t="inlineStr">
        <is>
          <t>No</t>
        </is>
      </c>
      <c r="BH29" s="48" t="inlineStr">
        <is>
          <t>Adults Only</t>
        </is>
      </c>
      <c r="BI29" s="48" t="inlineStr">
        <is>
          <t>Kaldor Centre for International Refugee Law</t>
        </is>
      </c>
      <c r="BJ29" s="48" t="inlineStr">
        <is>
          <t>HALLORAN Isobel</t>
        </is>
      </c>
      <c r="BK29" s="48" t="inlineStr">
        <is>
          <t>SINGH Veera</t>
        </is>
      </c>
      <c r="BL29" s="48" t="inlineStr">
        <is>
          <t>Synthetic test record.</t>
        </is>
      </c>
      <c r="BM29" s="48" t="inlineStr"/>
      <c r="BN29" s="48">
        <f>TRIM(IF(AND($H29="Student",$J29="ADM-ACT-MAT-CNE"),"Invalid: Student cannot be CNE. ","")&amp;IF(AND($H29="Student",ISNUMBER($O29)),"Check: capacity set for a Student. ","")&amp;IF(AND(LEFT($J29,11)="ADM-ACT-MAT",$P29=0),"Check: matched status but 0 active pairings. ","")&amp;IF(AND($H29="Tutor",ISNUMBER($O29),$P29&gt;$O29),"Check: pairings exceed capacity. ","")&amp;IF(AND($BH29="Everyone",NOT(AND($BD29="Yes",$BG29="Yes"))),"Check: approved to tutor children but WWCC not provided/confirmed. ","")&amp;IF(AND($P29&gt;0,NOT(AND(OR(LEFT($AY29,3)="Yes",LEFT($AY29,2)="NA"),OR(LEFT($AZ29,3)="Yes",LEFT($AZ29,2)="NA")))),"Matched but vetting incomplete (interview/reference). ","")&amp;IF(COUNTIF($B$3:$B$600,$B29)&gt;1,"Duplicate participant name. ",""))</f>
        <v/>
      </c>
      <c r="BO29" s="48" t="inlineStr">
        <is>
          <t>S-N-00047</t>
        </is>
      </c>
      <c r="BP29" s="48">
        <f>IFERROR(VLOOKUP(BO29,$A:$B,2,FALSE),"")</f>
        <v/>
      </c>
      <c r="BQ29" s="49" t="n">
        <v>46055</v>
      </c>
      <c r="BR29" s="48" t="inlineStr"/>
      <c r="BS29" s="48" t="n">
        <v>1.5</v>
      </c>
      <c r="BT29" s="48" t="inlineStr">
        <is>
          <t>SHANAHAN Jack</t>
        </is>
      </c>
      <c r="BU29" s="48" t="inlineStr"/>
      <c r="BV29" s="48" t="inlineStr"/>
      <c r="BW29" s="48" t="inlineStr"/>
      <c r="BX29" s="48" t="inlineStr"/>
      <c r="BY29" s="48" t="inlineStr"/>
      <c r="BZ29" s="48" t="inlineStr"/>
      <c r="CA29" s="48" t="inlineStr"/>
      <c r="CB29" s="48" t="inlineStr"/>
      <c r="CC29" s="48" t="inlineStr"/>
      <c r="CD29" s="48" t="inlineStr"/>
      <c r="CE29" s="48" t="inlineStr"/>
      <c r="CF29" s="48" t="inlineStr"/>
      <c r="CG29" s="48" t="inlineStr"/>
      <c r="CH29" s="48" t="inlineStr"/>
      <c r="CI29" s="48" t="inlineStr"/>
      <c r="CJ29" s="48" t="inlineStr"/>
      <c r="CK29" s="48" t="inlineStr"/>
      <c r="CL29" s="48" t="inlineStr"/>
      <c r="CM29" s="48" t="inlineStr"/>
      <c r="CN29" s="48" t="inlineStr"/>
      <c r="CO29" s="48" t="inlineStr"/>
      <c r="CP29" s="48" t="inlineStr"/>
      <c r="CQ29" s="48" t="inlineStr"/>
      <c r="CR29" s="48" t="inlineStr"/>
      <c r="CS29" s="48">
        <f>IF(LEFT($J29,3)="ERR",0,1)</f>
        <v/>
      </c>
      <c r="CT29" s="48">
        <f>IF(LEFT($J29,3)="ADM",1,0)</f>
        <v/>
      </c>
      <c r="CU29" s="48">
        <f>IF(OR($J29="ADM-ACT-MAT-CNE",$J29="ADM-ACT-MAT-CE",$J29="ADM-INACT-M&amp;T"),1,0)</f>
        <v/>
      </c>
      <c r="CV29" s="48">
        <f>IF(AND(CU29=1,ISNUMBER(M29),ISNUMBER(I29)),M29-I29,"")</f>
        <v/>
      </c>
      <c r="CW29" s="48">
        <f>IF(ISNUMBER(I29),TODAY()-I29,"")</f>
        <v/>
      </c>
      <c r="CX29" s="48">
        <f>IF(ISNUMBER(I29),DATE(YEAR(I29),MONTH(I29),1),"")</f>
        <v/>
      </c>
      <c r="CY29" s="48">
        <f>IFERROR(DATEDIF(AK29,TODAY(),"y"),"")</f>
        <v/>
      </c>
      <c r="CZ29" s="48">
        <f>IF(CY29="","",IF(CY29&lt;28,"18-27",IF(CY29&lt;38,"28-37",IF(CY29&lt;48,"38-47",IF(CY29&lt;58,"48-57",IF(CY29&lt;68,"58-67",IF(CY29&lt;78,"68-77","78+")))))) </f>
        <v/>
      </c>
      <c r="DA29" s="48">
        <f>IF(AND(BQ29&lt;&gt;"",BR29=""),N(BS29),0)+IF(AND(BW29&lt;&gt;"",BX29=""),N(BY29),0)+IF(AND(CC29&lt;&gt;"",CD29=""),N(CE29),0)+IF(AND(CI29&lt;&gt;"",CJ29=""),N(CK29),0)+IF(AND(CO29&lt;&gt;"",CP29=""),N(CQ29),0)</f>
        <v/>
      </c>
      <c r="DB29" s="48">
        <f>ROUND(IF(BQ29&lt;&gt;"",N(BS29)*MAX(0,((IF(BR29="",TODAY(),BR29))-BQ29)/7),0)+IF(BW29&lt;&gt;"",N(BY29)*MAX(0,((IF(BX29="",TODAY(),BX29))-BW29)/7),0)+IF(CC29&lt;&gt;"",N(CE29)*MAX(0,((IF(CD29="",TODAY(),CD29))-CC29)/7),0)+IF(CI29&lt;&gt;"",N(CK29)*MAX(0,((IF(CJ29="",TODAY(),CJ29))-CI29)/7),0)+IF(CO29&lt;&gt;"",N(CQ29)*MAX(0,((IF(CP29="",TODAY(),CP29))-CO29)/7),0),1)</f>
        <v/>
      </c>
      <c r="DC29" s="48">
        <f>IF(OR(TRIM(X29)="",TRIM(X29)="NA;",TRIM(X29)="NA"),0,1)</f>
        <v/>
      </c>
      <c r="DD29" s="48">
        <f>IF(OR(TRIM(Y29)="",TRIM(Y29)="NA;",TRIM(Y29)="NA"),0,1)</f>
        <v/>
      </c>
      <c r="DE29" s="48">
        <f>IF(OR(TRIM(Z29)="",TRIM(Z29)="NA;",TRIM(Z29)="NA"),0,1)</f>
        <v/>
      </c>
      <c r="DF29" s="48">
        <f>IF(OR(TRIM(AA29)="",TRIM(AA29)="NA;",TRIM(AA29)="NA"),0,1)</f>
        <v/>
      </c>
      <c r="DG29" s="48">
        <f>IF(OR(TRIM(AB29)="",TRIM(AB29)="NA;",TRIM(AB29)="NA"),0,1)</f>
        <v/>
      </c>
      <c r="DH29" s="48">
        <f>IF(OR(TRIM(AC29)="",TRIM(AC29)="NA;",TRIM(AC29)="NA"),0,1)</f>
        <v/>
      </c>
      <c r="DI29" s="48">
        <f>IF(OR(TRIM(AD29)="",TRIM(AD29)="NA;",TRIM(AD29)="NA"),0,1)</f>
        <v/>
      </c>
      <c r="DJ29" s="48">
        <f>TRIM(IF(DC29=1,"Mon ","")&amp;IF(DD29=1,"Tue ","")&amp;IF(DE29=1,"Wed ","")&amp;IF(DF29=1,"Thu ","")&amp;IF(DG29=1,"Fri ","")&amp;IF(DH29=1,"Sat ","")&amp;IF(DI29=1,"Sun ",""))</f>
        <v/>
      </c>
    </row>
    <row r="30">
      <c r="A30" s="48" t="inlineStr">
        <is>
          <t>T-O-00028</t>
        </is>
      </c>
      <c r="B30" s="48" t="inlineStr">
        <is>
          <t>Sarah Hadaya</t>
        </is>
      </c>
      <c r="C30" s="48" t="inlineStr">
        <is>
          <t>sarah.hadaya28@example.com</t>
        </is>
      </c>
      <c r="D30" s="48" t="inlineStr">
        <is>
          <t>+61 418 133 553</t>
        </is>
      </c>
      <c r="E30" s="48" t="inlineStr">
        <is>
          <t>Bilal Lee</t>
        </is>
      </c>
      <c r="F30" s="48" t="inlineStr">
        <is>
          <t>+61 428 968 629</t>
        </is>
      </c>
      <c r="G30" s="48" t="inlineStr">
        <is>
          <t>Spouse</t>
        </is>
      </c>
      <c r="H30" s="48" t="inlineStr">
        <is>
          <t>Tutor</t>
        </is>
      </c>
      <c r="I30" s="49" t="n">
        <v>45471</v>
      </c>
      <c r="J30" s="48" t="inlineStr">
        <is>
          <t>NADM-REJ-UNSUIT</t>
        </is>
      </c>
      <c r="K30" s="48">
        <f>IFERROR(VLOOKUP(J30,'(A) Introduction'!$B$35:$C$45,2,FALSE),"")</f>
        <v/>
      </c>
      <c r="L30" s="48" t="inlineStr">
        <is>
          <t>Yes - see ''Comments''</t>
        </is>
      </c>
      <c r="M30" s="48" t="inlineStr"/>
      <c r="N30" s="48" t="inlineStr"/>
      <c r="O30" s="48" t="n">
        <v>2</v>
      </c>
      <c r="P30" s="48">
        <f>IF($H30="Tutor",((BQ30&lt;&gt;"")*(BR30=""))+((BW30&lt;&gt;"")*(BX30=""))+((CC30&lt;&gt;"")*(CD30=""))+((CI30&lt;&gt;"")*(CJ30=""))+((CO30&lt;&gt;"")*(CP30="")),SUMPRODUCT(--($BO$3:$BO$202=$A30),--($BR$3:$BR$202=""))+SUMPRODUCT(--($BU$3:$BU$202=$A30),--($BX$3:$BX$202=""))+SUMPRODUCT(--($CA$3:$CA$202=$A30),--($CD$3:$CD$202=""))+SUMPRODUCT(--($CG$3:$CG$202=$A30),--($CJ$3:$CJ$202=""))+SUMPRODUCT(--($CM$3:$CM$202=$A30),--($CP$3:$CP$202="")))</f>
        <v/>
      </c>
      <c r="Q30" s="48">
        <f>IF($H30="Tutor",(BQ30&lt;&gt;"")+(BW30&lt;&gt;"")+(CC30&lt;&gt;"")+(CI30&lt;&gt;"")+(CO30&lt;&gt;""),SUMPRODUCT(--($BO$3:$BO$202=$A30))+SUMPRODUCT(--($BU$3:$BU$202=$A30))+SUMPRODUCT(--($CA$3:$CA$202=$A30))+SUMPRODUCT(--($CG$3:$CG$202=$A30))+SUMPRODUCT(--($CM$3:$CM$202=$A30)))</f>
        <v/>
      </c>
      <c r="R30" s="48">
        <f>IF($H30="Tutor",TRIM(IF(AND(BQ30&lt;&gt;"",BR30=""),BP30&amp;"; ","")&amp;IF(AND(BW30&lt;&gt;"",BX30=""),BV30&amp;"; ","")&amp;IF(AND(CC30&lt;&gt;"",CD30=""),CB30&amp;"; ","")&amp;IF(AND(CI30&lt;&gt;"",CJ30=""),CH30&amp;"; ","")&amp;IF(AND(CO30&lt;&gt;"",CP30=""),CN30&amp;"; ","")),IFERROR(INDEX($A$3:$B$202,(SUMPRODUCT(($BO$3:$BO$202=$A30)*($BR$3:$BR$202="")*ROW($BO$3:$BO$202))+SUMPRODUCT(($BU$3:$BU$202=$A30)*($BX$3:$BX$202="")*ROW($BU$3:$BU$202))+SUMPRODUCT(($CA$3:$CA$202=$A30)*($CD$3:$CD$202="")*ROW($CA$3:$CA$202))+SUMPRODUCT(($CG$3:$CG$202=$A30)*($CJ$3:$CJ$202="")*ROW($CG$3:$CG$202))+SUMPRODUCT(($CM$3:$CM$202=$A30)*($CP$3:$CP$202="")*ROW($CM$3:$CM$202)))-2,2),""))</f>
        <v/>
      </c>
      <c r="S30" s="48" t="inlineStr">
        <is>
          <t>Provided</t>
        </is>
      </c>
      <c r="T30" s="48" t="inlineStr"/>
      <c r="U30" s="48" t="inlineStr"/>
      <c r="V30" s="48" t="inlineStr"/>
      <c r="W30" s="48" t="inlineStr">
        <is>
          <t>AEST (UTC+10)</t>
        </is>
      </c>
      <c r="X30" s="48" t="inlineStr">
        <is>
          <t>NA;</t>
        </is>
      </c>
      <c r="Y30" s="48" t="inlineStr">
        <is>
          <t>9am-12pm;</t>
        </is>
      </c>
      <c r="Z30" s="48" t="inlineStr">
        <is>
          <t>NA;</t>
        </is>
      </c>
      <c r="AA30" s="48" t="inlineStr">
        <is>
          <t>6am-9am;9am-12pm;</t>
        </is>
      </c>
      <c r="AB30" s="48" t="inlineStr">
        <is>
          <t>12pm-3pm;</t>
        </is>
      </c>
      <c r="AC30" s="48" t="inlineStr">
        <is>
          <t>6am-9am;9am-12pm;</t>
        </is>
      </c>
      <c r="AD30" s="48" t="inlineStr">
        <is>
          <t>NA;</t>
        </is>
      </c>
      <c r="AE30" s="48" t="inlineStr">
        <is>
          <t>Online</t>
        </is>
      </c>
      <c r="AF30" s="48" t="inlineStr">
        <is>
          <t>NA - Tutor</t>
        </is>
      </c>
      <c r="AG30" s="48" t="inlineStr">
        <is>
          <t>Australia</t>
        </is>
      </c>
      <c r="AH30" s="48" t="inlineStr">
        <is>
          <t>New South Wales</t>
        </is>
      </c>
      <c r="AI30" s="48" t="inlineStr">
        <is>
          <t>Doonside</t>
        </is>
      </c>
      <c r="AJ30" s="48" t="inlineStr">
        <is>
          <t>2767</t>
        </is>
      </c>
      <c r="AK30" s="49" t="n">
        <v>26994</v>
      </c>
      <c r="AL30" s="48" t="inlineStr">
        <is>
          <t>Female</t>
        </is>
      </c>
      <c r="AM30" s="48" t="inlineStr">
        <is>
          <t>NA</t>
        </is>
      </c>
      <c r="AN30" s="48" t="inlineStr">
        <is>
          <t>NA - Tutor</t>
        </is>
      </c>
      <c r="AO30" s="48" t="inlineStr">
        <is>
          <t>Moderate</t>
        </is>
      </c>
      <c r="AP30" s="48" t="inlineStr">
        <is>
          <t>United Kingdom</t>
        </is>
      </c>
      <c r="AQ30" s="48" t="inlineStr">
        <is>
          <t>NA</t>
        </is>
      </c>
      <c r="AR30" s="48" t="inlineStr">
        <is>
          <t>English (C2)</t>
        </is>
      </c>
      <c r="AS30" s="48" t="inlineStr">
        <is>
          <t>Hindu</t>
        </is>
      </c>
      <c r="AT30" s="48" t="inlineStr">
        <is>
          <t>Military &amp; Public Safety</t>
        </is>
      </c>
      <c r="AU30" s="48" t="inlineStr">
        <is>
          <t>Teacher</t>
        </is>
      </c>
      <c r="AV30" s="48" t="inlineStr">
        <is>
          <t>NA - Tutor</t>
        </is>
      </c>
      <c r="AW30" s="48" t="inlineStr">
        <is>
          <t>Reading; Politics; Music</t>
        </is>
      </c>
      <c r="AX30" s="48" t="inlineStr">
        <is>
          <t>NA - Tutor</t>
        </is>
      </c>
      <c r="AY30" s="48" t="inlineStr">
        <is>
          <t>Yes</t>
        </is>
      </c>
      <c r="AZ30" s="48" t="inlineStr">
        <is>
          <t>NA - Partner Organisation Verified</t>
        </is>
      </c>
      <c r="BA30" s="48" t="inlineStr">
        <is>
          <t>Chloe Walker</t>
        </is>
      </c>
      <c r="BB30" s="48" t="inlineStr">
        <is>
          <t>Academic Referee</t>
        </is>
      </c>
      <c r="BC30" s="48" t="inlineStr">
        <is>
          <t>rania.drobushar528@example.com</t>
        </is>
      </c>
      <c r="BD30" s="48" t="inlineStr">
        <is>
          <t>Yes</t>
        </is>
      </c>
      <c r="BE30" s="48" t="inlineStr">
        <is>
          <t>WWC8855414V</t>
        </is>
      </c>
      <c r="BF30" s="49" t="n">
        <v>46185</v>
      </c>
      <c r="BG30" s="48" t="inlineStr">
        <is>
          <t>No</t>
        </is>
      </c>
      <c r="BH30" s="48" t="inlineStr">
        <is>
          <t>Adults Only</t>
        </is>
      </c>
      <c r="BI30" s="48" t="inlineStr">
        <is>
          <t>University of Sydney (including St. Paul's College)</t>
        </is>
      </c>
      <c r="BJ30" s="48" t="inlineStr">
        <is>
          <t>SINGH Veera</t>
        </is>
      </c>
      <c r="BK30" s="48" t="inlineStr">
        <is>
          <t>CROCK Mary</t>
        </is>
      </c>
      <c r="BL30" s="48" t="inlineStr">
        <is>
          <t>Synthetic test record. Blacklisted for testing.</t>
        </is>
      </c>
      <c r="BM30" s="48" t="inlineStr"/>
      <c r="BN30" s="48">
        <f>TRIM(IF(AND($H30="Student",$J30="ADM-ACT-MAT-CNE"),"Invalid: Student cannot be CNE. ","")&amp;IF(AND($H30="Student",ISNUMBER($O30)),"Check: capacity set for a Student. ","")&amp;IF(AND(LEFT($J30,11)="ADM-ACT-MAT",$P30=0),"Check: matched status but 0 active pairings. ","")&amp;IF(AND($H30="Tutor",ISNUMBER($O30),$P30&gt;$O30),"Check: pairings exceed capacity. ","")&amp;IF(AND($BH30="Everyone",NOT(AND($BD30="Yes",$BG30="Yes"))),"Check: approved to tutor children but WWCC not provided/confirmed. ","")&amp;IF(AND($P30&gt;0,NOT(AND(OR(LEFT($AY30,3)="Yes",LEFT($AY30,2)="NA"),OR(LEFT($AZ30,3)="Yes",LEFT($AZ30,2)="NA")))),"Matched but vetting incomplete (interview/reference). ","")&amp;IF(COUNTIF($B$3:$B$600,$B30)&gt;1,"Duplicate participant name. ",""))</f>
        <v/>
      </c>
      <c r="BO30" s="48" t="inlineStr"/>
      <c r="BP30" s="48" t="inlineStr"/>
      <c r="BQ30" s="48" t="inlineStr"/>
      <c r="BR30" s="48" t="inlineStr"/>
      <c r="BS30" s="48" t="inlineStr"/>
      <c r="BT30" s="48" t="inlineStr"/>
      <c r="BU30" s="48" t="inlineStr"/>
      <c r="BV30" s="48" t="inlineStr"/>
      <c r="BW30" s="48" t="inlineStr"/>
      <c r="BX30" s="48" t="inlineStr"/>
      <c r="BY30" s="48" t="inlineStr"/>
      <c r="BZ30" s="48" t="inlineStr"/>
      <c r="CA30" s="48" t="inlineStr"/>
      <c r="CB30" s="48" t="inlineStr"/>
      <c r="CC30" s="48" t="inlineStr"/>
      <c r="CD30" s="48" t="inlineStr"/>
      <c r="CE30" s="48" t="inlineStr"/>
      <c r="CF30" s="48" t="inlineStr"/>
      <c r="CG30" s="48" t="inlineStr"/>
      <c r="CH30" s="48" t="inlineStr"/>
      <c r="CI30" s="48" t="inlineStr"/>
      <c r="CJ30" s="48" t="inlineStr"/>
      <c r="CK30" s="48" t="inlineStr"/>
      <c r="CL30" s="48" t="inlineStr"/>
      <c r="CM30" s="48" t="inlineStr"/>
      <c r="CN30" s="48" t="inlineStr"/>
      <c r="CO30" s="48" t="inlineStr"/>
      <c r="CP30" s="48" t="inlineStr"/>
      <c r="CQ30" s="48" t="inlineStr"/>
      <c r="CR30" s="48" t="inlineStr"/>
      <c r="CS30" s="48">
        <f>IF(LEFT($J30,3)="ERR",0,1)</f>
        <v/>
      </c>
      <c r="CT30" s="48">
        <f>IF(LEFT($J30,3)="ADM",1,0)</f>
        <v/>
      </c>
      <c r="CU30" s="48">
        <f>IF(OR($J30="ADM-ACT-MAT-CNE",$J30="ADM-ACT-MAT-CE",$J30="ADM-INACT-M&amp;T"),1,0)</f>
        <v/>
      </c>
      <c r="CV30" s="48">
        <f>IF(AND(CU30=1,ISNUMBER(M30),ISNUMBER(I30)),M30-I30,"")</f>
        <v/>
      </c>
      <c r="CW30" s="48">
        <f>IF(ISNUMBER(I30),TODAY()-I30,"")</f>
        <v/>
      </c>
      <c r="CX30" s="48">
        <f>IF(ISNUMBER(I30),DATE(YEAR(I30),MONTH(I30),1),"")</f>
        <v/>
      </c>
      <c r="CY30" s="48">
        <f>IFERROR(DATEDIF(AK30,TODAY(),"y"),"")</f>
        <v/>
      </c>
      <c r="CZ30" s="48">
        <f>IF(CY30="","",IF(CY30&lt;28,"18-27",IF(CY30&lt;38,"28-37",IF(CY30&lt;48,"38-47",IF(CY30&lt;58,"48-57",IF(CY30&lt;68,"58-67",IF(CY30&lt;78,"68-77","78+")))))) </f>
        <v/>
      </c>
      <c r="DA30" s="48">
        <f>IF(AND(BQ30&lt;&gt;"",BR30=""),N(BS30),0)+IF(AND(BW30&lt;&gt;"",BX30=""),N(BY30),0)+IF(AND(CC30&lt;&gt;"",CD30=""),N(CE30),0)+IF(AND(CI30&lt;&gt;"",CJ30=""),N(CK30),0)+IF(AND(CO30&lt;&gt;"",CP30=""),N(CQ30),0)</f>
        <v/>
      </c>
      <c r="DB30" s="48">
        <f>ROUND(IF(BQ30&lt;&gt;"",N(BS30)*MAX(0,((IF(BR30="",TODAY(),BR30))-BQ30)/7),0)+IF(BW30&lt;&gt;"",N(BY30)*MAX(0,((IF(BX30="",TODAY(),BX30))-BW30)/7),0)+IF(CC30&lt;&gt;"",N(CE30)*MAX(0,((IF(CD30="",TODAY(),CD30))-CC30)/7),0)+IF(CI30&lt;&gt;"",N(CK30)*MAX(0,((IF(CJ30="",TODAY(),CJ30))-CI30)/7),0)+IF(CO30&lt;&gt;"",N(CQ30)*MAX(0,((IF(CP30="",TODAY(),CP30))-CO30)/7),0),1)</f>
        <v/>
      </c>
      <c r="DC30" s="48">
        <f>IF(OR(TRIM(X30)="",TRIM(X30)="NA;",TRIM(X30)="NA"),0,1)</f>
        <v/>
      </c>
      <c r="DD30" s="48">
        <f>IF(OR(TRIM(Y30)="",TRIM(Y30)="NA;",TRIM(Y30)="NA"),0,1)</f>
        <v/>
      </c>
      <c r="DE30" s="48">
        <f>IF(OR(TRIM(Z30)="",TRIM(Z30)="NA;",TRIM(Z30)="NA"),0,1)</f>
        <v/>
      </c>
      <c r="DF30" s="48">
        <f>IF(OR(TRIM(AA30)="",TRIM(AA30)="NA;",TRIM(AA30)="NA"),0,1)</f>
        <v/>
      </c>
      <c r="DG30" s="48">
        <f>IF(OR(TRIM(AB30)="",TRIM(AB30)="NA;",TRIM(AB30)="NA"),0,1)</f>
        <v/>
      </c>
      <c r="DH30" s="48">
        <f>IF(OR(TRIM(AC30)="",TRIM(AC30)="NA;",TRIM(AC30)="NA"),0,1)</f>
        <v/>
      </c>
      <c r="DI30" s="48">
        <f>IF(OR(TRIM(AD30)="",TRIM(AD30)="NA;",TRIM(AD30)="NA"),0,1)</f>
        <v/>
      </c>
      <c r="DJ30" s="48">
        <f>TRIM(IF(DC30=1,"Mon ","")&amp;IF(DD30=1,"Tue ","")&amp;IF(DE30=1,"Wed ","")&amp;IF(DF30=1,"Thu ","")&amp;IF(DG30=1,"Fri ","")&amp;IF(DH30=1,"Sat ","")&amp;IF(DI30=1,"Sun ",""))</f>
        <v/>
      </c>
    </row>
    <row r="31">
      <c r="A31" s="48" t="inlineStr">
        <is>
          <t>T-O-00029</t>
        </is>
      </c>
      <c r="B31" s="48" t="inlineStr">
        <is>
          <t>Dmytro Taylor</t>
        </is>
      </c>
      <c r="C31" s="48" t="inlineStr">
        <is>
          <t>dmytro.taylor29@example.com</t>
        </is>
      </c>
      <c r="D31" s="48" t="inlineStr">
        <is>
          <t>+61 454 702 110</t>
        </is>
      </c>
      <c r="E31" s="48" t="inlineStr">
        <is>
          <t>Chloe Ibrahim</t>
        </is>
      </c>
      <c r="F31" s="48" t="inlineStr">
        <is>
          <t>+61 455 462 909</t>
        </is>
      </c>
      <c r="G31" s="48" t="inlineStr">
        <is>
          <t>Parent</t>
        </is>
      </c>
      <c r="H31" s="48" t="inlineStr">
        <is>
          <t>Tutor</t>
        </is>
      </c>
      <c r="I31" s="49" t="n">
        <v>45492</v>
      </c>
      <c r="J31" s="48" t="inlineStr">
        <is>
          <t>ADM-ACT-MAT-CNE</t>
        </is>
      </c>
      <c r="K31" s="48">
        <f>IFERROR(VLOOKUP(J31,'(A) Introduction'!$B$35:$C$45,2,FALSE),"")</f>
        <v/>
      </c>
      <c r="L31" s="48" t="inlineStr">
        <is>
          <t>No</t>
        </is>
      </c>
      <c r="M31" s="48" t="inlineStr"/>
      <c r="N31" s="48" t="inlineStr"/>
      <c r="O31" s="48" t="n">
        <v>2</v>
      </c>
      <c r="P31" s="48">
        <f>IF($H31="Tutor",((BQ31&lt;&gt;"")*(BR31=""))+((BW31&lt;&gt;"")*(BX31=""))+((CC31&lt;&gt;"")*(CD31=""))+((CI31&lt;&gt;"")*(CJ31=""))+((CO31&lt;&gt;"")*(CP31="")),SUMPRODUCT(--($BO$3:$BO$202=$A31),--($BR$3:$BR$202=""))+SUMPRODUCT(--($BU$3:$BU$202=$A31),--($BX$3:$BX$202=""))+SUMPRODUCT(--($CA$3:$CA$202=$A31),--($CD$3:$CD$202=""))+SUMPRODUCT(--($CG$3:$CG$202=$A31),--($CJ$3:$CJ$202=""))+SUMPRODUCT(--($CM$3:$CM$202=$A31),--($CP$3:$CP$202="")))</f>
        <v/>
      </c>
      <c r="Q31" s="48">
        <f>IF($H31="Tutor",(BQ31&lt;&gt;"")+(BW31&lt;&gt;"")+(CC31&lt;&gt;"")+(CI31&lt;&gt;"")+(CO31&lt;&gt;""),SUMPRODUCT(--($BO$3:$BO$202=$A31))+SUMPRODUCT(--($BU$3:$BU$202=$A31))+SUMPRODUCT(--($CA$3:$CA$202=$A31))+SUMPRODUCT(--($CG$3:$CG$202=$A31))+SUMPRODUCT(--($CM$3:$CM$202=$A31)))</f>
        <v/>
      </c>
      <c r="R31" s="48">
        <f>IF($H31="Tutor",TRIM(IF(AND(BQ31&lt;&gt;"",BR31=""),BP31&amp;"; ","")&amp;IF(AND(BW31&lt;&gt;"",BX31=""),BV31&amp;"; ","")&amp;IF(AND(CC31&lt;&gt;"",CD31=""),CB31&amp;"; ","")&amp;IF(AND(CI31&lt;&gt;"",CJ31=""),CH31&amp;"; ","")&amp;IF(AND(CO31&lt;&gt;"",CP31=""),CN31&amp;"; ","")),IFERROR(INDEX($A$3:$B$202,(SUMPRODUCT(($BO$3:$BO$202=$A31)*($BR$3:$BR$202="")*ROW($BO$3:$BO$202))+SUMPRODUCT(($BU$3:$BU$202=$A31)*($BX$3:$BX$202="")*ROW($BU$3:$BU$202))+SUMPRODUCT(($CA$3:$CA$202=$A31)*($CD$3:$CD$202="")*ROW($CA$3:$CA$202))+SUMPRODUCT(($CG$3:$CG$202=$A31)*($CJ$3:$CJ$202="")*ROW($CG$3:$CG$202))+SUMPRODUCT(($CM$3:$CM$202=$A31)*($CP$3:$CP$202="")*ROW($CM$3:$CM$202)))-2,2),""))</f>
        <v/>
      </c>
      <c r="S31" s="48" t="inlineStr">
        <is>
          <t>NA</t>
        </is>
      </c>
      <c r="T31" s="48" t="inlineStr"/>
      <c r="U31" s="48" t="inlineStr"/>
      <c r="V31" s="49" t="n">
        <v>46154</v>
      </c>
      <c r="W31" s="48" t="inlineStr">
        <is>
          <t>AEDT (UTC+11)</t>
        </is>
      </c>
      <c r="X31" s="48" t="inlineStr">
        <is>
          <t>6pm-9pm;</t>
        </is>
      </c>
      <c r="Y31" s="48" t="inlineStr">
        <is>
          <t>6pm-9pm;</t>
        </is>
      </c>
      <c r="Z31" s="48" t="inlineStr">
        <is>
          <t>6am-9am;9am-12pm;</t>
        </is>
      </c>
      <c r="AA31" s="48" t="inlineStr">
        <is>
          <t>9am-12pm;</t>
        </is>
      </c>
      <c r="AB31" s="48" t="inlineStr">
        <is>
          <t>6pm-9pm;</t>
        </is>
      </c>
      <c r="AC31" s="48" t="inlineStr">
        <is>
          <t>9am-12pm;</t>
        </is>
      </c>
      <c r="AD31" s="48" t="inlineStr">
        <is>
          <t>3pm-6pm;</t>
        </is>
      </c>
      <c r="AE31" s="48" t="inlineStr">
        <is>
          <t>Either</t>
        </is>
      </c>
      <c r="AF31" s="48" t="inlineStr">
        <is>
          <t>NA - Tutor</t>
        </is>
      </c>
      <c r="AG31" s="48" t="inlineStr">
        <is>
          <t>Australia</t>
        </is>
      </c>
      <c r="AH31" s="48" t="inlineStr">
        <is>
          <t>New South Wales</t>
        </is>
      </c>
      <c r="AI31" s="48" t="inlineStr">
        <is>
          <t>Marrickville</t>
        </is>
      </c>
      <c r="AJ31" s="48" t="inlineStr">
        <is>
          <t>2204</t>
        </is>
      </c>
      <c r="AK31" s="49" t="n">
        <v>33019</v>
      </c>
      <c r="AL31" s="48" t="inlineStr">
        <is>
          <t>Other</t>
        </is>
      </c>
      <c r="AM31" s="48" t="inlineStr">
        <is>
          <t>NA</t>
        </is>
      </c>
      <c r="AN31" s="48" t="inlineStr">
        <is>
          <t>NA - Tutor</t>
        </is>
      </c>
      <c r="AO31" s="48" t="inlineStr">
        <is>
          <t>High</t>
        </is>
      </c>
      <c r="AP31" s="48" t="inlineStr">
        <is>
          <t>Israel</t>
        </is>
      </c>
      <c r="AQ31" s="48" t="inlineStr">
        <is>
          <t>NA</t>
        </is>
      </c>
      <c r="AR31" s="48" t="inlineStr">
        <is>
          <t>English (C2)</t>
        </is>
      </c>
      <c r="AS31" s="48" t="inlineStr">
        <is>
          <t>None</t>
        </is>
      </c>
      <c r="AT31" s="48" t="inlineStr">
        <is>
          <t>Law &amp; Legal Services</t>
        </is>
      </c>
      <c r="AU31" s="48" t="inlineStr">
        <is>
          <t>Retail</t>
        </is>
      </c>
      <c r="AV31" s="48" t="inlineStr">
        <is>
          <t>NA - Tutor</t>
        </is>
      </c>
      <c r="AW31" s="48" t="inlineStr">
        <is>
          <t>Football; Cooking; Family</t>
        </is>
      </c>
      <c r="AX31" s="48" t="inlineStr">
        <is>
          <t>NA - Tutor</t>
        </is>
      </c>
      <c r="AY31" s="48" t="inlineStr">
        <is>
          <t>NA - RELT Member Verified</t>
        </is>
      </c>
      <c r="AZ31" s="48" t="inlineStr">
        <is>
          <t>Yes</t>
        </is>
      </c>
      <c r="BA31" s="48" t="inlineStr">
        <is>
          <t>Pedro Fernando</t>
        </is>
      </c>
      <c r="BB31" s="48" t="inlineStr">
        <is>
          <t>Friend</t>
        </is>
      </c>
      <c r="BC31" s="48" t="inlineStr">
        <is>
          <t>hala.levi529@example.com</t>
        </is>
      </c>
      <c r="BD31" s="48" t="inlineStr">
        <is>
          <t>Pending</t>
        </is>
      </c>
      <c r="BE31" s="48" t="inlineStr"/>
      <c r="BF31" s="48" t="inlineStr"/>
      <c r="BG31" s="48" t="inlineStr">
        <is>
          <t>Yes</t>
        </is>
      </c>
      <c r="BH31" s="48" t="inlineStr">
        <is>
          <t>Adults Only</t>
        </is>
      </c>
      <c r="BI31" s="48" t="inlineStr">
        <is>
          <t>Tasmania University (including the Law Society)</t>
        </is>
      </c>
      <c r="BJ31" s="48" t="inlineStr">
        <is>
          <t>THET Moh Moh</t>
        </is>
      </c>
      <c r="BK31" s="48" t="inlineStr">
        <is>
          <t>SHANAHAN Jack</t>
        </is>
      </c>
      <c r="BL31" s="48" t="inlineStr">
        <is>
          <t>Synthetic test record.</t>
        </is>
      </c>
      <c r="BM31" s="48" t="inlineStr"/>
      <c r="BN31" s="48">
        <f>TRIM(IF(AND($H31="Student",$J31="ADM-ACT-MAT-CNE"),"Invalid: Student cannot be CNE. ","")&amp;IF(AND($H31="Student",ISNUMBER($O31)),"Check: capacity set for a Student. ","")&amp;IF(AND(LEFT($J31,11)="ADM-ACT-MAT",$P31=0),"Check: matched status but 0 active pairings. ","")&amp;IF(AND($H31="Tutor",ISNUMBER($O31),$P31&gt;$O31),"Check: pairings exceed capacity. ","")&amp;IF(AND($BH31="Everyone",NOT(AND($BD31="Yes",$BG31="Yes"))),"Check: approved to tutor children but WWCC not provided/confirmed. ","")&amp;IF(AND($P31&gt;0,NOT(AND(OR(LEFT($AY31,3)="Yes",LEFT($AY31,2)="NA"),OR(LEFT($AZ31,3)="Yes",LEFT($AZ31,2)="NA")))),"Matched but vetting incomplete (interview/reference). ","")&amp;IF(COUNTIF($B$3:$B$600,$B31)&gt;1,"Duplicate participant name. ",""))</f>
        <v/>
      </c>
      <c r="BO31" s="48" t="inlineStr">
        <is>
          <t>S-O-00021</t>
        </is>
      </c>
      <c r="BP31" s="48">
        <f>IFERROR(VLOOKUP(BO31,$A:$B,2,FALSE),"")</f>
        <v/>
      </c>
      <c r="BQ31" s="49" t="n">
        <v>45494</v>
      </c>
      <c r="BR31" s="48" t="inlineStr"/>
      <c r="BS31" s="48" t="n">
        <v>1</v>
      </c>
      <c r="BT31" s="48" t="inlineStr">
        <is>
          <t>HALLORAN Isobel</t>
        </is>
      </c>
      <c r="BU31" s="48" t="inlineStr">
        <is>
          <t>S-N-00003</t>
        </is>
      </c>
      <c r="BV31" s="48">
        <f>IFERROR(VLOOKUP(BU31,$A:$B,2,FALSE),"")</f>
        <v/>
      </c>
      <c r="BW31" s="49" t="n">
        <v>45753</v>
      </c>
      <c r="BX31" s="49" t="n">
        <v>45814</v>
      </c>
      <c r="BY31" s="48" t="n">
        <v>1.5</v>
      </c>
      <c r="BZ31" s="48" t="inlineStr">
        <is>
          <t>HERVIR Oliver</t>
        </is>
      </c>
      <c r="CA31" s="48" t="inlineStr"/>
      <c r="CB31" s="48" t="inlineStr"/>
      <c r="CC31" s="48" t="inlineStr"/>
      <c r="CD31" s="48" t="inlineStr"/>
      <c r="CE31" s="48" t="inlineStr"/>
      <c r="CF31" s="48" t="inlineStr"/>
      <c r="CG31" s="48" t="inlineStr"/>
      <c r="CH31" s="48" t="inlineStr"/>
      <c r="CI31" s="48" t="inlineStr"/>
      <c r="CJ31" s="48" t="inlineStr"/>
      <c r="CK31" s="48" t="inlineStr"/>
      <c r="CL31" s="48" t="inlineStr"/>
      <c r="CM31" s="48" t="inlineStr"/>
      <c r="CN31" s="48" t="inlineStr"/>
      <c r="CO31" s="48" t="inlineStr"/>
      <c r="CP31" s="48" t="inlineStr"/>
      <c r="CQ31" s="48" t="inlineStr"/>
      <c r="CR31" s="48" t="inlineStr"/>
      <c r="CS31" s="48">
        <f>IF(LEFT($J31,3)="ERR",0,1)</f>
        <v/>
      </c>
      <c r="CT31" s="48">
        <f>IF(LEFT($J31,3)="ADM",1,0)</f>
        <v/>
      </c>
      <c r="CU31" s="48">
        <f>IF(OR($J31="ADM-ACT-MAT-CNE",$J31="ADM-ACT-MAT-CE",$J31="ADM-INACT-M&amp;T"),1,0)</f>
        <v/>
      </c>
      <c r="CV31" s="48">
        <f>IF(AND(CU31=1,ISNUMBER(M31),ISNUMBER(I31)),M31-I31,"")</f>
        <v/>
      </c>
      <c r="CW31" s="48">
        <f>IF(ISNUMBER(I31),TODAY()-I31,"")</f>
        <v/>
      </c>
      <c r="CX31" s="48">
        <f>IF(ISNUMBER(I31),DATE(YEAR(I31),MONTH(I31),1),"")</f>
        <v/>
      </c>
      <c r="CY31" s="48">
        <f>IFERROR(DATEDIF(AK31,TODAY(),"y"),"")</f>
        <v/>
      </c>
      <c r="CZ31" s="48">
        <f>IF(CY31="","",IF(CY31&lt;28,"18-27",IF(CY31&lt;38,"28-37",IF(CY31&lt;48,"38-47",IF(CY31&lt;58,"48-57",IF(CY31&lt;68,"58-67",IF(CY31&lt;78,"68-77","78+")))))) </f>
        <v/>
      </c>
      <c r="DA31" s="48">
        <f>IF(AND(BQ31&lt;&gt;"",BR31=""),N(BS31),0)+IF(AND(BW31&lt;&gt;"",BX31=""),N(BY31),0)+IF(AND(CC31&lt;&gt;"",CD31=""),N(CE31),0)+IF(AND(CI31&lt;&gt;"",CJ31=""),N(CK31),0)+IF(AND(CO31&lt;&gt;"",CP31=""),N(CQ31),0)</f>
        <v/>
      </c>
      <c r="DB31" s="48">
        <f>ROUND(IF(BQ31&lt;&gt;"",N(BS31)*MAX(0,((IF(BR31="",TODAY(),BR31))-BQ31)/7),0)+IF(BW31&lt;&gt;"",N(BY31)*MAX(0,((IF(BX31="",TODAY(),BX31))-BW31)/7),0)+IF(CC31&lt;&gt;"",N(CE31)*MAX(0,((IF(CD31="",TODAY(),CD31))-CC31)/7),0)+IF(CI31&lt;&gt;"",N(CK31)*MAX(0,((IF(CJ31="",TODAY(),CJ31))-CI31)/7),0)+IF(CO31&lt;&gt;"",N(CQ31)*MAX(0,((IF(CP31="",TODAY(),CP31))-CO31)/7),0),1)</f>
        <v/>
      </c>
      <c r="DC31" s="48">
        <f>IF(OR(TRIM(X31)="",TRIM(X31)="NA;",TRIM(X31)="NA"),0,1)</f>
        <v/>
      </c>
      <c r="DD31" s="48">
        <f>IF(OR(TRIM(Y31)="",TRIM(Y31)="NA;",TRIM(Y31)="NA"),0,1)</f>
        <v/>
      </c>
      <c r="DE31" s="48">
        <f>IF(OR(TRIM(Z31)="",TRIM(Z31)="NA;",TRIM(Z31)="NA"),0,1)</f>
        <v/>
      </c>
      <c r="DF31" s="48">
        <f>IF(OR(TRIM(AA31)="",TRIM(AA31)="NA;",TRIM(AA31)="NA"),0,1)</f>
        <v/>
      </c>
      <c r="DG31" s="48">
        <f>IF(OR(TRIM(AB31)="",TRIM(AB31)="NA;",TRIM(AB31)="NA"),0,1)</f>
        <v/>
      </c>
      <c r="DH31" s="48">
        <f>IF(OR(TRIM(AC31)="",TRIM(AC31)="NA;",TRIM(AC31)="NA"),0,1)</f>
        <v/>
      </c>
      <c r="DI31" s="48">
        <f>IF(OR(TRIM(AD31)="",TRIM(AD31)="NA;",TRIM(AD31)="NA"),0,1)</f>
        <v/>
      </c>
      <c r="DJ31" s="48">
        <f>TRIM(IF(DC31=1,"Mon ","")&amp;IF(DD31=1,"Tue ","")&amp;IF(DE31=1,"Wed ","")&amp;IF(DF31=1,"Thu ","")&amp;IF(DG31=1,"Fri ","")&amp;IF(DH31=1,"Sat ","")&amp;IF(DI31=1,"Sun ",""))</f>
        <v/>
      </c>
    </row>
    <row r="32">
      <c r="A32" s="48" t="inlineStr">
        <is>
          <t>T-O-00030</t>
        </is>
      </c>
      <c r="B32" s="48" t="inlineStr">
        <is>
          <t>Chloe Nguyen</t>
        </is>
      </c>
      <c r="C32" s="48" t="inlineStr">
        <is>
          <t>chloe.nguyen30@example.com</t>
        </is>
      </c>
      <c r="D32" s="48" t="inlineStr">
        <is>
          <t>+61 454 320 681</t>
        </is>
      </c>
      <c r="E32" s="48" t="inlineStr">
        <is>
          <t>Anya Green</t>
        </is>
      </c>
      <c r="F32" s="48" t="inlineStr">
        <is>
          <t>+61 439 360 106</t>
        </is>
      </c>
      <c r="G32" s="48" t="inlineStr">
        <is>
          <t>Friend</t>
        </is>
      </c>
      <c r="H32" s="48" t="inlineStr">
        <is>
          <t>Tutor</t>
        </is>
      </c>
      <c r="I32" s="49" t="n">
        <v>45499</v>
      </c>
      <c r="J32" s="48" t="inlineStr">
        <is>
          <t>ADM-ACT-UNMAT</t>
        </is>
      </c>
      <c r="K32" s="48">
        <f>IFERROR(VLOOKUP(J32,'(A) Introduction'!$B$35:$C$45,2,FALSE),"")</f>
        <v/>
      </c>
      <c r="L32" s="48" t="inlineStr">
        <is>
          <t>No</t>
        </is>
      </c>
      <c r="M32" s="48" t="inlineStr"/>
      <c r="N32" s="48" t="inlineStr"/>
      <c r="O32" s="48" t="n">
        <v>2</v>
      </c>
      <c r="P32" s="48">
        <f>IF($H32="Tutor",((BQ32&lt;&gt;"")*(BR32=""))+((BW32&lt;&gt;"")*(BX32=""))+((CC32&lt;&gt;"")*(CD32=""))+((CI32&lt;&gt;"")*(CJ32=""))+((CO32&lt;&gt;"")*(CP32="")),SUMPRODUCT(--($BO$3:$BO$202=$A32),--($BR$3:$BR$202=""))+SUMPRODUCT(--($BU$3:$BU$202=$A32),--($BX$3:$BX$202=""))+SUMPRODUCT(--($CA$3:$CA$202=$A32),--($CD$3:$CD$202=""))+SUMPRODUCT(--($CG$3:$CG$202=$A32),--($CJ$3:$CJ$202=""))+SUMPRODUCT(--($CM$3:$CM$202=$A32),--($CP$3:$CP$202="")))</f>
        <v/>
      </c>
      <c r="Q32" s="48">
        <f>IF($H32="Tutor",(BQ32&lt;&gt;"")+(BW32&lt;&gt;"")+(CC32&lt;&gt;"")+(CI32&lt;&gt;"")+(CO32&lt;&gt;""),SUMPRODUCT(--($BO$3:$BO$202=$A32))+SUMPRODUCT(--($BU$3:$BU$202=$A32))+SUMPRODUCT(--($CA$3:$CA$202=$A32))+SUMPRODUCT(--($CG$3:$CG$202=$A32))+SUMPRODUCT(--($CM$3:$CM$202=$A32)))</f>
        <v/>
      </c>
      <c r="R32" s="48">
        <f>IF($H32="Tutor",TRIM(IF(AND(BQ32&lt;&gt;"",BR32=""),BP32&amp;"; ","")&amp;IF(AND(BW32&lt;&gt;"",BX32=""),BV32&amp;"; ","")&amp;IF(AND(CC32&lt;&gt;"",CD32=""),CB32&amp;"; ","")&amp;IF(AND(CI32&lt;&gt;"",CJ32=""),CH32&amp;"; ","")&amp;IF(AND(CO32&lt;&gt;"",CP32=""),CN32&amp;"; ","")),IFERROR(INDEX($A$3:$B$202,(SUMPRODUCT(($BO$3:$BO$202=$A32)*($BR$3:$BR$202="")*ROW($BO$3:$BO$202))+SUMPRODUCT(($BU$3:$BU$202=$A32)*($BX$3:$BX$202="")*ROW($BU$3:$BU$202))+SUMPRODUCT(($CA$3:$CA$202=$A32)*($CD$3:$CD$202="")*ROW($CA$3:$CA$202))+SUMPRODUCT(($CG$3:$CG$202=$A32)*($CJ$3:$CJ$202="")*ROW($CG$3:$CG$202))+SUMPRODUCT(($CM$3:$CM$202=$A32)*($CP$3:$CP$202="")*ROW($CM$3:$CM$202)))-2,2),""))</f>
        <v/>
      </c>
      <c r="S32" s="48" t="inlineStr">
        <is>
          <t>Not Provided</t>
        </is>
      </c>
      <c r="T32" s="48" t="inlineStr"/>
      <c r="U32" s="48" t="inlineStr"/>
      <c r="V32" s="49" t="n">
        <v>45824</v>
      </c>
      <c r="W32" s="48" t="inlineStr">
        <is>
          <t>AEST (UTC+10)</t>
        </is>
      </c>
      <c r="X32" s="48" t="inlineStr">
        <is>
          <t>6pm-9pm;</t>
        </is>
      </c>
      <c r="Y32" s="48" t="inlineStr">
        <is>
          <t>6pm-9pm;</t>
        </is>
      </c>
      <c r="Z32" s="48" t="inlineStr">
        <is>
          <t>6pm-9pm;</t>
        </is>
      </c>
      <c r="AA32" s="48" t="inlineStr">
        <is>
          <t>6pm-9pm;</t>
        </is>
      </c>
      <c r="AB32" s="48" t="inlineStr">
        <is>
          <t>6pm-9pm;</t>
        </is>
      </c>
      <c r="AC32" s="48" t="inlineStr">
        <is>
          <t>12pm-3pm;6pm-9pm;</t>
        </is>
      </c>
      <c r="AD32" s="48" t="inlineStr">
        <is>
          <t>6pm-9pm;</t>
        </is>
      </c>
      <c r="AE32" s="48" t="inlineStr">
        <is>
          <t>Either</t>
        </is>
      </c>
      <c r="AF32" s="48" t="inlineStr">
        <is>
          <t>NA - Tutor</t>
        </is>
      </c>
      <c r="AG32" s="48" t="inlineStr">
        <is>
          <t>Australia</t>
        </is>
      </c>
      <c r="AH32" s="48" t="inlineStr">
        <is>
          <t>New South Wales</t>
        </is>
      </c>
      <c r="AI32" s="48" t="inlineStr">
        <is>
          <t>Fairfield</t>
        </is>
      </c>
      <c r="AJ32" s="48" t="inlineStr">
        <is>
          <t>2165</t>
        </is>
      </c>
      <c r="AK32" s="49" t="n">
        <v>34751</v>
      </c>
      <c r="AL32" s="48" t="inlineStr">
        <is>
          <t>Male</t>
        </is>
      </c>
      <c r="AM32" s="48" t="inlineStr">
        <is>
          <t>NA</t>
        </is>
      </c>
      <c r="AN32" s="48" t="inlineStr">
        <is>
          <t>NA - Tutor</t>
        </is>
      </c>
      <c r="AO32" s="48" t="inlineStr">
        <is>
          <t>Moderate</t>
        </is>
      </c>
      <c r="AP32" s="48" t="inlineStr">
        <is>
          <t>Lebanon</t>
        </is>
      </c>
      <c r="AQ32" s="48" t="inlineStr">
        <is>
          <t>NA</t>
        </is>
      </c>
      <c r="AR32" s="48" t="inlineStr">
        <is>
          <t>English (C2)</t>
        </is>
      </c>
      <c r="AS32" s="48" t="inlineStr">
        <is>
          <t>Muslim</t>
        </is>
      </c>
      <c r="AT32" s="48" t="inlineStr">
        <is>
          <t>Social &amp; Community Services</t>
        </is>
      </c>
      <c r="AU32" s="48" t="inlineStr">
        <is>
          <t>Retail</t>
        </is>
      </c>
      <c r="AV32" s="48" t="inlineStr">
        <is>
          <t>NA - Tutor</t>
        </is>
      </c>
      <c r="AW32" s="48" t="inlineStr">
        <is>
          <t>Football; Cooking; Family</t>
        </is>
      </c>
      <c r="AX32" s="48" t="inlineStr">
        <is>
          <t>NA - Tutor</t>
        </is>
      </c>
      <c r="AY32" s="48" t="inlineStr">
        <is>
          <t>NA - Partner Organisation Verified</t>
        </is>
      </c>
      <c r="AZ32" s="48" t="inlineStr">
        <is>
          <t>Yes</t>
        </is>
      </c>
      <c r="BA32" s="48" t="inlineStr">
        <is>
          <t>Camila Ibrahim</t>
        </is>
      </c>
      <c r="BB32" s="48" t="inlineStr">
        <is>
          <t>Manager</t>
        </is>
      </c>
      <c r="BC32" s="48" t="inlineStr">
        <is>
          <t>hannah.taylor530@example.com</t>
        </is>
      </c>
      <c r="BD32" s="48" t="inlineStr">
        <is>
          <t>Yes</t>
        </is>
      </c>
      <c r="BE32" s="48" t="inlineStr">
        <is>
          <t>WWC9012989V</t>
        </is>
      </c>
      <c r="BF32" s="49" t="n">
        <v>46327</v>
      </c>
      <c r="BG32" s="48" t="inlineStr">
        <is>
          <t>Yes</t>
        </is>
      </c>
      <c r="BH32" s="48" t="inlineStr">
        <is>
          <t>Adults Only</t>
        </is>
      </c>
      <c r="BI32" s="48" t="inlineStr">
        <is>
          <t>Settlement Services International</t>
        </is>
      </c>
      <c r="BJ32" s="48" t="inlineStr">
        <is>
          <t>ZULMAN Levi</t>
        </is>
      </c>
      <c r="BK32" s="48" t="inlineStr">
        <is>
          <t>AGARWAL Akanksha</t>
        </is>
      </c>
      <c r="BL32" s="48" t="inlineStr">
        <is>
          <t>Synthetic test record.</t>
        </is>
      </c>
      <c r="BM32" s="48" t="inlineStr"/>
      <c r="BN32" s="48">
        <f>TRIM(IF(AND($H32="Student",$J32="ADM-ACT-MAT-CNE"),"Invalid: Student cannot be CNE. ","")&amp;IF(AND($H32="Student",ISNUMBER($O32)),"Check: capacity set for a Student. ","")&amp;IF(AND(LEFT($J32,11)="ADM-ACT-MAT",$P32=0),"Check: matched status but 0 active pairings. ","")&amp;IF(AND($H32="Tutor",ISNUMBER($O32),$P32&gt;$O32),"Check: pairings exceed capacity. ","")&amp;IF(AND($BH32="Everyone",NOT(AND($BD32="Yes",$BG32="Yes"))),"Check: approved to tutor children but WWCC not provided/confirmed. ","")&amp;IF(AND($P32&gt;0,NOT(AND(OR(LEFT($AY32,3)="Yes",LEFT($AY32,2)="NA"),OR(LEFT($AZ32,3)="Yes",LEFT($AZ32,2)="NA")))),"Matched but vetting incomplete (interview/reference). ","")&amp;IF(COUNTIF($B$3:$B$600,$B32)&gt;1,"Duplicate participant name. ",""))</f>
        <v/>
      </c>
      <c r="BO32" s="48" t="inlineStr"/>
      <c r="BP32" s="48" t="inlineStr"/>
      <c r="BQ32" s="48" t="inlineStr"/>
      <c r="BR32" s="48" t="inlineStr"/>
      <c r="BS32" s="48" t="inlineStr"/>
      <c r="BT32" s="48" t="inlineStr"/>
      <c r="BU32" s="48" t="inlineStr"/>
      <c r="BV32" s="48" t="inlineStr"/>
      <c r="BW32" s="48" t="inlineStr"/>
      <c r="BX32" s="48" t="inlineStr"/>
      <c r="BY32" s="48" t="inlineStr"/>
      <c r="BZ32" s="48" t="inlineStr"/>
      <c r="CA32" s="48" t="inlineStr"/>
      <c r="CB32" s="48" t="inlineStr"/>
      <c r="CC32" s="48" t="inlineStr"/>
      <c r="CD32" s="48" t="inlineStr"/>
      <c r="CE32" s="48" t="inlineStr"/>
      <c r="CF32" s="48" t="inlineStr"/>
      <c r="CG32" s="48" t="inlineStr"/>
      <c r="CH32" s="48" t="inlineStr"/>
      <c r="CI32" s="48" t="inlineStr"/>
      <c r="CJ32" s="48" t="inlineStr"/>
      <c r="CK32" s="48" t="inlineStr"/>
      <c r="CL32" s="48" t="inlineStr"/>
      <c r="CM32" s="48" t="inlineStr"/>
      <c r="CN32" s="48" t="inlineStr"/>
      <c r="CO32" s="48" t="inlineStr"/>
      <c r="CP32" s="48" t="inlineStr"/>
      <c r="CQ32" s="48" t="inlineStr"/>
      <c r="CR32" s="48" t="inlineStr"/>
      <c r="CS32" s="48">
        <f>IF(LEFT($J32,3)="ERR",0,1)</f>
        <v/>
      </c>
      <c r="CT32" s="48">
        <f>IF(LEFT($J32,3)="ADM",1,0)</f>
        <v/>
      </c>
      <c r="CU32" s="48">
        <f>IF(OR($J32="ADM-ACT-MAT-CNE",$J32="ADM-ACT-MAT-CE",$J32="ADM-INACT-M&amp;T"),1,0)</f>
        <v/>
      </c>
      <c r="CV32" s="48">
        <f>IF(AND(CU32=1,ISNUMBER(M32),ISNUMBER(I32)),M32-I32,"")</f>
        <v/>
      </c>
      <c r="CW32" s="48">
        <f>IF(ISNUMBER(I32),TODAY()-I32,"")</f>
        <v/>
      </c>
      <c r="CX32" s="48">
        <f>IF(ISNUMBER(I32),DATE(YEAR(I32),MONTH(I32),1),"")</f>
        <v/>
      </c>
      <c r="CY32" s="48">
        <f>IFERROR(DATEDIF(AK32,TODAY(),"y"),"")</f>
        <v/>
      </c>
      <c r="CZ32" s="48">
        <f>IF(CY32="","",IF(CY32&lt;28,"18-27",IF(CY32&lt;38,"28-37",IF(CY32&lt;48,"38-47",IF(CY32&lt;58,"48-57",IF(CY32&lt;68,"58-67",IF(CY32&lt;78,"68-77","78+")))))) </f>
        <v/>
      </c>
      <c r="DA32" s="48">
        <f>IF(AND(BQ32&lt;&gt;"",BR32=""),N(BS32),0)+IF(AND(BW32&lt;&gt;"",BX32=""),N(BY32),0)+IF(AND(CC32&lt;&gt;"",CD32=""),N(CE32),0)+IF(AND(CI32&lt;&gt;"",CJ32=""),N(CK32),0)+IF(AND(CO32&lt;&gt;"",CP32=""),N(CQ32),0)</f>
        <v/>
      </c>
      <c r="DB32" s="48">
        <f>ROUND(IF(BQ32&lt;&gt;"",N(BS32)*MAX(0,((IF(BR32="",TODAY(),BR32))-BQ32)/7),0)+IF(BW32&lt;&gt;"",N(BY32)*MAX(0,((IF(BX32="",TODAY(),BX32))-BW32)/7),0)+IF(CC32&lt;&gt;"",N(CE32)*MAX(0,((IF(CD32="",TODAY(),CD32))-CC32)/7),0)+IF(CI32&lt;&gt;"",N(CK32)*MAX(0,((IF(CJ32="",TODAY(),CJ32))-CI32)/7),0)+IF(CO32&lt;&gt;"",N(CQ32)*MAX(0,((IF(CP32="",TODAY(),CP32))-CO32)/7),0),1)</f>
        <v/>
      </c>
      <c r="DC32" s="48">
        <f>IF(OR(TRIM(X32)="",TRIM(X32)="NA;",TRIM(X32)="NA"),0,1)</f>
        <v/>
      </c>
      <c r="DD32" s="48">
        <f>IF(OR(TRIM(Y32)="",TRIM(Y32)="NA;",TRIM(Y32)="NA"),0,1)</f>
        <v/>
      </c>
      <c r="DE32" s="48">
        <f>IF(OR(TRIM(Z32)="",TRIM(Z32)="NA;",TRIM(Z32)="NA"),0,1)</f>
        <v/>
      </c>
      <c r="DF32" s="48">
        <f>IF(OR(TRIM(AA32)="",TRIM(AA32)="NA;",TRIM(AA32)="NA"),0,1)</f>
        <v/>
      </c>
      <c r="DG32" s="48">
        <f>IF(OR(TRIM(AB32)="",TRIM(AB32)="NA;",TRIM(AB32)="NA"),0,1)</f>
        <v/>
      </c>
      <c r="DH32" s="48">
        <f>IF(OR(TRIM(AC32)="",TRIM(AC32)="NA;",TRIM(AC32)="NA"),0,1)</f>
        <v/>
      </c>
      <c r="DI32" s="48">
        <f>IF(OR(TRIM(AD32)="",TRIM(AD32)="NA;",TRIM(AD32)="NA"),0,1)</f>
        <v/>
      </c>
      <c r="DJ32" s="48">
        <f>TRIM(IF(DC32=1,"Mon ","")&amp;IF(DD32=1,"Tue ","")&amp;IF(DE32=1,"Wed ","")&amp;IF(DF32=1,"Thu ","")&amp;IF(DG32=1,"Fri ","")&amp;IF(DH32=1,"Sat ","")&amp;IF(DI32=1,"Sun ",""))</f>
        <v/>
      </c>
    </row>
    <row r="33">
      <c r="A33" s="48" t="inlineStr">
        <is>
          <t>T-O-00031</t>
        </is>
      </c>
      <c r="B33" s="48" t="inlineStr">
        <is>
          <t>Zara Nguyen</t>
        </is>
      </c>
      <c r="C33" s="48" t="inlineStr">
        <is>
          <t>zara.nguyen31@example.com</t>
        </is>
      </c>
      <c r="D33" s="48" t="inlineStr">
        <is>
          <t>+61 471 376 117</t>
        </is>
      </c>
      <c r="E33" s="48" t="inlineStr">
        <is>
          <t>Mohamed Ibrahim</t>
        </is>
      </c>
      <c r="F33" s="48" t="inlineStr">
        <is>
          <t>+61 448 429 464</t>
        </is>
      </c>
      <c r="G33" s="48" t="inlineStr">
        <is>
          <t>Sibling</t>
        </is>
      </c>
      <c r="H33" s="48" t="inlineStr">
        <is>
          <t>Tutor</t>
        </is>
      </c>
      <c r="I33" s="49" t="n">
        <v>45510</v>
      </c>
      <c r="J33" s="48" t="inlineStr">
        <is>
          <t>ADM-INACT-NOM&amp;T</t>
        </is>
      </c>
      <c r="K33" s="48">
        <f>IFERROR(VLOOKUP(J33,'(A) Introduction'!$B$35:$C$45,2,FALSE),"")</f>
        <v/>
      </c>
      <c r="L33" s="48" t="inlineStr">
        <is>
          <t>No</t>
        </is>
      </c>
      <c r="M33" s="48" t="inlineStr"/>
      <c r="N33" s="48" t="inlineStr"/>
      <c r="O33" s="48" t="n">
        <v>2</v>
      </c>
      <c r="P33" s="48">
        <f>IF($H33="Tutor",((BQ33&lt;&gt;"")*(BR33=""))+((BW33&lt;&gt;"")*(BX33=""))+((CC33&lt;&gt;"")*(CD33=""))+((CI33&lt;&gt;"")*(CJ33=""))+((CO33&lt;&gt;"")*(CP33="")),SUMPRODUCT(--($BO$3:$BO$202=$A33),--($BR$3:$BR$202=""))+SUMPRODUCT(--($BU$3:$BU$202=$A33),--($BX$3:$BX$202=""))+SUMPRODUCT(--($CA$3:$CA$202=$A33),--($CD$3:$CD$202=""))+SUMPRODUCT(--($CG$3:$CG$202=$A33),--($CJ$3:$CJ$202=""))+SUMPRODUCT(--($CM$3:$CM$202=$A33),--($CP$3:$CP$202="")))</f>
        <v/>
      </c>
      <c r="Q33" s="48">
        <f>IF($H33="Tutor",(BQ33&lt;&gt;"")+(BW33&lt;&gt;"")+(CC33&lt;&gt;"")+(CI33&lt;&gt;"")+(CO33&lt;&gt;""),SUMPRODUCT(--($BO$3:$BO$202=$A33))+SUMPRODUCT(--($BU$3:$BU$202=$A33))+SUMPRODUCT(--($CA$3:$CA$202=$A33))+SUMPRODUCT(--($CG$3:$CG$202=$A33))+SUMPRODUCT(--($CM$3:$CM$202=$A33)))</f>
        <v/>
      </c>
      <c r="R33" s="48">
        <f>IF($H33="Tutor",TRIM(IF(AND(BQ33&lt;&gt;"",BR33=""),BP33&amp;"; ","")&amp;IF(AND(BW33&lt;&gt;"",BX33=""),BV33&amp;"; ","")&amp;IF(AND(CC33&lt;&gt;"",CD33=""),CB33&amp;"; ","")&amp;IF(AND(CI33&lt;&gt;"",CJ33=""),CH33&amp;"; ","")&amp;IF(AND(CO33&lt;&gt;"",CP33=""),CN33&amp;"; ","")),IFERROR(INDEX($A$3:$B$202,(SUMPRODUCT(($BO$3:$BO$202=$A33)*($BR$3:$BR$202="")*ROW($BO$3:$BO$202))+SUMPRODUCT(($BU$3:$BU$202=$A33)*($BX$3:$BX$202="")*ROW($BU$3:$BU$202))+SUMPRODUCT(($CA$3:$CA$202=$A33)*($CD$3:$CD$202="")*ROW($CA$3:$CA$202))+SUMPRODUCT(($CG$3:$CG$202=$A33)*($CJ$3:$CJ$202="")*ROW($CG$3:$CG$202))+SUMPRODUCT(($CM$3:$CM$202=$A33)*($CP$3:$CP$202="")*ROW($CM$3:$CM$202)))-2,2),""))</f>
        <v/>
      </c>
      <c r="S33" s="48" t="inlineStr">
        <is>
          <t>NA</t>
        </is>
      </c>
      <c r="T33" s="48" t="inlineStr"/>
      <c r="U33" s="48" t="inlineStr"/>
      <c r="V33" s="49" t="n">
        <v>45460</v>
      </c>
      <c r="W33" s="48" t="inlineStr">
        <is>
          <t>AEST (UTC+10)</t>
        </is>
      </c>
      <c r="X33" s="48" t="inlineStr">
        <is>
          <t>12pm-3pm;6pm-9pm;</t>
        </is>
      </c>
      <c r="Y33" s="48" t="inlineStr">
        <is>
          <t>9am-12pm;12pm-3pm;3pm-6pm;</t>
        </is>
      </c>
      <c r="Z33" s="48" t="inlineStr">
        <is>
          <t>9am-12pm;12pm-3pm;3pm-6pm;</t>
        </is>
      </c>
      <c r="AA33" s="48" t="inlineStr">
        <is>
          <t>NA;</t>
        </is>
      </c>
      <c r="AB33" s="48" t="inlineStr">
        <is>
          <t>3pm-6pm;</t>
        </is>
      </c>
      <c r="AC33" s="48" t="inlineStr">
        <is>
          <t>NA;</t>
        </is>
      </c>
      <c r="AD33" s="48" t="inlineStr">
        <is>
          <t>9am-12pm;</t>
        </is>
      </c>
      <c r="AE33" s="48" t="inlineStr">
        <is>
          <t>In-Person</t>
        </is>
      </c>
      <c r="AF33" s="48" t="inlineStr">
        <is>
          <t>NA - Tutor</t>
        </is>
      </c>
      <c r="AG33" s="48" t="inlineStr">
        <is>
          <t>Australia</t>
        </is>
      </c>
      <c r="AH33" s="48" t="inlineStr">
        <is>
          <t>New South Wales</t>
        </is>
      </c>
      <c r="AI33" s="48" t="inlineStr">
        <is>
          <t>Liverpool</t>
        </is>
      </c>
      <c r="AJ33" s="48" t="inlineStr">
        <is>
          <t>2170</t>
        </is>
      </c>
      <c r="AK33" s="49" t="n">
        <v>34160</v>
      </c>
      <c r="AL33" s="48" t="inlineStr">
        <is>
          <t>Male</t>
        </is>
      </c>
      <c r="AM33" s="48" t="inlineStr">
        <is>
          <t>NA</t>
        </is>
      </c>
      <c r="AN33" s="48" t="inlineStr">
        <is>
          <t>NA - Tutor</t>
        </is>
      </c>
      <c r="AO33" s="48" t="inlineStr">
        <is>
          <t>High</t>
        </is>
      </c>
      <c r="AP33" s="48" t="inlineStr">
        <is>
          <t>India</t>
        </is>
      </c>
      <c r="AQ33" s="48" t="inlineStr">
        <is>
          <t>NA</t>
        </is>
      </c>
      <c r="AR33" s="48" t="inlineStr">
        <is>
          <t>English (C2)</t>
        </is>
      </c>
      <c r="AS33" s="48" t="inlineStr">
        <is>
          <t>Muslim</t>
        </is>
      </c>
      <c r="AT33" s="48" t="inlineStr">
        <is>
          <t>Childcare &amp; Aged Care</t>
        </is>
      </c>
      <c r="AU33" s="48" t="inlineStr">
        <is>
          <t>Nurse</t>
        </is>
      </c>
      <c r="AV33" s="48" t="inlineStr">
        <is>
          <t>NA - Tutor</t>
        </is>
      </c>
      <c r="AW33" s="48" t="inlineStr">
        <is>
          <t>Football; Cooking; Family</t>
        </is>
      </c>
      <c r="AX33" s="48" t="inlineStr">
        <is>
          <t>NA - Tutor</t>
        </is>
      </c>
      <c r="AY33" s="48" t="inlineStr">
        <is>
          <t>NA - RELT Member Verified</t>
        </is>
      </c>
      <c r="AZ33" s="48" t="inlineStr">
        <is>
          <t>Yes</t>
        </is>
      </c>
      <c r="BA33" s="48" t="inlineStr">
        <is>
          <t>Ahmad Morris</t>
        </is>
      </c>
      <c r="BB33" s="48" t="inlineStr">
        <is>
          <t>Academic Referee</t>
        </is>
      </c>
      <c r="BC33" s="48" t="inlineStr">
        <is>
          <t>chloe.marks531@example.com</t>
        </is>
      </c>
      <c r="BD33" s="48" t="inlineStr">
        <is>
          <t>Yes</t>
        </is>
      </c>
      <c r="BE33" s="48" t="inlineStr">
        <is>
          <t>WWC6040020E</t>
        </is>
      </c>
      <c r="BF33" s="49" t="n">
        <v>47094</v>
      </c>
      <c r="BG33" s="48" t="inlineStr">
        <is>
          <t>No</t>
        </is>
      </c>
      <c r="BH33" s="48" t="inlineStr">
        <is>
          <t>Adults Only</t>
        </is>
      </c>
      <c r="BI33" s="48" t="inlineStr">
        <is>
          <t>AMES Australia</t>
        </is>
      </c>
      <c r="BJ33" s="48" t="inlineStr">
        <is>
          <t>CROCK Mary</t>
        </is>
      </c>
      <c r="BK33" s="48" t="inlineStr">
        <is>
          <t>ZULMAN Levi</t>
        </is>
      </c>
      <c r="BL33" s="48" t="inlineStr">
        <is>
          <t>Synthetic test record.</t>
        </is>
      </c>
      <c r="BM33" s="48" t="inlineStr"/>
      <c r="BN33" s="48">
        <f>TRIM(IF(AND($H33="Student",$J33="ADM-ACT-MAT-CNE"),"Invalid: Student cannot be CNE. ","")&amp;IF(AND($H33="Student",ISNUMBER($O33)),"Check: capacity set for a Student. ","")&amp;IF(AND(LEFT($J33,11)="ADM-ACT-MAT",$P33=0),"Check: matched status but 0 active pairings. ","")&amp;IF(AND($H33="Tutor",ISNUMBER($O33),$P33&gt;$O33),"Check: pairings exceed capacity. ","")&amp;IF(AND($BH33="Everyone",NOT(AND($BD33="Yes",$BG33="Yes"))),"Check: approved to tutor children but WWCC not provided/confirmed. ","")&amp;IF(AND($P33&gt;0,NOT(AND(OR(LEFT($AY33,3)="Yes",LEFT($AY33,2)="NA"),OR(LEFT($AZ33,3)="Yes",LEFT($AZ33,2)="NA")))),"Matched but vetting incomplete (interview/reference). ","")&amp;IF(COUNTIF($B$3:$B$600,$B33)&gt;1,"Duplicate participant name. ",""))</f>
        <v/>
      </c>
      <c r="BO33" s="48" t="inlineStr"/>
      <c r="BP33" s="48" t="inlineStr"/>
      <c r="BQ33" s="48" t="inlineStr"/>
      <c r="BR33" s="48" t="inlineStr"/>
      <c r="BS33" s="48" t="inlineStr"/>
      <c r="BT33" s="48" t="inlineStr"/>
      <c r="BU33" s="48" t="inlineStr"/>
      <c r="BV33" s="48" t="inlineStr"/>
      <c r="BW33" s="48" t="inlineStr"/>
      <c r="BX33" s="48" t="inlineStr"/>
      <c r="BY33" s="48" t="inlineStr"/>
      <c r="BZ33" s="48" t="inlineStr"/>
      <c r="CA33" s="48" t="inlineStr"/>
      <c r="CB33" s="48" t="inlineStr"/>
      <c r="CC33" s="48" t="inlineStr"/>
      <c r="CD33" s="48" t="inlineStr"/>
      <c r="CE33" s="48" t="inlineStr"/>
      <c r="CF33" s="48" t="inlineStr"/>
      <c r="CG33" s="48" t="inlineStr"/>
      <c r="CH33" s="48" t="inlineStr"/>
      <c r="CI33" s="48" t="inlineStr"/>
      <c r="CJ33" s="48" t="inlineStr"/>
      <c r="CK33" s="48" t="inlineStr"/>
      <c r="CL33" s="48" t="inlineStr"/>
      <c r="CM33" s="48" t="inlineStr"/>
      <c r="CN33" s="48" t="inlineStr"/>
      <c r="CO33" s="48" t="inlineStr"/>
      <c r="CP33" s="48" t="inlineStr"/>
      <c r="CQ33" s="48" t="inlineStr"/>
      <c r="CR33" s="48" t="inlineStr"/>
      <c r="CS33" s="48">
        <f>IF(LEFT($J33,3)="ERR",0,1)</f>
        <v/>
      </c>
      <c r="CT33" s="48">
        <f>IF(LEFT($J33,3)="ADM",1,0)</f>
        <v/>
      </c>
      <c r="CU33" s="48">
        <f>IF(OR($J33="ADM-ACT-MAT-CNE",$J33="ADM-ACT-MAT-CE",$J33="ADM-INACT-M&amp;T"),1,0)</f>
        <v/>
      </c>
      <c r="CV33" s="48">
        <f>IF(AND(CU33=1,ISNUMBER(M33),ISNUMBER(I33)),M33-I33,"")</f>
        <v/>
      </c>
      <c r="CW33" s="48">
        <f>IF(ISNUMBER(I33),TODAY()-I33,"")</f>
        <v/>
      </c>
      <c r="CX33" s="48">
        <f>IF(ISNUMBER(I33),DATE(YEAR(I33),MONTH(I33),1),"")</f>
        <v/>
      </c>
      <c r="CY33" s="48">
        <f>IFERROR(DATEDIF(AK33,TODAY(),"y"),"")</f>
        <v/>
      </c>
      <c r="CZ33" s="48">
        <f>IF(CY33="","",IF(CY33&lt;28,"18-27",IF(CY33&lt;38,"28-37",IF(CY33&lt;48,"38-47",IF(CY33&lt;58,"48-57",IF(CY33&lt;68,"58-67",IF(CY33&lt;78,"68-77","78+")))))) </f>
        <v/>
      </c>
      <c r="DA33" s="48">
        <f>IF(AND(BQ33&lt;&gt;"",BR33=""),N(BS33),0)+IF(AND(BW33&lt;&gt;"",BX33=""),N(BY33),0)+IF(AND(CC33&lt;&gt;"",CD33=""),N(CE33),0)+IF(AND(CI33&lt;&gt;"",CJ33=""),N(CK33),0)+IF(AND(CO33&lt;&gt;"",CP33=""),N(CQ33),0)</f>
        <v/>
      </c>
      <c r="DB33" s="48">
        <f>ROUND(IF(BQ33&lt;&gt;"",N(BS33)*MAX(0,((IF(BR33="",TODAY(),BR33))-BQ33)/7),0)+IF(BW33&lt;&gt;"",N(BY33)*MAX(0,((IF(BX33="",TODAY(),BX33))-BW33)/7),0)+IF(CC33&lt;&gt;"",N(CE33)*MAX(0,((IF(CD33="",TODAY(),CD33))-CC33)/7),0)+IF(CI33&lt;&gt;"",N(CK33)*MAX(0,((IF(CJ33="",TODAY(),CJ33))-CI33)/7),0)+IF(CO33&lt;&gt;"",N(CQ33)*MAX(0,((IF(CP33="",TODAY(),CP33))-CO33)/7),0),1)</f>
        <v/>
      </c>
      <c r="DC33" s="48">
        <f>IF(OR(TRIM(X33)="",TRIM(X33)="NA;",TRIM(X33)="NA"),0,1)</f>
        <v/>
      </c>
      <c r="DD33" s="48">
        <f>IF(OR(TRIM(Y33)="",TRIM(Y33)="NA;",TRIM(Y33)="NA"),0,1)</f>
        <v/>
      </c>
      <c r="DE33" s="48">
        <f>IF(OR(TRIM(Z33)="",TRIM(Z33)="NA;",TRIM(Z33)="NA"),0,1)</f>
        <v/>
      </c>
      <c r="DF33" s="48">
        <f>IF(OR(TRIM(AA33)="",TRIM(AA33)="NA;",TRIM(AA33)="NA"),0,1)</f>
        <v/>
      </c>
      <c r="DG33" s="48">
        <f>IF(OR(TRIM(AB33)="",TRIM(AB33)="NA;",TRIM(AB33)="NA"),0,1)</f>
        <v/>
      </c>
      <c r="DH33" s="48">
        <f>IF(OR(TRIM(AC33)="",TRIM(AC33)="NA;",TRIM(AC33)="NA"),0,1)</f>
        <v/>
      </c>
      <c r="DI33" s="48">
        <f>IF(OR(TRIM(AD33)="",TRIM(AD33)="NA;",TRIM(AD33)="NA"),0,1)</f>
        <v/>
      </c>
      <c r="DJ33" s="48">
        <f>TRIM(IF(DC33=1,"Mon ","")&amp;IF(DD33=1,"Tue ","")&amp;IF(DE33=1,"Wed ","")&amp;IF(DF33=1,"Thu ","")&amp;IF(DG33=1,"Fri ","")&amp;IF(DH33=1,"Sat ","")&amp;IF(DI33=1,"Sun ",""))</f>
        <v/>
      </c>
    </row>
    <row r="34">
      <c r="A34" s="48" t="inlineStr">
        <is>
          <t>T-O-00032</t>
        </is>
      </c>
      <c r="B34" s="48" t="inlineStr">
        <is>
          <t>Luke King</t>
        </is>
      </c>
      <c r="C34" s="48" t="inlineStr">
        <is>
          <t>luke.king32@example.com</t>
        </is>
      </c>
      <c r="D34" s="48" t="inlineStr">
        <is>
          <t>+61 410 904 053</t>
        </is>
      </c>
      <c r="E34" s="48" t="inlineStr">
        <is>
          <t>Sarah Rafipour</t>
        </is>
      </c>
      <c r="F34" s="48" t="inlineStr">
        <is>
          <t>+61 400 209 308</t>
        </is>
      </c>
      <c r="G34" s="48" t="inlineStr">
        <is>
          <t>Parent</t>
        </is>
      </c>
      <c r="H34" s="48" t="inlineStr">
        <is>
          <t>Tutor</t>
        </is>
      </c>
      <c r="I34" s="49" t="n">
        <v>45516</v>
      </c>
      <c r="J34" s="48" t="inlineStr">
        <is>
          <t>ADM-ACT-MAT-CE</t>
        </is>
      </c>
      <c r="K34" s="48">
        <f>IFERROR(VLOOKUP(J34,'(A) Introduction'!$B$35:$C$45,2,FALSE),"")</f>
        <v/>
      </c>
      <c r="L34" s="48" t="inlineStr">
        <is>
          <t>No</t>
        </is>
      </c>
      <c r="M34" s="48" t="inlineStr"/>
      <c r="N34" s="48" t="inlineStr"/>
      <c r="O34" s="48" t="n">
        <v>1</v>
      </c>
      <c r="P34" s="48">
        <f>IF($H34="Tutor",((BQ34&lt;&gt;"")*(BR34=""))+((BW34&lt;&gt;"")*(BX34=""))+((CC34&lt;&gt;"")*(CD34=""))+((CI34&lt;&gt;"")*(CJ34=""))+((CO34&lt;&gt;"")*(CP34="")),SUMPRODUCT(--($BO$3:$BO$202=$A34),--($BR$3:$BR$202=""))+SUMPRODUCT(--($BU$3:$BU$202=$A34),--($BX$3:$BX$202=""))+SUMPRODUCT(--($CA$3:$CA$202=$A34),--($CD$3:$CD$202=""))+SUMPRODUCT(--($CG$3:$CG$202=$A34),--($CJ$3:$CJ$202=""))+SUMPRODUCT(--($CM$3:$CM$202=$A34),--($CP$3:$CP$202="")))</f>
        <v/>
      </c>
      <c r="Q34" s="48">
        <f>IF($H34="Tutor",(BQ34&lt;&gt;"")+(BW34&lt;&gt;"")+(CC34&lt;&gt;"")+(CI34&lt;&gt;"")+(CO34&lt;&gt;""),SUMPRODUCT(--($BO$3:$BO$202=$A34))+SUMPRODUCT(--($BU$3:$BU$202=$A34))+SUMPRODUCT(--($CA$3:$CA$202=$A34))+SUMPRODUCT(--($CG$3:$CG$202=$A34))+SUMPRODUCT(--($CM$3:$CM$202=$A34)))</f>
        <v/>
      </c>
      <c r="R34" s="48">
        <f>IF($H34="Tutor",TRIM(IF(AND(BQ34&lt;&gt;"",BR34=""),BP34&amp;"; ","")&amp;IF(AND(BW34&lt;&gt;"",BX34=""),BV34&amp;"; ","")&amp;IF(AND(CC34&lt;&gt;"",CD34=""),CB34&amp;"; ","")&amp;IF(AND(CI34&lt;&gt;"",CJ34=""),CH34&amp;"; ","")&amp;IF(AND(CO34&lt;&gt;"",CP34=""),CN34&amp;"; ","")),IFERROR(INDEX($A$3:$B$202,(SUMPRODUCT(($BO$3:$BO$202=$A34)*($BR$3:$BR$202="")*ROW($BO$3:$BO$202))+SUMPRODUCT(($BU$3:$BU$202=$A34)*($BX$3:$BX$202="")*ROW($BU$3:$BU$202))+SUMPRODUCT(($CA$3:$CA$202=$A34)*($CD$3:$CD$202="")*ROW($CA$3:$CA$202))+SUMPRODUCT(($CG$3:$CG$202=$A34)*($CJ$3:$CJ$202="")*ROW($CG$3:$CG$202))+SUMPRODUCT(($CM$3:$CM$202=$A34)*($CP$3:$CP$202="")*ROW($CM$3:$CM$202)))-2,2),""))</f>
        <v/>
      </c>
      <c r="S34" s="48" t="inlineStr">
        <is>
          <t>Provided</t>
        </is>
      </c>
      <c r="T34" s="48" t="inlineStr"/>
      <c r="U34" s="48" t="inlineStr"/>
      <c r="V34" s="49" t="n">
        <v>45759</v>
      </c>
      <c r="W34" s="48" t="inlineStr">
        <is>
          <t>AWST (UTC+8)</t>
        </is>
      </c>
      <c r="X34" s="48" t="inlineStr">
        <is>
          <t>NA;</t>
        </is>
      </c>
      <c r="Y34" s="48" t="inlineStr">
        <is>
          <t>6pm-9pm;</t>
        </is>
      </c>
      <c r="Z34" s="48" t="inlineStr">
        <is>
          <t>3pm-6pm;</t>
        </is>
      </c>
      <c r="AA34" s="48" t="inlineStr">
        <is>
          <t>6pm-9pm;</t>
        </is>
      </c>
      <c r="AB34" s="48" t="inlineStr">
        <is>
          <t>12pm-3pm;6pm-9pm;</t>
        </is>
      </c>
      <c r="AC34" s="48" t="inlineStr">
        <is>
          <t>6pm-9pm;</t>
        </is>
      </c>
      <c r="AD34" s="48" t="inlineStr">
        <is>
          <t>6pm-9pm;</t>
        </is>
      </c>
      <c r="AE34" s="48" t="inlineStr">
        <is>
          <t>In-Person</t>
        </is>
      </c>
      <c r="AF34" s="48" t="inlineStr">
        <is>
          <t>NA - Tutor</t>
        </is>
      </c>
      <c r="AG34" s="48" t="inlineStr">
        <is>
          <t>Australia</t>
        </is>
      </c>
      <c r="AH34" s="48" t="inlineStr">
        <is>
          <t>South Australia</t>
        </is>
      </c>
      <c r="AI34" s="48" t="inlineStr">
        <is>
          <t>Salisbury</t>
        </is>
      </c>
      <c r="AJ34" s="48" t="inlineStr">
        <is>
          <t>5108</t>
        </is>
      </c>
      <c r="AK34" s="49" t="n">
        <v>27122</v>
      </c>
      <c r="AL34" s="48" t="inlineStr">
        <is>
          <t>Female</t>
        </is>
      </c>
      <c r="AM34" s="48" t="inlineStr">
        <is>
          <t>NA</t>
        </is>
      </c>
      <c r="AN34" s="48" t="inlineStr">
        <is>
          <t>NA - Tutor</t>
        </is>
      </c>
      <c r="AO34" s="48" t="inlineStr">
        <is>
          <t>Low</t>
        </is>
      </c>
      <c r="AP34" s="48" t="inlineStr">
        <is>
          <t>India</t>
        </is>
      </c>
      <c r="AQ34" s="48" t="inlineStr">
        <is>
          <t>NA</t>
        </is>
      </c>
      <c r="AR34" s="48" t="inlineStr">
        <is>
          <t>English (C2)</t>
        </is>
      </c>
      <c r="AS34" s="48" t="inlineStr">
        <is>
          <t>Hindu</t>
        </is>
      </c>
      <c r="AT34" s="48" t="inlineStr">
        <is>
          <t>Business &amp; Finance</t>
        </is>
      </c>
      <c r="AU34" s="48" t="inlineStr">
        <is>
          <t>Accountant</t>
        </is>
      </c>
      <c r="AV34" s="48" t="inlineStr">
        <is>
          <t>NA - Tutor</t>
        </is>
      </c>
      <c r="AW34" s="48" t="inlineStr">
        <is>
          <t>Reading; Politics; Music</t>
        </is>
      </c>
      <c r="AX34" s="48" t="inlineStr">
        <is>
          <t>NA - Tutor</t>
        </is>
      </c>
      <c r="AY34" s="48" t="inlineStr">
        <is>
          <t>No</t>
        </is>
      </c>
      <c r="AZ34" s="48" t="inlineStr">
        <is>
          <t>NA - Partner Organisation Verified</t>
        </is>
      </c>
      <c r="BA34" s="48" t="inlineStr">
        <is>
          <t>Luke Ali</t>
        </is>
      </c>
      <c r="BB34" s="48" t="inlineStr">
        <is>
          <t>Academic Referee</t>
        </is>
      </c>
      <c r="BC34" s="48" t="inlineStr">
        <is>
          <t>anya.marks532@example.com</t>
        </is>
      </c>
      <c r="BD34" s="48" t="inlineStr">
        <is>
          <t>Pending</t>
        </is>
      </c>
      <c r="BE34" s="48" t="inlineStr"/>
      <c r="BF34" s="48" t="inlineStr"/>
      <c r="BG34" s="48" t="inlineStr">
        <is>
          <t>No</t>
        </is>
      </c>
      <c r="BH34" s="48" t="inlineStr">
        <is>
          <t>Adults Only</t>
        </is>
      </c>
      <c r="BI34" s="48" t="inlineStr">
        <is>
          <t>Asylum Seeker Resource Centre</t>
        </is>
      </c>
      <c r="BJ34" s="48" t="inlineStr">
        <is>
          <t>HERVIR Oliver</t>
        </is>
      </c>
      <c r="BK34" s="48" t="inlineStr">
        <is>
          <t>MCCRORIE John</t>
        </is>
      </c>
      <c r="BL34" s="48" t="inlineStr">
        <is>
          <t>Synthetic test record.</t>
        </is>
      </c>
      <c r="BM34" s="48" t="inlineStr"/>
      <c r="BN34" s="48">
        <f>TRIM(IF(AND($H34="Student",$J34="ADM-ACT-MAT-CNE"),"Invalid: Student cannot be CNE. ","")&amp;IF(AND($H34="Student",ISNUMBER($O34)),"Check: capacity set for a Student. ","")&amp;IF(AND(LEFT($J34,11)="ADM-ACT-MAT",$P34=0),"Check: matched status but 0 active pairings. ","")&amp;IF(AND($H34="Tutor",ISNUMBER($O34),$P34&gt;$O34),"Check: pairings exceed capacity. ","")&amp;IF(AND($BH34="Everyone",NOT(AND($BD34="Yes",$BG34="Yes"))),"Check: approved to tutor children but WWCC not provided/confirmed. ","")&amp;IF(AND($P34&gt;0,NOT(AND(OR(LEFT($AY34,3)="Yes",LEFT($AY34,2)="NA"),OR(LEFT($AZ34,3)="Yes",LEFT($AZ34,2)="NA")))),"Matched but vetting incomplete (interview/reference). ","")&amp;IF(COUNTIF($B$3:$B$600,$B34)&gt;1,"Duplicate participant name. ",""))</f>
        <v/>
      </c>
      <c r="BO34" s="48" t="inlineStr">
        <is>
          <t>S-O-00015</t>
        </is>
      </c>
      <c r="BP34" s="48">
        <f>IFERROR(VLOOKUP(BO34,$A:$B,2,FALSE),"")</f>
        <v/>
      </c>
      <c r="BQ34" s="49" t="n">
        <v>45457</v>
      </c>
      <c r="BR34" s="48" t="inlineStr"/>
      <c r="BS34" s="48" t="n">
        <v>1</v>
      </c>
      <c r="BT34" s="48" t="inlineStr">
        <is>
          <t>SHANAHAN Jack</t>
        </is>
      </c>
      <c r="BU34" s="48" t="inlineStr"/>
      <c r="BV34" s="48" t="inlineStr"/>
      <c r="BW34" s="48" t="inlineStr"/>
      <c r="BX34" s="48" t="inlineStr"/>
      <c r="BY34" s="48" t="inlineStr"/>
      <c r="BZ34" s="48" t="inlineStr"/>
      <c r="CA34" s="48" t="inlineStr"/>
      <c r="CB34" s="48" t="inlineStr"/>
      <c r="CC34" s="48" t="inlineStr"/>
      <c r="CD34" s="48" t="inlineStr"/>
      <c r="CE34" s="48" t="inlineStr"/>
      <c r="CF34" s="48" t="inlineStr"/>
      <c r="CG34" s="48" t="inlineStr"/>
      <c r="CH34" s="48" t="inlineStr"/>
      <c r="CI34" s="48" t="inlineStr"/>
      <c r="CJ34" s="48" t="inlineStr"/>
      <c r="CK34" s="48" t="inlineStr"/>
      <c r="CL34" s="48" t="inlineStr"/>
      <c r="CM34" s="48" t="inlineStr"/>
      <c r="CN34" s="48" t="inlineStr"/>
      <c r="CO34" s="48" t="inlineStr"/>
      <c r="CP34" s="48" t="inlineStr"/>
      <c r="CQ34" s="48" t="inlineStr"/>
      <c r="CR34" s="48" t="inlineStr"/>
      <c r="CS34" s="48">
        <f>IF(LEFT($J34,3)="ERR",0,1)</f>
        <v/>
      </c>
      <c r="CT34" s="48">
        <f>IF(LEFT($J34,3)="ADM",1,0)</f>
        <v/>
      </c>
      <c r="CU34" s="48">
        <f>IF(OR($J34="ADM-ACT-MAT-CNE",$J34="ADM-ACT-MAT-CE",$J34="ADM-INACT-M&amp;T"),1,0)</f>
        <v/>
      </c>
      <c r="CV34" s="48">
        <f>IF(AND(CU34=1,ISNUMBER(M34),ISNUMBER(I34)),M34-I34,"")</f>
        <v/>
      </c>
      <c r="CW34" s="48">
        <f>IF(ISNUMBER(I34),TODAY()-I34,"")</f>
        <v/>
      </c>
      <c r="CX34" s="48">
        <f>IF(ISNUMBER(I34),DATE(YEAR(I34),MONTH(I34),1),"")</f>
        <v/>
      </c>
      <c r="CY34" s="48">
        <f>IFERROR(DATEDIF(AK34,TODAY(),"y"),"")</f>
        <v/>
      </c>
      <c r="CZ34" s="48">
        <f>IF(CY34="","",IF(CY34&lt;28,"18-27",IF(CY34&lt;38,"28-37",IF(CY34&lt;48,"38-47",IF(CY34&lt;58,"48-57",IF(CY34&lt;68,"58-67",IF(CY34&lt;78,"68-77","78+")))))) </f>
        <v/>
      </c>
      <c r="DA34" s="48">
        <f>IF(AND(BQ34&lt;&gt;"",BR34=""),N(BS34),0)+IF(AND(BW34&lt;&gt;"",BX34=""),N(BY34),0)+IF(AND(CC34&lt;&gt;"",CD34=""),N(CE34),0)+IF(AND(CI34&lt;&gt;"",CJ34=""),N(CK34),0)+IF(AND(CO34&lt;&gt;"",CP34=""),N(CQ34),0)</f>
        <v/>
      </c>
      <c r="DB34" s="48">
        <f>ROUND(IF(BQ34&lt;&gt;"",N(BS34)*MAX(0,((IF(BR34="",TODAY(),BR34))-BQ34)/7),0)+IF(BW34&lt;&gt;"",N(BY34)*MAX(0,((IF(BX34="",TODAY(),BX34))-BW34)/7),0)+IF(CC34&lt;&gt;"",N(CE34)*MAX(0,((IF(CD34="",TODAY(),CD34))-CC34)/7),0)+IF(CI34&lt;&gt;"",N(CK34)*MAX(0,((IF(CJ34="",TODAY(),CJ34))-CI34)/7),0)+IF(CO34&lt;&gt;"",N(CQ34)*MAX(0,((IF(CP34="",TODAY(),CP34))-CO34)/7),0),1)</f>
        <v/>
      </c>
      <c r="DC34" s="48">
        <f>IF(OR(TRIM(X34)="",TRIM(X34)="NA;",TRIM(X34)="NA"),0,1)</f>
        <v/>
      </c>
      <c r="DD34" s="48">
        <f>IF(OR(TRIM(Y34)="",TRIM(Y34)="NA;",TRIM(Y34)="NA"),0,1)</f>
        <v/>
      </c>
      <c r="DE34" s="48">
        <f>IF(OR(TRIM(Z34)="",TRIM(Z34)="NA;",TRIM(Z34)="NA"),0,1)</f>
        <v/>
      </c>
      <c r="DF34" s="48">
        <f>IF(OR(TRIM(AA34)="",TRIM(AA34)="NA;",TRIM(AA34)="NA"),0,1)</f>
        <v/>
      </c>
      <c r="DG34" s="48">
        <f>IF(OR(TRIM(AB34)="",TRIM(AB34)="NA;",TRIM(AB34)="NA"),0,1)</f>
        <v/>
      </c>
      <c r="DH34" s="48">
        <f>IF(OR(TRIM(AC34)="",TRIM(AC34)="NA;",TRIM(AC34)="NA"),0,1)</f>
        <v/>
      </c>
      <c r="DI34" s="48">
        <f>IF(OR(TRIM(AD34)="",TRIM(AD34)="NA;",TRIM(AD34)="NA"),0,1)</f>
        <v/>
      </c>
      <c r="DJ34" s="48">
        <f>TRIM(IF(DC34=1,"Mon ","")&amp;IF(DD34=1,"Tue ","")&amp;IF(DE34=1,"Wed ","")&amp;IF(DF34=1,"Thu ","")&amp;IF(DG34=1,"Fri ","")&amp;IF(DH34=1,"Sat ","")&amp;IF(DI34=1,"Sun ",""))</f>
        <v/>
      </c>
    </row>
    <row r="35">
      <c r="A35" s="48" t="inlineStr">
        <is>
          <t>T-O-00033</t>
        </is>
      </c>
      <c r="B35" s="48" t="inlineStr">
        <is>
          <t>Hassan Hadaya</t>
        </is>
      </c>
      <c r="C35" s="48" t="inlineStr">
        <is>
          <t>hassan.hadaya33@example.com</t>
        </is>
      </c>
      <c r="D35" s="48" t="inlineStr">
        <is>
          <t>+61 495 440 179</t>
        </is>
      </c>
      <c r="E35" s="48" t="inlineStr">
        <is>
          <t>Rania Morris</t>
        </is>
      </c>
      <c r="F35" s="48" t="inlineStr">
        <is>
          <t>+61 411 447 864</t>
        </is>
      </c>
      <c r="G35" s="48" t="inlineStr">
        <is>
          <t>Spouse</t>
        </is>
      </c>
      <c r="H35" s="48" t="inlineStr">
        <is>
          <t>Tutor</t>
        </is>
      </c>
      <c r="I35" s="49" t="n">
        <v>45519</v>
      </c>
      <c r="J35" s="48" t="inlineStr">
        <is>
          <t>ADM-ACT-MAT-CNE</t>
        </is>
      </c>
      <c r="K35" s="48">
        <f>IFERROR(VLOOKUP(J35,'(A) Introduction'!$B$35:$C$45,2,FALSE),"")</f>
        <v/>
      </c>
      <c r="L35" s="48" t="inlineStr">
        <is>
          <t>No</t>
        </is>
      </c>
      <c r="M35" s="48" t="inlineStr"/>
      <c r="N35" s="48" t="inlineStr"/>
      <c r="O35" s="48" t="n">
        <v>2</v>
      </c>
      <c r="P35" s="48">
        <f>IF($H35="Tutor",((BQ35&lt;&gt;"")*(BR35=""))+((BW35&lt;&gt;"")*(BX35=""))+((CC35&lt;&gt;"")*(CD35=""))+((CI35&lt;&gt;"")*(CJ35=""))+((CO35&lt;&gt;"")*(CP35="")),SUMPRODUCT(--($BO$3:$BO$202=$A35),--($BR$3:$BR$202=""))+SUMPRODUCT(--($BU$3:$BU$202=$A35),--($BX$3:$BX$202=""))+SUMPRODUCT(--($CA$3:$CA$202=$A35),--($CD$3:$CD$202=""))+SUMPRODUCT(--($CG$3:$CG$202=$A35),--($CJ$3:$CJ$202=""))+SUMPRODUCT(--($CM$3:$CM$202=$A35),--($CP$3:$CP$202="")))</f>
        <v/>
      </c>
      <c r="Q35" s="48">
        <f>IF($H35="Tutor",(BQ35&lt;&gt;"")+(BW35&lt;&gt;"")+(CC35&lt;&gt;"")+(CI35&lt;&gt;"")+(CO35&lt;&gt;""),SUMPRODUCT(--($BO$3:$BO$202=$A35))+SUMPRODUCT(--($BU$3:$BU$202=$A35))+SUMPRODUCT(--($CA$3:$CA$202=$A35))+SUMPRODUCT(--($CG$3:$CG$202=$A35))+SUMPRODUCT(--($CM$3:$CM$202=$A35)))</f>
        <v/>
      </c>
      <c r="R35" s="48">
        <f>IF($H35="Tutor",TRIM(IF(AND(BQ35&lt;&gt;"",BR35=""),BP35&amp;"; ","")&amp;IF(AND(BW35&lt;&gt;"",BX35=""),BV35&amp;"; ","")&amp;IF(AND(CC35&lt;&gt;"",CD35=""),CB35&amp;"; ","")&amp;IF(AND(CI35&lt;&gt;"",CJ35=""),CH35&amp;"; ","")&amp;IF(AND(CO35&lt;&gt;"",CP35=""),CN35&amp;"; ","")),IFERROR(INDEX($A$3:$B$202,(SUMPRODUCT(($BO$3:$BO$202=$A35)*($BR$3:$BR$202="")*ROW($BO$3:$BO$202))+SUMPRODUCT(($BU$3:$BU$202=$A35)*($BX$3:$BX$202="")*ROW($BU$3:$BU$202))+SUMPRODUCT(($CA$3:$CA$202=$A35)*($CD$3:$CD$202="")*ROW($CA$3:$CA$202))+SUMPRODUCT(($CG$3:$CG$202=$A35)*($CJ$3:$CJ$202="")*ROW($CG$3:$CG$202))+SUMPRODUCT(($CM$3:$CM$202=$A35)*($CP$3:$CP$202="")*ROW($CM$3:$CM$202)))-2,2),""))</f>
        <v/>
      </c>
      <c r="S35" s="48" t="inlineStr">
        <is>
          <t>Not Provided</t>
        </is>
      </c>
      <c r="T35" s="48" t="inlineStr"/>
      <c r="U35" s="48" t="inlineStr"/>
      <c r="V35" s="49" t="n">
        <v>45731</v>
      </c>
      <c r="W35" s="48" t="inlineStr">
        <is>
          <t>ACST (UTC+9:30)</t>
        </is>
      </c>
      <c r="X35" s="48" t="inlineStr">
        <is>
          <t>12pm-3pm;</t>
        </is>
      </c>
      <c r="Y35" s="48" t="inlineStr">
        <is>
          <t>9am-12pm;12pm-3pm;3pm-6pm;</t>
        </is>
      </c>
      <c r="Z35" s="48" t="inlineStr">
        <is>
          <t>9am-12pm;12pm-3pm;3pm-6pm;</t>
        </is>
      </c>
      <c r="AA35" s="48" t="inlineStr">
        <is>
          <t>6am-9am;9am-12pm;</t>
        </is>
      </c>
      <c r="AB35" s="48" t="inlineStr">
        <is>
          <t>6pm-9pm;</t>
        </is>
      </c>
      <c r="AC35" s="48" t="inlineStr">
        <is>
          <t>12pm-3pm;6pm-9pm;</t>
        </is>
      </c>
      <c r="AD35" s="48" t="inlineStr">
        <is>
          <t>NA;</t>
        </is>
      </c>
      <c r="AE35" s="48" t="inlineStr">
        <is>
          <t>In-Person</t>
        </is>
      </c>
      <c r="AF35" s="48" t="inlineStr">
        <is>
          <t>NA - Tutor</t>
        </is>
      </c>
      <c r="AG35" s="48" t="inlineStr">
        <is>
          <t>Australia</t>
        </is>
      </c>
      <c r="AH35" s="48" t="inlineStr">
        <is>
          <t>Victoria</t>
        </is>
      </c>
      <c r="AI35" s="48" t="inlineStr">
        <is>
          <t>Footscray</t>
        </is>
      </c>
      <c r="AJ35" s="48" t="inlineStr">
        <is>
          <t>3011</t>
        </is>
      </c>
      <c r="AK35" s="49" t="n">
        <v>22954</v>
      </c>
      <c r="AL35" s="48" t="inlineStr">
        <is>
          <t>Male</t>
        </is>
      </c>
      <c r="AM35" s="48" t="inlineStr">
        <is>
          <t>NA</t>
        </is>
      </c>
      <c r="AN35" s="48" t="inlineStr">
        <is>
          <t>NA - Tutor</t>
        </is>
      </c>
      <c r="AO35" s="48" t="inlineStr">
        <is>
          <t>Low</t>
        </is>
      </c>
      <c r="AP35" s="48" t="inlineStr">
        <is>
          <t>India</t>
        </is>
      </c>
      <c r="AQ35" s="48" t="inlineStr">
        <is>
          <t>NA</t>
        </is>
      </c>
      <c r="AR35" s="48" t="inlineStr">
        <is>
          <t>English (C2)</t>
        </is>
      </c>
      <c r="AS35" s="48" t="inlineStr">
        <is>
          <t>Hindu</t>
        </is>
      </c>
      <c r="AT35" s="48" t="inlineStr">
        <is>
          <t>Social &amp; Community Services</t>
        </is>
      </c>
      <c r="AU35" s="48" t="inlineStr">
        <is>
          <t>Cleaner</t>
        </is>
      </c>
      <c r="AV35" s="48" t="inlineStr">
        <is>
          <t>NA - Tutor</t>
        </is>
      </c>
      <c r="AW35" s="48" t="inlineStr">
        <is>
          <t>Reading; Politics; Music</t>
        </is>
      </c>
      <c r="AX35" s="48" t="inlineStr">
        <is>
          <t>NA - Tutor</t>
        </is>
      </c>
      <c r="AY35" s="48" t="inlineStr">
        <is>
          <t>NA - RELT Member Verified</t>
        </is>
      </c>
      <c r="AZ35" s="48" t="inlineStr">
        <is>
          <t>No</t>
        </is>
      </c>
      <c r="BA35" s="48" t="inlineStr">
        <is>
          <t>Omar Brown</t>
        </is>
      </c>
      <c r="BB35" s="48" t="inlineStr">
        <is>
          <t>Friend</t>
        </is>
      </c>
      <c r="BC35" s="48" t="inlineStr">
        <is>
          <t>mohamed.garcia533@example.com</t>
        </is>
      </c>
      <c r="BD35" s="48" t="inlineStr">
        <is>
          <t>Yes</t>
        </is>
      </c>
      <c r="BE35" s="48" t="inlineStr">
        <is>
          <t>WWC8176148V</t>
        </is>
      </c>
      <c r="BF35" s="49" t="n">
        <v>46120</v>
      </c>
      <c r="BG35" s="48" t="inlineStr">
        <is>
          <t>Yes</t>
        </is>
      </c>
      <c r="BH35" s="48" t="inlineStr">
        <is>
          <t>Adults Only</t>
        </is>
      </c>
      <c r="BI35" s="48" t="inlineStr">
        <is>
          <t>Refugee Advice and Casework Service</t>
        </is>
      </c>
      <c r="BJ35" s="48" t="inlineStr">
        <is>
          <t>HALLORAN Isobel</t>
        </is>
      </c>
      <c r="BK35" s="48" t="inlineStr">
        <is>
          <t>SINGH Veera</t>
        </is>
      </c>
      <c r="BL35" s="48" t="inlineStr">
        <is>
          <t>Synthetic test record.</t>
        </is>
      </c>
      <c r="BM35" s="48" t="inlineStr"/>
      <c r="BN35" s="48">
        <f>TRIM(IF(AND($H35="Student",$J35="ADM-ACT-MAT-CNE"),"Invalid: Student cannot be CNE. ","")&amp;IF(AND($H35="Student",ISNUMBER($O35)),"Check: capacity set for a Student. ","")&amp;IF(AND(LEFT($J35,11)="ADM-ACT-MAT",$P35=0),"Check: matched status but 0 active pairings. ","")&amp;IF(AND($H35="Tutor",ISNUMBER($O35),$P35&gt;$O35),"Check: pairings exceed capacity. ","")&amp;IF(AND($BH35="Everyone",NOT(AND($BD35="Yes",$BG35="Yes"))),"Check: approved to tutor children but WWCC not provided/confirmed. ","")&amp;IF(AND($P35&gt;0,NOT(AND(OR(LEFT($AY35,3)="Yes",LEFT($AY35,2)="NA"),OR(LEFT($AZ35,3)="Yes",LEFT($AZ35,2)="NA")))),"Matched but vetting incomplete (interview/reference). ","")&amp;IF(COUNTIF($B$3:$B$600,$B35)&gt;1,"Duplicate participant name. ",""))</f>
        <v/>
      </c>
      <c r="BO35" s="48" t="inlineStr">
        <is>
          <t>S-N-00042</t>
        </is>
      </c>
      <c r="BP35" s="48">
        <f>IFERROR(VLOOKUP(BO35,$A:$B,2,FALSE),"")</f>
        <v/>
      </c>
      <c r="BQ35" s="49" t="n">
        <v>46004</v>
      </c>
      <c r="BR35" s="48" t="inlineStr"/>
      <c r="BS35" s="48" t="n">
        <v>1</v>
      </c>
      <c r="BT35" s="48" t="inlineStr">
        <is>
          <t>NUICH Curtis</t>
        </is>
      </c>
      <c r="BU35" s="48" t="inlineStr">
        <is>
          <t>S-N-00033</t>
        </is>
      </c>
      <c r="BV35" s="48">
        <f>IFERROR(VLOOKUP(BU35,$A:$B,2,FALSE),"")</f>
        <v/>
      </c>
      <c r="BW35" s="49" t="n">
        <v>45985</v>
      </c>
      <c r="BX35" s="49" t="n">
        <v>46153</v>
      </c>
      <c r="BY35" s="48" t="n">
        <v>1</v>
      </c>
      <c r="BZ35" s="48" t="inlineStr">
        <is>
          <t>HERVIR Oliver</t>
        </is>
      </c>
      <c r="CA35" s="48" t="inlineStr"/>
      <c r="CB35" s="48" t="inlineStr"/>
      <c r="CC35" s="48" t="inlineStr"/>
      <c r="CD35" s="48" t="inlineStr"/>
      <c r="CE35" s="48" t="inlineStr"/>
      <c r="CF35" s="48" t="inlineStr"/>
      <c r="CG35" s="48" t="inlineStr"/>
      <c r="CH35" s="48" t="inlineStr"/>
      <c r="CI35" s="48" t="inlineStr"/>
      <c r="CJ35" s="48" t="inlineStr"/>
      <c r="CK35" s="48" t="inlineStr"/>
      <c r="CL35" s="48" t="inlineStr"/>
      <c r="CM35" s="48" t="inlineStr"/>
      <c r="CN35" s="48" t="inlineStr"/>
      <c r="CO35" s="48" t="inlineStr"/>
      <c r="CP35" s="48" t="inlineStr"/>
      <c r="CQ35" s="48" t="inlineStr"/>
      <c r="CR35" s="48" t="inlineStr"/>
      <c r="CS35" s="48">
        <f>IF(LEFT($J35,3)="ERR",0,1)</f>
        <v/>
      </c>
      <c r="CT35" s="48">
        <f>IF(LEFT($J35,3)="ADM",1,0)</f>
        <v/>
      </c>
      <c r="CU35" s="48">
        <f>IF(OR($J35="ADM-ACT-MAT-CNE",$J35="ADM-ACT-MAT-CE",$J35="ADM-INACT-M&amp;T"),1,0)</f>
        <v/>
      </c>
      <c r="CV35" s="48">
        <f>IF(AND(CU35=1,ISNUMBER(M35),ISNUMBER(I35)),M35-I35,"")</f>
        <v/>
      </c>
      <c r="CW35" s="48">
        <f>IF(ISNUMBER(I35),TODAY()-I35,"")</f>
        <v/>
      </c>
      <c r="CX35" s="48">
        <f>IF(ISNUMBER(I35),DATE(YEAR(I35),MONTH(I35),1),"")</f>
        <v/>
      </c>
      <c r="CY35" s="48">
        <f>IFERROR(DATEDIF(AK35,TODAY(),"y"),"")</f>
        <v/>
      </c>
      <c r="CZ35" s="48">
        <f>IF(CY35="","",IF(CY35&lt;28,"18-27",IF(CY35&lt;38,"28-37",IF(CY35&lt;48,"38-47",IF(CY35&lt;58,"48-57",IF(CY35&lt;68,"58-67",IF(CY35&lt;78,"68-77","78+")))))) </f>
        <v/>
      </c>
      <c r="DA35" s="48">
        <f>IF(AND(BQ35&lt;&gt;"",BR35=""),N(BS35),0)+IF(AND(BW35&lt;&gt;"",BX35=""),N(BY35),0)+IF(AND(CC35&lt;&gt;"",CD35=""),N(CE35),0)+IF(AND(CI35&lt;&gt;"",CJ35=""),N(CK35),0)+IF(AND(CO35&lt;&gt;"",CP35=""),N(CQ35),0)</f>
        <v/>
      </c>
      <c r="DB35" s="48">
        <f>ROUND(IF(BQ35&lt;&gt;"",N(BS35)*MAX(0,((IF(BR35="",TODAY(),BR35))-BQ35)/7),0)+IF(BW35&lt;&gt;"",N(BY35)*MAX(0,((IF(BX35="",TODAY(),BX35))-BW35)/7),0)+IF(CC35&lt;&gt;"",N(CE35)*MAX(0,((IF(CD35="",TODAY(),CD35))-CC35)/7),0)+IF(CI35&lt;&gt;"",N(CK35)*MAX(0,((IF(CJ35="",TODAY(),CJ35))-CI35)/7),0)+IF(CO35&lt;&gt;"",N(CQ35)*MAX(0,((IF(CP35="",TODAY(),CP35))-CO35)/7),0),1)</f>
        <v/>
      </c>
      <c r="DC35" s="48">
        <f>IF(OR(TRIM(X35)="",TRIM(X35)="NA;",TRIM(X35)="NA"),0,1)</f>
        <v/>
      </c>
      <c r="DD35" s="48">
        <f>IF(OR(TRIM(Y35)="",TRIM(Y35)="NA;",TRIM(Y35)="NA"),0,1)</f>
        <v/>
      </c>
      <c r="DE35" s="48">
        <f>IF(OR(TRIM(Z35)="",TRIM(Z35)="NA;",TRIM(Z35)="NA"),0,1)</f>
        <v/>
      </c>
      <c r="DF35" s="48">
        <f>IF(OR(TRIM(AA35)="",TRIM(AA35)="NA;",TRIM(AA35)="NA"),0,1)</f>
        <v/>
      </c>
      <c r="DG35" s="48">
        <f>IF(OR(TRIM(AB35)="",TRIM(AB35)="NA;",TRIM(AB35)="NA"),0,1)</f>
        <v/>
      </c>
      <c r="DH35" s="48">
        <f>IF(OR(TRIM(AC35)="",TRIM(AC35)="NA;",TRIM(AC35)="NA"),0,1)</f>
        <v/>
      </c>
      <c r="DI35" s="48">
        <f>IF(OR(TRIM(AD35)="",TRIM(AD35)="NA;",TRIM(AD35)="NA"),0,1)</f>
        <v/>
      </c>
      <c r="DJ35" s="48">
        <f>TRIM(IF(DC35=1,"Mon ","")&amp;IF(DD35=1,"Tue ","")&amp;IF(DE35=1,"Wed ","")&amp;IF(DF35=1,"Thu ","")&amp;IF(DG35=1,"Fri ","")&amp;IF(DH35=1,"Sat ","")&amp;IF(DI35=1,"Sun ",""))</f>
        <v/>
      </c>
    </row>
    <row r="36">
      <c r="A36" s="48" t="inlineStr">
        <is>
          <t>T-O-00034</t>
        </is>
      </c>
      <c r="B36" s="48" t="inlineStr">
        <is>
          <t>Hala Bourne</t>
        </is>
      </c>
      <c r="C36" s="48" t="inlineStr">
        <is>
          <t>hala.bourne34@example.com</t>
        </is>
      </c>
      <c r="D36" s="48" t="inlineStr">
        <is>
          <t>+61 428 341 797</t>
        </is>
      </c>
      <c r="E36" s="48" t="inlineStr">
        <is>
          <t>Tom Marks</t>
        </is>
      </c>
      <c r="F36" s="48" t="inlineStr">
        <is>
          <t>+61 480 323 154</t>
        </is>
      </c>
      <c r="G36" s="48" t="inlineStr">
        <is>
          <t>Adult Child</t>
        </is>
      </c>
      <c r="H36" s="48" t="inlineStr">
        <is>
          <t>Tutor</t>
        </is>
      </c>
      <c r="I36" s="49" t="n">
        <v>45520</v>
      </c>
      <c r="J36" s="48" t="inlineStr">
        <is>
          <t>ADM-INACT-NOM&amp;T</t>
        </is>
      </c>
      <c r="K36" s="48">
        <f>IFERROR(VLOOKUP(J36,'(A) Introduction'!$B$35:$C$45,2,FALSE),"")</f>
        <v/>
      </c>
      <c r="L36" s="48" t="inlineStr">
        <is>
          <t>No</t>
        </is>
      </c>
      <c r="M36" s="48" t="inlineStr"/>
      <c r="N36" s="48" t="inlineStr"/>
      <c r="O36" s="48" t="n">
        <v>1</v>
      </c>
      <c r="P36" s="48">
        <f>IF($H36="Tutor",((BQ36&lt;&gt;"")*(BR36=""))+((BW36&lt;&gt;"")*(BX36=""))+((CC36&lt;&gt;"")*(CD36=""))+((CI36&lt;&gt;"")*(CJ36=""))+((CO36&lt;&gt;"")*(CP36="")),SUMPRODUCT(--($BO$3:$BO$202=$A36),--($BR$3:$BR$202=""))+SUMPRODUCT(--($BU$3:$BU$202=$A36),--($BX$3:$BX$202=""))+SUMPRODUCT(--($CA$3:$CA$202=$A36),--($CD$3:$CD$202=""))+SUMPRODUCT(--($CG$3:$CG$202=$A36),--($CJ$3:$CJ$202=""))+SUMPRODUCT(--($CM$3:$CM$202=$A36),--($CP$3:$CP$202="")))</f>
        <v/>
      </c>
      <c r="Q36" s="48">
        <f>IF($H36="Tutor",(BQ36&lt;&gt;"")+(BW36&lt;&gt;"")+(CC36&lt;&gt;"")+(CI36&lt;&gt;"")+(CO36&lt;&gt;""),SUMPRODUCT(--($BO$3:$BO$202=$A36))+SUMPRODUCT(--($BU$3:$BU$202=$A36))+SUMPRODUCT(--($CA$3:$CA$202=$A36))+SUMPRODUCT(--($CG$3:$CG$202=$A36))+SUMPRODUCT(--($CM$3:$CM$202=$A36)))</f>
        <v/>
      </c>
      <c r="R36" s="48">
        <f>IF($H36="Tutor",TRIM(IF(AND(BQ36&lt;&gt;"",BR36=""),BP36&amp;"; ","")&amp;IF(AND(BW36&lt;&gt;"",BX36=""),BV36&amp;"; ","")&amp;IF(AND(CC36&lt;&gt;"",CD36=""),CB36&amp;"; ","")&amp;IF(AND(CI36&lt;&gt;"",CJ36=""),CH36&amp;"; ","")&amp;IF(AND(CO36&lt;&gt;"",CP36=""),CN36&amp;"; ","")),IFERROR(INDEX($A$3:$B$202,(SUMPRODUCT(($BO$3:$BO$202=$A36)*($BR$3:$BR$202="")*ROW($BO$3:$BO$202))+SUMPRODUCT(($BU$3:$BU$202=$A36)*($BX$3:$BX$202="")*ROW($BU$3:$BU$202))+SUMPRODUCT(($CA$3:$CA$202=$A36)*($CD$3:$CD$202="")*ROW($CA$3:$CA$202))+SUMPRODUCT(($CG$3:$CG$202=$A36)*($CJ$3:$CJ$202="")*ROW($CG$3:$CG$202))+SUMPRODUCT(($CM$3:$CM$202=$A36)*($CP$3:$CP$202="")*ROW($CM$3:$CM$202)))-2,2),""))</f>
        <v/>
      </c>
      <c r="S36" s="48" t="inlineStr">
        <is>
          <t>Provided</t>
        </is>
      </c>
      <c r="T36" s="48" t="inlineStr"/>
      <c r="U36" s="48" t="inlineStr"/>
      <c r="V36" s="49" t="n">
        <v>45610</v>
      </c>
      <c r="W36" s="48" t="inlineStr">
        <is>
          <t>ACST (UTC+9:30)</t>
        </is>
      </c>
      <c r="X36" s="48" t="inlineStr">
        <is>
          <t>6pm-9pm;</t>
        </is>
      </c>
      <c r="Y36" s="48" t="inlineStr">
        <is>
          <t>9am-12pm;12pm-3pm;3pm-6pm;</t>
        </is>
      </c>
      <c r="Z36" s="48" t="inlineStr">
        <is>
          <t>9am-12pm;12pm-3pm;3pm-6pm;</t>
        </is>
      </c>
      <c r="AA36" s="48" t="inlineStr">
        <is>
          <t>12pm-3pm;</t>
        </is>
      </c>
      <c r="AB36" s="48" t="inlineStr">
        <is>
          <t>6am-9am;9am-12pm;</t>
        </is>
      </c>
      <c r="AC36" s="48" t="inlineStr">
        <is>
          <t>6am-9am;9am-12pm;</t>
        </is>
      </c>
      <c r="AD36" s="48" t="inlineStr">
        <is>
          <t>9am-12pm;</t>
        </is>
      </c>
      <c r="AE36" s="48" t="inlineStr">
        <is>
          <t>Online</t>
        </is>
      </c>
      <c r="AF36" s="48" t="inlineStr">
        <is>
          <t>NA - Tutor</t>
        </is>
      </c>
      <c r="AG36" s="48" t="inlineStr">
        <is>
          <t>Australia</t>
        </is>
      </c>
      <c r="AH36" s="48" t="inlineStr">
        <is>
          <t>New South Wales</t>
        </is>
      </c>
      <c r="AI36" s="48" t="inlineStr">
        <is>
          <t>Fairfield</t>
        </is>
      </c>
      <c r="AJ36" s="48" t="inlineStr">
        <is>
          <t>2165</t>
        </is>
      </c>
      <c r="AK36" s="49" t="n">
        <v>24331</v>
      </c>
      <c r="AL36" s="48" t="inlineStr">
        <is>
          <t>Female</t>
        </is>
      </c>
      <c r="AM36" s="48" t="inlineStr">
        <is>
          <t>NA</t>
        </is>
      </c>
      <c r="AN36" s="48" t="inlineStr">
        <is>
          <t>NA - Tutor</t>
        </is>
      </c>
      <c r="AO36" s="48" t="inlineStr">
        <is>
          <t>High</t>
        </is>
      </c>
      <c r="AP36" s="48" t="inlineStr">
        <is>
          <t>Australia; China</t>
        </is>
      </c>
      <c r="AQ36" s="48" t="inlineStr">
        <is>
          <t>NA</t>
        </is>
      </c>
      <c r="AR36" s="48" t="inlineStr">
        <is>
          <t>Ukrainian (C2)</t>
        </is>
      </c>
      <c r="AS36" s="48" t="inlineStr">
        <is>
          <t>Christian</t>
        </is>
      </c>
      <c r="AT36" s="48" t="inlineStr">
        <is>
          <t>Childcare &amp; Aged Care</t>
        </is>
      </c>
      <c r="AU36" s="48" t="inlineStr">
        <is>
          <t>Lawyer</t>
        </is>
      </c>
      <c r="AV36" s="48" t="inlineStr">
        <is>
          <t>NA - Tutor</t>
        </is>
      </c>
      <c r="AW36" s="48" t="inlineStr">
        <is>
          <t>Art; Photography; Travel</t>
        </is>
      </c>
      <c r="AX36" s="48" t="inlineStr">
        <is>
          <t>NA - Tutor</t>
        </is>
      </c>
      <c r="AY36" s="48" t="inlineStr">
        <is>
          <t>No</t>
        </is>
      </c>
      <c r="AZ36" s="48" t="inlineStr">
        <is>
          <t>NA - Partner Organisation Verified</t>
        </is>
      </c>
      <c r="BA36" s="48" t="inlineStr">
        <is>
          <t>Maria Taylor</t>
        </is>
      </c>
      <c r="BB36" s="48" t="inlineStr">
        <is>
          <t>Friend</t>
        </is>
      </c>
      <c r="BC36" s="48" t="inlineStr">
        <is>
          <t>emily.bourne534@example.com</t>
        </is>
      </c>
      <c r="BD36" s="48" t="inlineStr">
        <is>
          <t>Pending</t>
        </is>
      </c>
      <c r="BE36" s="48" t="inlineStr"/>
      <c r="BF36" s="48" t="inlineStr"/>
      <c r="BG36" s="48" t="inlineStr">
        <is>
          <t>No</t>
        </is>
      </c>
      <c r="BH36" s="48" t="inlineStr">
        <is>
          <t>Adults Only</t>
        </is>
      </c>
      <c r="BI36" s="48" t="inlineStr">
        <is>
          <t>University of Western Sydney (including the Law Students' Society)</t>
        </is>
      </c>
      <c r="BJ36" s="48" t="inlineStr">
        <is>
          <t>THET Moh Moh</t>
        </is>
      </c>
      <c r="BK36" s="48" t="inlineStr">
        <is>
          <t>THET Moh Moh</t>
        </is>
      </c>
      <c r="BL36" s="48" t="inlineStr">
        <is>
          <t>Synthetic test record.</t>
        </is>
      </c>
      <c r="BM36" s="48" t="inlineStr"/>
      <c r="BN36" s="48">
        <f>TRIM(IF(AND($H36="Student",$J36="ADM-ACT-MAT-CNE"),"Invalid: Student cannot be CNE. ","")&amp;IF(AND($H36="Student",ISNUMBER($O36)),"Check: capacity set for a Student. ","")&amp;IF(AND(LEFT($J36,11)="ADM-ACT-MAT",$P36=0),"Check: matched status but 0 active pairings. ","")&amp;IF(AND($H36="Tutor",ISNUMBER($O36),$P36&gt;$O36),"Check: pairings exceed capacity. ","")&amp;IF(AND($BH36="Everyone",NOT(AND($BD36="Yes",$BG36="Yes"))),"Check: approved to tutor children but WWCC not provided/confirmed. ","")&amp;IF(AND($P36&gt;0,NOT(AND(OR(LEFT($AY36,3)="Yes",LEFT($AY36,2)="NA"),OR(LEFT($AZ36,3)="Yes",LEFT($AZ36,2)="NA")))),"Matched but vetting incomplete (interview/reference). ","")&amp;IF(COUNTIF($B$3:$B$600,$B36)&gt;1,"Duplicate participant name. ",""))</f>
        <v/>
      </c>
      <c r="BO36" s="48" t="inlineStr"/>
      <c r="BP36" s="48" t="inlineStr"/>
      <c r="BQ36" s="48" t="inlineStr"/>
      <c r="BR36" s="48" t="inlineStr"/>
      <c r="BS36" s="48" t="inlineStr"/>
      <c r="BT36" s="48" t="inlineStr"/>
      <c r="BU36" s="48" t="inlineStr"/>
      <c r="BV36" s="48" t="inlineStr"/>
      <c r="BW36" s="48" t="inlineStr"/>
      <c r="BX36" s="48" t="inlineStr"/>
      <c r="BY36" s="48" t="inlineStr"/>
      <c r="BZ36" s="48" t="inlineStr"/>
      <c r="CA36" s="48" t="inlineStr"/>
      <c r="CB36" s="48" t="inlineStr"/>
      <c r="CC36" s="48" t="inlineStr"/>
      <c r="CD36" s="48" t="inlineStr"/>
      <c r="CE36" s="48" t="inlineStr"/>
      <c r="CF36" s="48" t="inlineStr"/>
      <c r="CG36" s="48" t="inlineStr"/>
      <c r="CH36" s="48" t="inlineStr"/>
      <c r="CI36" s="48" t="inlineStr"/>
      <c r="CJ36" s="48" t="inlineStr"/>
      <c r="CK36" s="48" t="inlineStr"/>
      <c r="CL36" s="48" t="inlineStr"/>
      <c r="CM36" s="48" t="inlineStr"/>
      <c r="CN36" s="48" t="inlineStr"/>
      <c r="CO36" s="48" t="inlineStr"/>
      <c r="CP36" s="48" t="inlineStr"/>
      <c r="CQ36" s="48" t="inlineStr"/>
      <c r="CR36" s="48" t="inlineStr"/>
      <c r="CS36" s="48">
        <f>IF(LEFT($J36,3)="ERR",0,1)</f>
        <v/>
      </c>
      <c r="CT36" s="48">
        <f>IF(LEFT($J36,3)="ADM",1,0)</f>
        <v/>
      </c>
      <c r="CU36" s="48">
        <f>IF(OR($J36="ADM-ACT-MAT-CNE",$J36="ADM-ACT-MAT-CE",$J36="ADM-INACT-M&amp;T"),1,0)</f>
        <v/>
      </c>
      <c r="CV36" s="48">
        <f>IF(AND(CU36=1,ISNUMBER(M36),ISNUMBER(I36)),M36-I36,"")</f>
        <v/>
      </c>
      <c r="CW36" s="48">
        <f>IF(ISNUMBER(I36),TODAY()-I36,"")</f>
        <v/>
      </c>
      <c r="CX36" s="48">
        <f>IF(ISNUMBER(I36),DATE(YEAR(I36),MONTH(I36),1),"")</f>
        <v/>
      </c>
      <c r="CY36" s="48">
        <f>IFERROR(DATEDIF(AK36,TODAY(),"y"),"")</f>
        <v/>
      </c>
      <c r="CZ36" s="48">
        <f>IF(CY36="","",IF(CY36&lt;28,"18-27",IF(CY36&lt;38,"28-37",IF(CY36&lt;48,"38-47",IF(CY36&lt;58,"48-57",IF(CY36&lt;68,"58-67",IF(CY36&lt;78,"68-77","78+")))))) </f>
        <v/>
      </c>
      <c r="DA36" s="48">
        <f>IF(AND(BQ36&lt;&gt;"",BR36=""),N(BS36),0)+IF(AND(BW36&lt;&gt;"",BX36=""),N(BY36),0)+IF(AND(CC36&lt;&gt;"",CD36=""),N(CE36),0)+IF(AND(CI36&lt;&gt;"",CJ36=""),N(CK36),0)+IF(AND(CO36&lt;&gt;"",CP36=""),N(CQ36),0)</f>
        <v/>
      </c>
      <c r="DB36" s="48">
        <f>ROUND(IF(BQ36&lt;&gt;"",N(BS36)*MAX(0,((IF(BR36="",TODAY(),BR36))-BQ36)/7),0)+IF(BW36&lt;&gt;"",N(BY36)*MAX(0,((IF(BX36="",TODAY(),BX36))-BW36)/7),0)+IF(CC36&lt;&gt;"",N(CE36)*MAX(0,((IF(CD36="",TODAY(),CD36))-CC36)/7),0)+IF(CI36&lt;&gt;"",N(CK36)*MAX(0,((IF(CJ36="",TODAY(),CJ36))-CI36)/7),0)+IF(CO36&lt;&gt;"",N(CQ36)*MAX(0,((IF(CP36="",TODAY(),CP36))-CO36)/7),0),1)</f>
        <v/>
      </c>
      <c r="DC36" s="48">
        <f>IF(OR(TRIM(X36)="",TRIM(X36)="NA;",TRIM(X36)="NA"),0,1)</f>
        <v/>
      </c>
      <c r="DD36" s="48">
        <f>IF(OR(TRIM(Y36)="",TRIM(Y36)="NA;",TRIM(Y36)="NA"),0,1)</f>
        <v/>
      </c>
      <c r="DE36" s="48">
        <f>IF(OR(TRIM(Z36)="",TRIM(Z36)="NA;",TRIM(Z36)="NA"),0,1)</f>
        <v/>
      </c>
      <c r="DF36" s="48">
        <f>IF(OR(TRIM(AA36)="",TRIM(AA36)="NA;",TRIM(AA36)="NA"),0,1)</f>
        <v/>
      </c>
      <c r="DG36" s="48">
        <f>IF(OR(TRIM(AB36)="",TRIM(AB36)="NA;",TRIM(AB36)="NA"),0,1)</f>
        <v/>
      </c>
      <c r="DH36" s="48">
        <f>IF(OR(TRIM(AC36)="",TRIM(AC36)="NA;",TRIM(AC36)="NA"),0,1)</f>
        <v/>
      </c>
      <c r="DI36" s="48">
        <f>IF(OR(TRIM(AD36)="",TRIM(AD36)="NA;",TRIM(AD36)="NA"),0,1)</f>
        <v/>
      </c>
      <c r="DJ36" s="48">
        <f>TRIM(IF(DC36=1,"Mon ","")&amp;IF(DD36=1,"Tue ","")&amp;IF(DE36=1,"Wed ","")&amp;IF(DF36=1,"Thu ","")&amp;IF(DG36=1,"Fri ","")&amp;IF(DH36=1,"Sat ","")&amp;IF(DI36=1,"Sun ",""))</f>
        <v/>
      </c>
    </row>
    <row r="37">
      <c r="A37" s="48" t="inlineStr">
        <is>
          <t>T-O-00035</t>
        </is>
      </c>
      <c r="B37" s="48" t="inlineStr">
        <is>
          <t>Ibrahim Wright</t>
        </is>
      </c>
      <c r="C37" s="48" t="inlineStr">
        <is>
          <t>ibrahim.wright35@example.com</t>
        </is>
      </c>
      <c r="D37" s="48" t="inlineStr">
        <is>
          <t>+61 445 519 075</t>
        </is>
      </c>
      <c r="E37" s="48" t="inlineStr">
        <is>
          <t>Camila Ahmed</t>
        </is>
      </c>
      <c r="F37" s="48" t="inlineStr">
        <is>
          <t>+61 405 253 724</t>
        </is>
      </c>
      <c r="G37" s="48" t="inlineStr">
        <is>
          <t>Adult Child</t>
        </is>
      </c>
      <c r="H37" s="48" t="inlineStr">
        <is>
          <t>Tutor</t>
        </is>
      </c>
      <c r="I37" s="49" t="n">
        <v>45521</v>
      </c>
      <c r="J37" s="48" t="inlineStr">
        <is>
          <t>ADM-INACT-M&amp;T</t>
        </is>
      </c>
      <c r="K37" s="48">
        <f>IFERROR(VLOOKUP(J37,'(A) Introduction'!$B$35:$C$45,2,FALSE),"")</f>
        <v/>
      </c>
      <c r="L37" s="48" t="inlineStr">
        <is>
          <t>No</t>
        </is>
      </c>
      <c r="M37" s="48" t="inlineStr"/>
      <c r="N37" s="48" t="inlineStr"/>
      <c r="O37" s="48" t="n">
        <v>2</v>
      </c>
      <c r="P37" s="48">
        <f>IF($H37="Tutor",((BQ37&lt;&gt;"")*(BR37=""))+((BW37&lt;&gt;"")*(BX37=""))+((CC37&lt;&gt;"")*(CD37=""))+((CI37&lt;&gt;"")*(CJ37=""))+((CO37&lt;&gt;"")*(CP37="")),SUMPRODUCT(--($BO$3:$BO$202=$A37),--($BR$3:$BR$202=""))+SUMPRODUCT(--($BU$3:$BU$202=$A37),--($BX$3:$BX$202=""))+SUMPRODUCT(--($CA$3:$CA$202=$A37),--($CD$3:$CD$202=""))+SUMPRODUCT(--($CG$3:$CG$202=$A37),--($CJ$3:$CJ$202=""))+SUMPRODUCT(--($CM$3:$CM$202=$A37),--($CP$3:$CP$202="")))</f>
        <v/>
      </c>
      <c r="Q37" s="48">
        <f>IF($H37="Tutor",(BQ37&lt;&gt;"")+(BW37&lt;&gt;"")+(CC37&lt;&gt;"")+(CI37&lt;&gt;"")+(CO37&lt;&gt;""),SUMPRODUCT(--($BO$3:$BO$202=$A37))+SUMPRODUCT(--($BU$3:$BU$202=$A37))+SUMPRODUCT(--($CA$3:$CA$202=$A37))+SUMPRODUCT(--($CG$3:$CG$202=$A37))+SUMPRODUCT(--($CM$3:$CM$202=$A37)))</f>
        <v/>
      </c>
      <c r="R37" s="48">
        <f>IF($H37="Tutor",TRIM(IF(AND(BQ37&lt;&gt;"",BR37=""),BP37&amp;"; ","")&amp;IF(AND(BW37&lt;&gt;"",BX37=""),BV37&amp;"; ","")&amp;IF(AND(CC37&lt;&gt;"",CD37=""),CB37&amp;"; ","")&amp;IF(AND(CI37&lt;&gt;"",CJ37=""),CH37&amp;"; ","")&amp;IF(AND(CO37&lt;&gt;"",CP37=""),CN37&amp;"; ","")),IFERROR(INDEX($A$3:$B$202,(SUMPRODUCT(($BO$3:$BO$202=$A37)*($BR$3:$BR$202="")*ROW($BO$3:$BO$202))+SUMPRODUCT(($BU$3:$BU$202=$A37)*($BX$3:$BX$202="")*ROW($BU$3:$BU$202))+SUMPRODUCT(($CA$3:$CA$202=$A37)*($CD$3:$CD$202="")*ROW($CA$3:$CA$202))+SUMPRODUCT(($CG$3:$CG$202=$A37)*($CJ$3:$CJ$202="")*ROW($CG$3:$CG$202))+SUMPRODUCT(($CM$3:$CM$202=$A37)*($CP$3:$CP$202="")*ROW($CM$3:$CM$202)))-2,2),""))</f>
        <v/>
      </c>
      <c r="S37" s="48" t="inlineStr">
        <is>
          <t>Not Provided</t>
        </is>
      </c>
      <c r="T37" s="48" t="inlineStr"/>
      <c r="U37" s="48" t="inlineStr"/>
      <c r="V37" s="49" t="n">
        <v>45577</v>
      </c>
      <c r="W37" s="48" t="inlineStr">
        <is>
          <t>AEDT (UTC+11)</t>
        </is>
      </c>
      <c r="X37" s="48" t="inlineStr">
        <is>
          <t>NA;</t>
        </is>
      </c>
      <c r="Y37" s="48" t="inlineStr">
        <is>
          <t>NA;</t>
        </is>
      </c>
      <c r="Z37" s="48" t="inlineStr">
        <is>
          <t>6am-9am;9am-12pm;</t>
        </is>
      </c>
      <c r="AA37" s="48" t="inlineStr">
        <is>
          <t>3pm-6pm;</t>
        </is>
      </c>
      <c r="AB37" s="48" t="inlineStr">
        <is>
          <t>6pm-9pm;</t>
        </is>
      </c>
      <c r="AC37" s="48" t="inlineStr">
        <is>
          <t>6pm-9pm;</t>
        </is>
      </c>
      <c r="AD37" s="48" t="inlineStr">
        <is>
          <t>9am-12pm;12pm-3pm;3pm-6pm;</t>
        </is>
      </c>
      <c r="AE37" s="48" t="inlineStr">
        <is>
          <t>In-Person</t>
        </is>
      </c>
      <c r="AF37" s="48" t="inlineStr">
        <is>
          <t>NA - Tutor</t>
        </is>
      </c>
      <c r="AG37" s="48" t="inlineStr">
        <is>
          <t>Australia</t>
        </is>
      </c>
      <c r="AH37" s="48" t="inlineStr">
        <is>
          <t>New South Wales</t>
        </is>
      </c>
      <c r="AI37" s="48" t="inlineStr">
        <is>
          <t>Epping</t>
        </is>
      </c>
      <c r="AJ37" s="48" t="inlineStr">
        <is>
          <t>2121</t>
        </is>
      </c>
      <c r="AK37" s="49" t="n">
        <v>30228</v>
      </c>
      <c r="AL37" s="48" t="inlineStr">
        <is>
          <t>Other</t>
        </is>
      </c>
      <c r="AM37" s="48" t="inlineStr">
        <is>
          <t>NA</t>
        </is>
      </c>
      <c r="AN37" s="48" t="inlineStr">
        <is>
          <t>NA - Tutor</t>
        </is>
      </c>
      <c r="AO37" s="48" t="inlineStr">
        <is>
          <t>Low</t>
        </is>
      </c>
      <c r="AP37" s="48" t="inlineStr">
        <is>
          <t>China</t>
        </is>
      </c>
      <c r="AQ37" s="48" t="inlineStr">
        <is>
          <t>NA</t>
        </is>
      </c>
      <c r="AR37" s="48" t="inlineStr">
        <is>
          <t>Spanish (C2); Somali (B2)</t>
        </is>
      </c>
      <c r="AS37" s="48" t="inlineStr">
        <is>
          <t>Christian (Orthodox)</t>
        </is>
      </c>
      <c r="AT37" s="48" t="inlineStr">
        <is>
          <t>Hospitality &amp; Retail</t>
        </is>
      </c>
      <c r="AU37" s="48" t="inlineStr">
        <is>
          <t>Aged Care Worker</t>
        </is>
      </c>
      <c r="AV37" s="48" t="inlineStr">
        <is>
          <t>NA - Tutor</t>
        </is>
      </c>
      <c r="AW37" s="48" t="inlineStr">
        <is>
          <t>Art; Photography; Travel</t>
        </is>
      </c>
      <c r="AX37" s="48" t="inlineStr">
        <is>
          <t>NA - Tutor</t>
        </is>
      </c>
      <c r="AY37" s="48" t="inlineStr">
        <is>
          <t>No</t>
        </is>
      </c>
      <c r="AZ37" s="48" t="inlineStr">
        <is>
          <t>Yes</t>
        </is>
      </c>
      <c r="BA37" s="48" t="inlineStr">
        <is>
          <t>Bilal Walker</t>
        </is>
      </c>
      <c r="BB37" s="48" t="inlineStr">
        <is>
          <t>Manager</t>
        </is>
      </c>
      <c r="BC37" s="48" t="inlineStr">
        <is>
          <t>karim.morris535@example.com</t>
        </is>
      </c>
      <c r="BD37" s="48" t="inlineStr">
        <is>
          <t>Yes</t>
        </is>
      </c>
      <c r="BE37" s="48" t="inlineStr">
        <is>
          <t>WWC1756566E</t>
        </is>
      </c>
      <c r="BF37" s="49" t="n">
        <v>47068</v>
      </c>
      <c r="BG37" s="48" t="inlineStr">
        <is>
          <t>Yes</t>
        </is>
      </c>
      <c r="BH37" s="48" t="inlineStr">
        <is>
          <t>Everyone</t>
        </is>
      </c>
      <c r="BI37" s="48" t="inlineStr">
        <is>
          <t>Refugee Advice and Casework Service</t>
        </is>
      </c>
      <c r="BJ37" s="48" t="inlineStr">
        <is>
          <t>ZULMAN Levi</t>
        </is>
      </c>
      <c r="BK37" s="48" t="inlineStr">
        <is>
          <t>CROCK Mary</t>
        </is>
      </c>
      <c r="BL37" s="48" t="inlineStr">
        <is>
          <t>Synthetic test record.</t>
        </is>
      </c>
      <c r="BM37" s="48" t="inlineStr"/>
      <c r="BN37" s="48">
        <f>TRIM(IF(AND($H37="Student",$J37="ADM-ACT-MAT-CNE"),"Invalid: Student cannot be CNE. ","")&amp;IF(AND($H37="Student",ISNUMBER($O37)),"Check: capacity set for a Student. ","")&amp;IF(AND(LEFT($J37,11)="ADM-ACT-MAT",$P37=0),"Check: matched status but 0 active pairings. ","")&amp;IF(AND($H37="Tutor",ISNUMBER($O37),$P37&gt;$O37),"Check: pairings exceed capacity. ","")&amp;IF(AND($BH37="Everyone",NOT(AND($BD37="Yes",$BG37="Yes"))),"Check: approved to tutor children but WWCC not provided/confirmed. ","")&amp;IF(AND($P37&gt;0,NOT(AND(OR(LEFT($AY37,3)="Yes",LEFT($AY37,2)="NA"),OR(LEFT($AZ37,3)="Yes",LEFT($AZ37,2)="NA")))),"Matched but vetting incomplete (interview/reference). ","")&amp;IF(COUNTIF($B$3:$B$600,$B37)&gt;1,"Duplicate participant name. ",""))</f>
        <v/>
      </c>
      <c r="BO37" s="48" t="inlineStr">
        <is>
          <t>S-N-00033</t>
        </is>
      </c>
      <c r="BP37" s="48">
        <f>IFERROR(VLOOKUP(BO37,$A:$B,2,FALSE),"")</f>
        <v/>
      </c>
      <c r="BQ37" s="49" t="n">
        <v>45932</v>
      </c>
      <c r="BR37" s="49" t="n">
        <v>46137</v>
      </c>
      <c r="BS37" s="48" t="n">
        <v>2</v>
      </c>
      <c r="BT37" s="48" t="inlineStr">
        <is>
          <t>NUICH Curtis</t>
        </is>
      </c>
      <c r="BU37" s="48" t="inlineStr"/>
      <c r="BV37" s="48" t="inlineStr"/>
      <c r="BW37" s="48" t="inlineStr"/>
      <c r="BX37" s="48" t="inlineStr"/>
      <c r="BY37" s="48" t="inlineStr"/>
      <c r="BZ37" s="48" t="inlineStr"/>
      <c r="CA37" s="48" t="inlineStr"/>
      <c r="CB37" s="48" t="inlineStr"/>
      <c r="CC37" s="48" t="inlineStr"/>
      <c r="CD37" s="48" t="inlineStr"/>
      <c r="CE37" s="48" t="inlineStr"/>
      <c r="CF37" s="48" t="inlineStr"/>
      <c r="CG37" s="48" t="inlineStr"/>
      <c r="CH37" s="48" t="inlineStr"/>
      <c r="CI37" s="48" t="inlineStr"/>
      <c r="CJ37" s="48" t="inlineStr"/>
      <c r="CK37" s="48" t="inlineStr"/>
      <c r="CL37" s="48" t="inlineStr"/>
      <c r="CM37" s="48" t="inlineStr"/>
      <c r="CN37" s="48" t="inlineStr"/>
      <c r="CO37" s="48" t="inlineStr"/>
      <c r="CP37" s="48" t="inlineStr"/>
      <c r="CQ37" s="48" t="inlineStr"/>
      <c r="CR37" s="48" t="inlineStr"/>
      <c r="CS37" s="48">
        <f>IF(LEFT($J37,3)="ERR",0,1)</f>
        <v/>
      </c>
      <c r="CT37" s="48">
        <f>IF(LEFT($J37,3)="ADM",1,0)</f>
        <v/>
      </c>
      <c r="CU37" s="48">
        <f>IF(OR($J37="ADM-ACT-MAT-CNE",$J37="ADM-ACT-MAT-CE",$J37="ADM-INACT-M&amp;T"),1,0)</f>
        <v/>
      </c>
      <c r="CV37" s="48">
        <f>IF(AND(CU37=1,ISNUMBER(M37),ISNUMBER(I37)),M37-I37,"")</f>
        <v/>
      </c>
      <c r="CW37" s="48">
        <f>IF(ISNUMBER(I37),TODAY()-I37,"")</f>
        <v/>
      </c>
      <c r="CX37" s="48">
        <f>IF(ISNUMBER(I37),DATE(YEAR(I37),MONTH(I37),1),"")</f>
        <v/>
      </c>
      <c r="CY37" s="48">
        <f>IFERROR(DATEDIF(AK37,TODAY(),"y"),"")</f>
        <v/>
      </c>
      <c r="CZ37" s="48">
        <f>IF(CY37="","",IF(CY37&lt;28,"18-27",IF(CY37&lt;38,"28-37",IF(CY37&lt;48,"38-47",IF(CY37&lt;58,"48-57",IF(CY37&lt;68,"58-67",IF(CY37&lt;78,"68-77","78+")))))) </f>
        <v/>
      </c>
      <c r="DA37" s="48">
        <f>IF(AND(BQ37&lt;&gt;"",BR37=""),N(BS37),0)+IF(AND(BW37&lt;&gt;"",BX37=""),N(BY37),0)+IF(AND(CC37&lt;&gt;"",CD37=""),N(CE37),0)+IF(AND(CI37&lt;&gt;"",CJ37=""),N(CK37),0)+IF(AND(CO37&lt;&gt;"",CP37=""),N(CQ37),0)</f>
        <v/>
      </c>
      <c r="DB37" s="48">
        <f>ROUND(IF(BQ37&lt;&gt;"",N(BS37)*MAX(0,((IF(BR37="",TODAY(),BR37))-BQ37)/7),0)+IF(BW37&lt;&gt;"",N(BY37)*MAX(0,((IF(BX37="",TODAY(),BX37))-BW37)/7),0)+IF(CC37&lt;&gt;"",N(CE37)*MAX(0,((IF(CD37="",TODAY(),CD37))-CC37)/7),0)+IF(CI37&lt;&gt;"",N(CK37)*MAX(0,((IF(CJ37="",TODAY(),CJ37))-CI37)/7),0)+IF(CO37&lt;&gt;"",N(CQ37)*MAX(0,((IF(CP37="",TODAY(),CP37))-CO37)/7),0),1)</f>
        <v/>
      </c>
      <c r="DC37" s="48">
        <f>IF(OR(TRIM(X37)="",TRIM(X37)="NA;",TRIM(X37)="NA"),0,1)</f>
        <v/>
      </c>
      <c r="DD37" s="48">
        <f>IF(OR(TRIM(Y37)="",TRIM(Y37)="NA;",TRIM(Y37)="NA"),0,1)</f>
        <v/>
      </c>
      <c r="DE37" s="48">
        <f>IF(OR(TRIM(Z37)="",TRIM(Z37)="NA;",TRIM(Z37)="NA"),0,1)</f>
        <v/>
      </c>
      <c r="DF37" s="48">
        <f>IF(OR(TRIM(AA37)="",TRIM(AA37)="NA;",TRIM(AA37)="NA"),0,1)</f>
        <v/>
      </c>
      <c r="DG37" s="48">
        <f>IF(OR(TRIM(AB37)="",TRIM(AB37)="NA;",TRIM(AB37)="NA"),0,1)</f>
        <v/>
      </c>
      <c r="DH37" s="48">
        <f>IF(OR(TRIM(AC37)="",TRIM(AC37)="NA;",TRIM(AC37)="NA"),0,1)</f>
        <v/>
      </c>
      <c r="DI37" s="48">
        <f>IF(OR(TRIM(AD37)="",TRIM(AD37)="NA;",TRIM(AD37)="NA"),0,1)</f>
        <v/>
      </c>
      <c r="DJ37" s="48">
        <f>TRIM(IF(DC37=1,"Mon ","")&amp;IF(DD37=1,"Tue ","")&amp;IF(DE37=1,"Wed ","")&amp;IF(DF37=1,"Thu ","")&amp;IF(DG37=1,"Fri ","")&amp;IF(DH37=1,"Sat ","")&amp;IF(DI37=1,"Sun ",""))</f>
        <v/>
      </c>
    </row>
    <row r="38">
      <c r="A38" s="48" t="inlineStr">
        <is>
          <t>T-O-00036</t>
        </is>
      </c>
      <c r="B38" s="48" t="inlineStr">
        <is>
          <t>Anya Slaytor</t>
        </is>
      </c>
      <c r="C38" s="48" t="inlineStr">
        <is>
          <t>anya.slaytor36@example.com</t>
        </is>
      </c>
      <c r="D38" s="48" t="inlineStr">
        <is>
          <t>+61 499 346 695</t>
        </is>
      </c>
      <c r="E38" s="48" t="inlineStr">
        <is>
          <t>Tariq Fernando</t>
        </is>
      </c>
      <c r="F38" s="48" t="inlineStr">
        <is>
          <t>+61 416 686 719</t>
        </is>
      </c>
      <c r="G38" s="48" t="inlineStr">
        <is>
          <t>Caseworker</t>
        </is>
      </c>
      <c r="H38" s="48" t="inlineStr">
        <is>
          <t>Tutor</t>
        </is>
      </c>
      <c r="I38" s="49" t="n">
        <v>45524</v>
      </c>
      <c r="J38" s="48" t="inlineStr">
        <is>
          <t>ADM-ACT-MAT-CNE</t>
        </is>
      </c>
      <c r="K38" s="48">
        <f>IFERROR(VLOOKUP(J38,'(A) Introduction'!$B$35:$C$45,2,FALSE),"")</f>
        <v/>
      </c>
      <c r="L38" s="48" t="inlineStr">
        <is>
          <t>No</t>
        </is>
      </c>
      <c r="M38" s="48" t="inlineStr"/>
      <c r="N38" s="48" t="inlineStr"/>
      <c r="O38" s="48" t="n">
        <v>3</v>
      </c>
      <c r="P38" s="48">
        <f>IF($H38="Tutor",((BQ38&lt;&gt;"")*(BR38=""))+((BW38&lt;&gt;"")*(BX38=""))+((CC38&lt;&gt;"")*(CD38=""))+((CI38&lt;&gt;"")*(CJ38=""))+((CO38&lt;&gt;"")*(CP38="")),SUMPRODUCT(--($BO$3:$BO$202=$A38),--($BR$3:$BR$202=""))+SUMPRODUCT(--($BU$3:$BU$202=$A38),--($BX$3:$BX$202=""))+SUMPRODUCT(--($CA$3:$CA$202=$A38),--($CD$3:$CD$202=""))+SUMPRODUCT(--($CG$3:$CG$202=$A38),--($CJ$3:$CJ$202=""))+SUMPRODUCT(--($CM$3:$CM$202=$A38),--($CP$3:$CP$202="")))</f>
        <v/>
      </c>
      <c r="Q38" s="48">
        <f>IF($H38="Tutor",(BQ38&lt;&gt;"")+(BW38&lt;&gt;"")+(CC38&lt;&gt;"")+(CI38&lt;&gt;"")+(CO38&lt;&gt;""),SUMPRODUCT(--($BO$3:$BO$202=$A38))+SUMPRODUCT(--($BU$3:$BU$202=$A38))+SUMPRODUCT(--($CA$3:$CA$202=$A38))+SUMPRODUCT(--($CG$3:$CG$202=$A38))+SUMPRODUCT(--($CM$3:$CM$202=$A38)))</f>
        <v/>
      </c>
      <c r="R38" s="48">
        <f>IF($H38="Tutor",TRIM(IF(AND(BQ38&lt;&gt;"",BR38=""),BP38&amp;"; ","")&amp;IF(AND(BW38&lt;&gt;"",BX38=""),BV38&amp;"; ","")&amp;IF(AND(CC38&lt;&gt;"",CD38=""),CB38&amp;"; ","")&amp;IF(AND(CI38&lt;&gt;"",CJ38=""),CH38&amp;"; ","")&amp;IF(AND(CO38&lt;&gt;"",CP38=""),CN38&amp;"; ","")),IFERROR(INDEX($A$3:$B$202,(SUMPRODUCT(($BO$3:$BO$202=$A38)*($BR$3:$BR$202="")*ROW($BO$3:$BO$202))+SUMPRODUCT(($BU$3:$BU$202=$A38)*($BX$3:$BX$202="")*ROW($BU$3:$BU$202))+SUMPRODUCT(($CA$3:$CA$202=$A38)*($CD$3:$CD$202="")*ROW($CA$3:$CA$202))+SUMPRODUCT(($CG$3:$CG$202=$A38)*($CJ$3:$CJ$202="")*ROW($CG$3:$CG$202))+SUMPRODUCT(($CM$3:$CM$202=$A38)*($CP$3:$CP$202="")*ROW($CM$3:$CM$202)))-2,2),""))</f>
        <v/>
      </c>
      <c r="S38" s="48" t="inlineStr">
        <is>
          <t>Provided</t>
        </is>
      </c>
      <c r="T38" s="48" t="inlineStr"/>
      <c r="U38" s="48" t="inlineStr"/>
      <c r="V38" s="49" t="n">
        <v>45763</v>
      </c>
      <c r="W38" s="48" t="inlineStr">
        <is>
          <t>AWST (UTC+8)</t>
        </is>
      </c>
      <c r="X38" s="48" t="inlineStr">
        <is>
          <t>6am-9am;9am-12pm;</t>
        </is>
      </c>
      <c r="Y38" s="48" t="inlineStr">
        <is>
          <t>6pm-9pm;</t>
        </is>
      </c>
      <c r="Z38" s="48" t="inlineStr">
        <is>
          <t>6am-9am;9am-12pm;</t>
        </is>
      </c>
      <c r="AA38" s="48" t="inlineStr">
        <is>
          <t>6pm-9pm;</t>
        </is>
      </c>
      <c r="AB38" s="48" t="inlineStr">
        <is>
          <t>9am-12pm;12pm-3pm;3pm-6pm;</t>
        </is>
      </c>
      <c r="AC38" s="48" t="inlineStr">
        <is>
          <t>12pm-3pm;6pm-9pm;</t>
        </is>
      </c>
      <c r="AD38" s="48" t="inlineStr">
        <is>
          <t>3pm-6pm;</t>
        </is>
      </c>
      <c r="AE38" s="48" t="inlineStr">
        <is>
          <t>In-Person</t>
        </is>
      </c>
      <c r="AF38" s="48" t="inlineStr">
        <is>
          <t>NA - Tutor</t>
        </is>
      </c>
      <c r="AG38" s="48" t="inlineStr">
        <is>
          <t>Australia</t>
        </is>
      </c>
      <c r="AH38" s="48" t="inlineStr">
        <is>
          <t>New South Wales</t>
        </is>
      </c>
      <c r="AI38" s="48" t="inlineStr">
        <is>
          <t>Bankstown</t>
        </is>
      </c>
      <c r="AJ38" s="48" t="inlineStr">
        <is>
          <t>2200</t>
        </is>
      </c>
      <c r="AK38" s="49" t="n">
        <v>34504</v>
      </c>
      <c r="AL38" s="48" t="inlineStr">
        <is>
          <t>Other</t>
        </is>
      </c>
      <c r="AM38" s="48" t="inlineStr">
        <is>
          <t>NA</t>
        </is>
      </c>
      <c r="AN38" s="48" t="inlineStr">
        <is>
          <t>NA - Tutor</t>
        </is>
      </c>
      <c r="AO38" s="48" t="inlineStr">
        <is>
          <t>Moderate</t>
        </is>
      </c>
      <c r="AP38" s="48" t="inlineStr">
        <is>
          <t>India</t>
        </is>
      </c>
      <c r="AQ38" s="48" t="inlineStr">
        <is>
          <t>NA</t>
        </is>
      </c>
      <c r="AR38" s="48" t="inlineStr">
        <is>
          <t>English (C2)</t>
        </is>
      </c>
      <c r="AS38" s="48" t="inlineStr">
        <is>
          <t>Christian</t>
        </is>
      </c>
      <c r="AT38" s="48" t="inlineStr">
        <is>
          <t>Social &amp; Community Services</t>
        </is>
      </c>
      <c r="AU38" s="48" t="inlineStr">
        <is>
          <t>Nurse</t>
        </is>
      </c>
      <c r="AV38" s="48" t="inlineStr">
        <is>
          <t>NA - Tutor</t>
        </is>
      </c>
      <c r="AW38" s="48" t="inlineStr">
        <is>
          <t>Language learning; Self-development</t>
        </is>
      </c>
      <c r="AX38" s="48" t="inlineStr">
        <is>
          <t>NA - Tutor</t>
        </is>
      </c>
      <c r="AY38" s="48" t="inlineStr">
        <is>
          <t>NA - Partner Organisation Verified</t>
        </is>
      </c>
      <c r="AZ38" s="48" t="inlineStr">
        <is>
          <t>NA - Partner Organisation Verified</t>
        </is>
      </c>
      <c r="BA38" s="48" t="inlineStr">
        <is>
          <t>Mark Walker</t>
        </is>
      </c>
      <c r="BB38" s="48" t="inlineStr">
        <is>
          <t>Colleague</t>
        </is>
      </c>
      <c r="BC38" s="48" t="inlineStr">
        <is>
          <t>james.brown536@example.com</t>
        </is>
      </c>
      <c r="BD38" s="48" t="inlineStr">
        <is>
          <t>Yes</t>
        </is>
      </c>
      <c r="BE38" s="48" t="inlineStr">
        <is>
          <t>WWC2585184V</t>
        </is>
      </c>
      <c r="BF38" s="49" t="n">
        <v>46541</v>
      </c>
      <c r="BG38" s="48" t="inlineStr">
        <is>
          <t>No</t>
        </is>
      </c>
      <c r="BH38" s="48" t="inlineStr">
        <is>
          <t>Adults Only</t>
        </is>
      </c>
      <c r="BI38" s="48" t="inlineStr">
        <is>
          <t>Ayelet</t>
        </is>
      </c>
      <c r="BJ38" s="48" t="inlineStr">
        <is>
          <t>KNIJNIK Marina</t>
        </is>
      </c>
      <c r="BK38" s="48" t="inlineStr">
        <is>
          <t>SHANAHAN Jack</t>
        </is>
      </c>
      <c r="BL38" s="48" t="inlineStr">
        <is>
          <t>Synthetic test record.</t>
        </is>
      </c>
      <c r="BM38" s="48" t="inlineStr"/>
      <c r="BN38" s="48">
        <f>TRIM(IF(AND($H38="Student",$J38="ADM-ACT-MAT-CNE"),"Invalid: Student cannot be CNE. ","")&amp;IF(AND($H38="Student",ISNUMBER($O38)),"Check: capacity set for a Student. ","")&amp;IF(AND(LEFT($J38,11)="ADM-ACT-MAT",$P38=0),"Check: matched status but 0 active pairings. ","")&amp;IF(AND($H38="Tutor",ISNUMBER($O38),$P38&gt;$O38),"Check: pairings exceed capacity. ","")&amp;IF(AND($BH38="Everyone",NOT(AND($BD38="Yes",$BG38="Yes"))),"Check: approved to tutor children but WWCC not provided/confirmed. ","")&amp;IF(AND($P38&gt;0,NOT(AND(OR(LEFT($AY38,3)="Yes",LEFT($AY38,2)="NA"),OR(LEFT($AZ38,3)="Yes",LEFT($AZ38,2)="NA")))),"Matched but vetting incomplete (interview/reference). ","")&amp;IF(COUNTIF($B$3:$B$600,$B38)&gt;1,"Duplicate participant name. ",""))</f>
        <v/>
      </c>
      <c r="BO38" s="48" t="inlineStr">
        <is>
          <t>S-N-00029</t>
        </is>
      </c>
      <c r="BP38" s="48">
        <f>IFERROR(VLOOKUP(BO38,$A:$B,2,FALSE),"")</f>
        <v/>
      </c>
      <c r="BQ38" s="49" t="n">
        <v>45929</v>
      </c>
      <c r="BR38" s="48" t="inlineStr"/>
      <c r="BS38" s="48" t="n">
        <v>1</v>
      </c>
      <c r="BT38" s="48" t="inlineStr">
        <is>
          <t>MCCLELLAND Reeve</t>
        </is>
      </c>
      <c r="BU38" s="48" t="inlineStr"/>
      <c r="BV38" s="48" t="inlineStr"/>
      <c r="BW38" s="48" t="inlineStr"/>
      <c r="BX38" s="48" t="inlineStr"/>
      <c r="BY38" s="48" t="inlineStr"/>
      <c r="BZ38" s="48" t="inlineStr"/>
      <c r="CA38" s="48" t="inlineStr"/>
      <c r="CB38" s="48" t="inlineStr"/>
      <c r="CC38" s="48" t="inlineStr"/>
      <c r="CD38" s="48" t="inlineStr"/>
      <c r="CE38" s="48" t="inlineStr"/>
      <c r="CF38" s="48" t="inlineStr"/>
      <c r="CG38" s="48" t="inlineStr"/>
      <c r="CH38" s="48" t="inlineStr"/>
      <c r="CI38" s="48" t="inlineStr"/>
      <c r="CJ38" s="48" t="inlineStr"/>
      <c r="CK38" s="48" t="inlineStr"/>
      <c r="CL38" s="48" t="inlineStr"/>
      <c r="CM38" s="48" t="inlineStr"/>
      <c r="CN38" s="48" t="inlineStr"/>
      <c r="CO38" s="48" t="inlineStr"/>
      <c r="CP38" s="48" t="inlineStr"/>
      <c r="CQ38" s="48" t="inlineStr"/>
      <c r="CR38" s="48" t="inlineStr"/>
      <c r="CS38" s="48">
        <f>IF(LEFT($J38,3)="ERR",0,1)</f>
        <v/>
      </c>
      <c r="CT38" s="48">
        <f>IF(LEFT($J38,3)="ADM",1,0)</f>
        <v/>
      </c>
      <c r="CU38" s="48">
        <f>IF(OR($J38="ADM-ACT-MAT-CNE",$J38="ADM-ACT-MAT-CE",$J38="ADM-INACT-M&amp;T"),1,0)</f>
        <v/>
      </c>
      <c r="CV38" s="48">
        <f>IF(AND(CU38=1,ISNUMBER(M38),ISNUMBER(I38)),M38-I38,"")</f>
        <v/>
      </c>
      <c r="CW38" s="48">
        <f>IF(ISNUMBER(I38),TODAY()-I38,"")</f>
        <v/>
      </c>
      <c r="CX38" s="48">
        <f>IF(ISNUMBER(I38),DATE(YEAR(I38),MONTH(I38),1),"")</f>
        <v/>
      </c>
      <c r="CY38" s="48">
        <f>IFERROR(DATEDIF(AK38,TODAY(),"y"),"")</f>
        <v/>
      </c>
      <c r="CZ38" s="48">
        <f>IF(CY38="","",IF(CY38&lt;28,"18-27",IF(CY38&lt;38,"28-37",IF(CY38&lt;48,"38-47",IF(CY38&lt;58,"48-57",IF(CY38&lt;68,"58-67",IF(CY38&lt;78,"68-77","78+")))))) </f>
        <v/>
      </c>
      <c r="DA38" s="48">
        <f>IF(AND(BQ38&lt;&gt;"",BR38=""),N(BS38),0)+IF(AND(BW38&lt;&gt;"",BX38=""),N(BY38),0)+IF(AND(CC38&lt;&gt;"",CD38=""),N(CE38),0)+IF(AND(CI38&lt;&gt;"",CJ38=""),N(CK38),0)+IF(AND(CO38&lt;&gt;"",CP38=""),N(CQ38),0)</f>
        <v/>
      </c>
      <c r="DB38" s="48">
        <f>ROUND(IF(BQ38&lt;&gt;"",N(BS38)*MAX(0,((IF(BR38="",TODAY(),BR38))-BQ38)/7),0)+IF(BW38&lt;&gt;"",N(BY38)*MAX(0,((IF(BX38="",TODAY(),BX38))-BW38)/7),0)+IF(CC38&lt;&gt;"",N(CE38)*MAX(0,((IF(CD38="",TODAY(),CD38))-CC38)/7),0)+IF(CI38&lt;&gt;"",N(CK38)*MAX(0,((IF(CJ38="",TODAY(),CJ38))-CI38)/7),0)+IF(CO38&lt;&gt;"",N(CQ38)*MAX(0,((IF(CP38="",TODAY(),CP38))-CO38)/7),0),1)</f>
        <v/>
      </c>
      <c r="DC38" s="48">
        <f>IF(OR(TRIM(X38)="",TRIM(X38)="NA;",TRIM(X38)="NA"),0,1)</f>
        <v/>
      </c>
      <c r="DD38" s="48">
        <f>IF(OR(TRIM(Y38)="",TRIM(Y38)="NA;",TRIM(Y38)="NA"),0,1)</f>
        <v/>
      </c>
      <c r="DE38" s="48">
        <f>IF(OR(TRIM(Z38)="",TRIM(Z38)="NA;",TRIM(Z38)="NA"),0,1)</f>
        <v/>
      </c>
      <c r="DF38" s="48">
        <f>IF(OR(TRIM(AA38)="",TRIM(AA38)="NA;",TRIM(AA38)="NA"),0,1)</f>
        <v/>
      </c>
      <c r="DG38" s="48">
        <f>IF(OR(TRIM(AB38)="",TRIM(AB38)="NA;",TRIM(AB38)="NA"),0,1)</f>
        <v/>
      </c>
      <c r="DH38" s="48">
        <f>IF(OR(TRIM(AC38)="",TRIM(AC38)="NA;",TRIM(AC38)="NA"),0,1)</f>
        <v/>
      </c>
      <c r="DI38" s="48">
        <f>IF(OR(TRIM(AD38)="",TRIM(AD38)="NA;",TRIM(AD38)="NA"),0,1)</f>
        <v/>
      </c>
      <c r="DJ38" s="48">
        <f>TRIM(IF(DC38=1,"Mon ","")&amp;IF(DD38=1,"Tue ","")&amp;IF(DE38=1,"Wed ","")&amp;IF(DF38=1,"Thu ","")&amp;IF(DG38=1,"Fri ","")&amp;IF(DH38=1,"Sat ","")&amp;IF(DI38=1,"Sun ",""))</f>
        <v/>
      </c>
    </row>
    <row r="39">
      <c r="A39" s="48" t="inlineStr">
        <is>
          <t>T-O-00037</t>
        </is>
      </c>
      <c r="B39" s="48" t="inlineStr">
        <is>
          <t>Camila Morris</t>
        </is>
      </c>
      <c r="C39" s="48" t="inlineStr">
        <is>
          <t>camila.morris37@example.com</t>
        </is>
      </c>
      <c r="D39" s="48" t="inlineStr">
        <is>
          <t>+61 446 316 184</t>
        </is>
      </c>
      <c r="E39" s="48" t="inlineStr">
        <is>
          <t>Bilal Mosquera</t>
        </is>
      </c>
      <c r="F39" s="48" t="inlineStr">
        <is>
          <t>+61 452 373 692</t>
        </is>
      </c>
      <c r="G39" s="48" t="inlineStr">
        <is>
          <t>Caseworker</t>
        </is>
      </c>
      <c r="H39" s="48" t="inlineStr">
        <is>
          <t>Tutor</t>
        </is>
      </c>
      <c r="I39" s="49" t="n">
        <v>45529</v>
      </c>
      <c r="J39" s="48" t="inlineStr">
        <is>
          <t>NADM-REJ-UNSUIT</t>
        </is>
      </c>
      <c r="K39" s="48">
        <f>IFERROR(VLOOKUP(J39,'(A) Introduction'!$B$35:$C$45,2,FALSE),"")</f>
        <v/>
      </c>
      <c r="L39" s="48" t="inlineStr">
        <is>
          <t>No</t>
        </is>
      </c>
      <c r="M39" s="48" t="inlineStr"/>
      <c r="N39" s="48" t="inlineStr"/>
      <c r="O39" s="48" t="n">
        <v>1</v>
      </c>
      <c r="P39" s="48">
        <f>IF($H39="Tutor",((BQ39&lt;&gt;"")*(BR39=""))+((BW39&lt;&gt;"")*(BX39=""))+((CC39&lt;&gt;"")*(CD39=""))+((CI39&lt;&gt;"")*(CJ39=""))+((CO39&lt;&gt;"")*(CP39="")),SUMPRODUCT(--($BO$3:$BO$202=$A39),--($BR$3:$BR$202=""))+SUMPRODUCT(--($BU$3:$BU$202=$A39),--($BX$3:$BX$202=""))+SUMPRODUCT(--($CA$3:$CA$202=$A39),--($CD$3:$CD$202=""))+SUMPRODUCT(--($CG$3:$CG$202=$A39),--($CJ$3:$CJ$202=""))+SUMPRODUCT(--($CM$3:$CM$202=$A39),--($CP$3:$CP$202="")))</f>
        <v/>
      </c>
      <c r="Q39" s="48">
        <f>IF($H39="Tutor",(BQ39&lt;&gt;"")+(BW39&lt;&gt;"")+(CC39&lt;&gt;"")+(CI39&lt;&gt;"")+(CO39&lt;&gt;""),SUMPRODUCT(--($BO$3:$BO$202=$A39))+SUMPRODUCT(--($BU$3:$BU$202=$A39))+SUMPRODUCT(--($CA$3:$CA$202=$A39))+SUMPRODUCT(--($CG$3:$CG$202=$A39))+SUMPRODUCT(--($CM$3:$CM$202=$A39)))</f>
        <v/>
      </c>
      <c r="R39" s="48">
        <f>IF($H39="Tutor",TRIM(IF(AND(BQ39&lt;&gt;"",BR39=""),BP39&amp;"; ","")&amp;IF(AND(BW39&lt;&gt;"",BX39=""),BV39&amp;"; ","")&amp;IF(AND(CC39&lt;&gt;"",CD39=""),CB39&amp;"; ","")&amp;IF(AND(CI39&lt;&gt;"",CJ39=""),CH39&amp;"; ","")&amp;IF(AND(CO39&lt;&gt;"",CP39=""),CN39&amp;"; ","")),IFERROR(INDEX($A$3:$B$202,(SUMPRODUCT(($BO$3:$BO$202=$A39)*($BR$3:$BR$202="")*ROW($BO$3:$BO$202))+SUMPRODUCT(($BU$3:$BU$202=$A39)*($BX$3:$BX$202="")*ROW($BU$3:$BU$202))+SUMPRODUCT(($CA$3:$CA$202=$A39)*($CD$3:$CD$202="")*ROW($CA$3:$CA$202))+SUMPRODUCT(($CG$3:$CG$202=$A39)*($CJ$3:$CJ$202="")*ROW($CG$3:$CG$202))+SUMPRODUCT(($CM$3:$CM$202=$A39)*($CP$3:$CP$202="")*ROW($CM$3:$CM$202)))-2,2),""))</f>
        <v/>
      </c>
      <c r="S39" s="48" t="inlineStr">
        <is>
          <t>Not Provided</t>
        </is>
      </c>
      <c r="T39" s="48" t="inlineStr"/>
      <c r="U39" s="48" t="inlineStr"/>
      <c r="V39" s="48" t="inlineStr"/>
      <c r="W39" s="48" t="inlineStr">
        <is>
          <t>AWST (UTC+8)</t>
        </is>
      </c>
      <c r="X39" s="48" t="inlineStr">
        <is>
          <t>6pm-9pm;</t>
        </is>
      </c>
      <c r="Y39" s="48" t="inlineStr">
        <is>
          <t>12pm-3pm;</t>
        </is>
      </c>
      <c r="Z39" s="48" t="inlineStr">
        <is>
          <t>12pm-3pm;</t>
        </is>
      </c>
      <c r="AA39" s="48" t="inlineStr">
        <is>
          <t>9am-12pm;</t>
        </is>
      </c>
      <c r="AB39" s="48" t="inlineStr">
        <is>
          <t>9am-12pm;</t>
        </is>
      </c>
      <c r="AC39" s="48" t="inlineStr">
        <is>
          <t>6pm-9pm;</t>
        </is>
      </c>
      <c r="AD39" s="48" t="inlineStr">
        <is>
          <t>3pm-6pm;</t>
        </is>
      </c>
      <c r="AE39" s="48" t="inlineStr">
        <is>
          <t>Online</t>
        </is>
      </c>
      <c r="AF39" s="48" t="inlineStr">
        <is>
          <t>NA - Tutor</t>
        </is>
      </c>
      <c r="AG39" s="48" t="inlineStr">
        <is>
          <t>Australia</t>
        </is>
      </c>
      <c r="AH39" s="48" t="inlineStr">
        <is>
          <t>New South Wales</t>
        </is>
      </c>
      <c r="AI39" s="48" t="inlineStr">
        <is>
          <t>Bardia</t>
        </is>
      </c>
      <c r="AJ39" s="48" t="inlineStr">
        <is>
          <t>2565</t>
        </is>
      </c>
      <c r="AK39" s="49" t="n">
        <v>30964</v>
      </c>
      <c r="AL39" s="48" t="inlineStr">
        <is>
          <t>Other</t>
        </is>
      </c>
      <c r="AM39" s="48" t="inlineStr">
        <is>
          <t>NA</t>
        </is>
      </c>
      <c r="AN39" s="48" t="inlineStr">
        <is>
          <t>NA - Tutor</t>
        </is>
      </c>
      <c r="AO39" s="48" t="inlineStr">
        <is>
          <t>Low</t>
        </is>
      </c>
      <c r="AP39" s="48" t="inlineStr">
        <is>
          <t>Vietnam</t>
        </is>
      </c>
      <c r="AQ39" s="48" t="inlineStr">
        <is>
          <t>NA</t>
        </is>
      </c>
      <c r="AR39" s="48" t="inlineStr">
        <is>
          <t>English (C2)</t>
        </is>
      </c>
      <c r="AS39" s="48" t="inlineStr">
        <is>
          <t>Buddhist</t>
        </is>
      </c>
      <c r="AT39" s="48" t="inlineStr">
        <is>
          <t>Other / Unspecified</t>
        </is>
      </c>
      <c r="AU39" s="48" t="inlineStr">
        <is>
          <t>Aged Care Worker</t>
        </is>
      </c>
      <c r="AV39" s="48" t="inlineStr">
        <is>
          <t>NA - Tutor</t>
        </is>
      </c>
      <c r="AW39" s="48" t="inlineStr">
        <is>
          <t>Travel; Sport; Movies</t>
        </is>
      </c>
      <c r="AX39" s="48" t="inlineStr">
        <is>
          <t>NA - Tutor</t>
        </is>
      </c>
      <c r="AY39" s="48" t="inlineStr">
        <is>
          <t>No</t>
        </is>
      </c>
      <c r="AZ39" s="48" t="inlineStr">
        <is>
          <t>NA - Partner Organisation Verified</t>
        </is>
      </c>
      <c r="BA39" s="48" t="inlineStr">
        <is>
          <t>Omar Smith</t>
        </is>
      </c>
      <c r="BB39" s="48" t="inlineStr">
        <is>
          <t>Academic Referee</t>
        </is>
      </c>
      <c r="BC39" s="48" t="inlineStr">
        <is>
          <t>ava.smith537@example.com</t>
        </is>
      </c>
      <c r="BD39" s="48" t="inlineStr">
        <is>
          <t>Yes</t>
        </is>
      </c>
      <c r="BE39" s="48" t="inlineStr">
        <is>
          <t>WWC6963589V</t>
        </is>
      </c>
      <c r="BF39" s="49" t="n">
        <v>46190</v>
      </c>
      <c r="BG39" s="48" t="inlineStr">
        <is>
          <t>Yes</t>
        </is>
      </c>
      <c r="BH39" s="48" t="inlineStr">
        <is>
          <t>Adults Only</t>
        </is>
      </c>
      <c r="BI39" s="48" t="inlineStr">
        <is>
          <t>University of Queensland (Including the Refugee Tutoring Club)</t>
        </is>
      </c>
      <c r="BJ39" s="48" t="inlineStr">
        <is>
          <t>HALLORAN Isobel</t>
        </is>
      </c>
      <c r="BK39" s="48" t="inlineStr">
        <is>
          <t>ZULMAN Levi</t>
        </is>
      </c>
      <c r="BL39" s="48" t="inlineStr">
        <is>
          <t>Synthetic test record.</t>
        </is>
      </c>
      <c r="BM39" s="48" t="inlineStr"/>
      <c r="BN39" s="48">
        <f>TRIM(IF(AND($H39="Student",$J39="ADM-ACT-MAT-CNE"),"Invalid: Student cannot be CNE. ","")&amp;IF(AND($H39="Student",ISNUMBER($O39)),"Check: capacity set for a Student. ","")&amp;IF(AND(LEFT($J39,11)="ADM-ACT-MAT",$P39=0),"Check: matched status but 0 active pairings. ","")&amp;IF(AND($H39="Tutor",ISNUMBER($O39),$P39&gt;$O39),"Check: pairings exceed capacity. ","")&amp;IF(AND($BH39="Everyone",NOT(AND($BD39="Yes",$BG39="Yes"))),"Check: approved to tutor children but WWCC not provided/confirmed. ","")&amp;IF(AND($P39&gt;0,NOT(AND(OR(LEFT($AY39,3)="Yes",LEFT($AY39,2)="NA"),OR(LEFT($AZ39,3)="Yes",LEFT($AZ39,2)="NA")))),"Matched but vetting incomplete (interview/reference). ","")&amp;IF(COUNTIF($B$3:$B$600,$B39)&gt;1,"Duplicate participant name. ",""))</f>
        <v/>
      </c>
      <c r="BO39" s="48" t="inlineStr"/>
      <c r="BP39" s="48" t="inlineStr"/>
      <c r="BQ39" s="48" t="inlineStr"/>
      <c r="BR39" s="48" t="inlineStr"/>
      <c r="BS39" s="48" t="inlineStr"/>
      <c r="BT39" s="48" t="inlineStr"/>
      <c r="BU39" s="48" t="inlineStr"/>
      <c r="BV39" s="48" t="inlineStr"/>
      <c r="BW39" s="48" t="inlineStr"/>
      <c r="BX39" s="48" t="inlineStr"/>
      <c r="BY39" s="48" t="inlineStr"/>
      <c r="BZ39" s="48" t="inlineStr"/>
      <c r="CA39" s="48" t="inlineStr"/>
      <c r="CB39" s="48" t="inlineStr"/>
      <c r="CC39" s="48" t="inlineStr"/>
      <c r="CD39" s="48" t="inlineStr"/>
      <c r="CE39" s="48" t="inlineStr"/>
      <c r="CF39" s="48" t="inlineStr"/>
      <c r="CG39" s="48" t="inlineStr"/>
      <c r="CH39" s="48" t="inlineStr"/>
      <c r="CI39" s="48" t="inlineStr"/>
      <c r="CJ39" s="48" t="inlineStr"/>
      <c r="CK39" s="48" t="inlineStr"/>
      <c r="CL39" s="48" t="inlineStr"/>
      <c r="CM39" s="48" t="inlineStr"/>
      <c r="CN39" s="48" t="inlineStr"/>
      <c r="CO39" s="48" t="inlineStr"/>
      <c r="CP39" s="48" t="inlineStr"/>
      <c r="CQ39" s="48" t="inlineStr"/>
      <c r="CR39" s="48" t="inlineStr"/>
      <c r="CS39" s="48">
        <f>IF(LEFT($J39,3)="ERR",0,1)</f>
        <v/>
      </c>
      <c r="CT39" s="48">
        <f>IF(LEFT($J39,3)="ADM",1,0)</f>
        <v/>
      </c>
      <c r="CU39" s="48">
        <f>IF(OR($J39="ADM-ACT-MAT-CNE",$J39="ADM-ACT-MAT-CE",$J39="ADM-INACT-M&amp;T"),1,0)</f>
        <v/>
      </c>
      <c r="CV39" s="48">
        <f>IF(AND(CU39=1,ISNUMBER(M39),ISNUMBER(I39)),M39-I39,"")</f>
        <v/>
      </c>
      <c r="CW39" s="48">
        <f>IF(ISNUMBER(I39),TODAY()-I39,"")</f>
        <v/>
      </c>
      <c r="CX39" s="48">
        <f>IF(ISNUMBER(I39),DATE(YEAR(I39),MONTH(I39),1),"")</f>
        <v/>
      </c>
      <c r="CY39" s="48">
        <f>IFERROR(DATEDIF(AK39,TODAY(),"y"),"")</f>
        <v/>
      </c>
      <c r="CZ39" s="48">
        <f>IF(CY39="","",IF(CY39&lt;28,"18-27",IF(CY39&lt;38,"28-37",IF(CY39&lt;48,"38-47",IF(CY39&lt;58,"48-57",IF(CY39&lt;68,"58-67",IF(CY39&lt;78,"68-77","78+")))))) </f>
        <v/>
      </c>
      <c r="DA39" s="48">
        <f>IF(AND(BQ39&lt;&gt;"",BR39=""),N(BS39),0)+IF(AND(BW39&lt;&gt;"",BX39=""),N(BY39),0)+IF(AND(CC39&lt;&gt;"",CD39=""),N(CE39),0)+IF(AND(CI39&lt;&gt;"",CJ39=""),N(CK39),0)+IF(AND(CO39&lt;&gt;"",CP39=""),N(CQ39),0)</f>
        <v/>
      </c>
      <c r="DB39" s="48">
        <f>ROUND(IF(BQ39&lt;&gt;"",N(BS39)*MAX(0,((IF(BR39="",TODAY(),BR39))-BQ39)/7),0)+IF(BW39&lt;&gt;"",N(BY39)*MAX(0,((IF(BX39="",TODAY(),BX39))-BW39)/7),0)+IF(CC39&lt;&gt;"",N(CE39)*MAX(0,((IF(CD39="",TODAY(),CD39))-CC39)/7),0)+IF(CI39&lt;&gt;"",N(CK39)*MAX(0,((IF(CJ39="",TODAY(),CJ39))-CI39)/7),0)+IF(CO39&lt;&gt;"",N(CQ39)*MAX(0,((IF(CP39="",TODAY(),CP39))-CO39)/7),0),1)</f>
        <v/>
      </c>
      <c r="DC39" s="48">
        <f>IF(OR(TRIM(X39)="",TRIM(X39)="NA;",TRIM(X39)="NA"),0,1)</f>
        <v/>
      </c>
      <c r="DD39" s="48">
        <f>IF(OR(TRIM(Y39)="",TRIM(Y39)="NA;",TRIM(Y39)="NA"),0,1)</f>
        <v/>
      </c>
      <c r="DE39" s="48">
        <f>IF(OR(TRIM(Z39)="",TRIM(Z39)="NA;",TRIM(Z39)="NA"),0,1)</f>
        <v/>
      </c>
      <c r="DF39" s="48">
        <f>IF(OR(TRIM(AA39)="",TRIM(AA39)="NA;",TRIM(AA39)="NA"),0,1)</f>
        <v/>
      </c>
      <c r="DG39" s="48">
        <f>IF(OR(TRIM(AB39)="",TRIM(AB39)="NA;",TRIM(AB39)="NA"),0,1)</f>
        <v/>
      </c>
      <c r="DH39" s="48">
        <f>IF(OR(TRIM(AC39)="",TRIM(AC39)="NA;",TRIM(AC39)="NA"),0,1)</f>
        <v/>
      </c>
      <c r="DI39" s="48">
        <f>IF(OR(TRIM(AD39)="",TRIM(AD39)="NA;",TRIM(AD39)="NA"),0,1)</f>
        <v/>
      </c>
      <c r="DJ39" s="48">
        <f>TRIM(IF(DC39=1,"Mon ","")&amp;IF(DD39=1,"Tue ","")&amp;IF(DE39=1,"Wed ","")&amp;IF(DF39=1,"Thu ","")&amp;IF(DG39=1,"Fri ","")&amp;IF(DH39=1,"Sat ","")&amp;IF(DI39=1,"Sun ",""))</f>
        <v/>
      </c>
    </row>
    <row r="40">
      <c r="A40" s="48" t="inlineStr">
        <is>
          <t>T-O-00038</t>
        </is>
      </c>
      <c r="B40" s="48" t="inlineStr">
        <is>
          <t>Zara Hall</t>
        </is>
      </c>
      <c r="C40" s="48" t="inlineStr">
        <is>
          <t>zara.hall38@example.com</t>
        </is>
      </c>
      <c r="D40" s="48" t="inlineStr">
        <is>
          <t>+61 439 988 828</t>
        </is>
      </c>
      <c r="E40" s="48" t="inlineStr">
        <is>
          <t>Ava Silva</t>
        </is>
      </c>
      <c r="F40" s="48" t="inlineStr">
        <is>
          <t>+61 434 460 927</t>
        </is>
      </c>
      <c r="G40" s="48" t="inlineStr">
        <is>
          <t>Friend</t>
        </is>
      </c>
      <c r="H40" s="48" t="inlineStr">
        <is>
          <t>Tutor</t>
        </is>
      </c>
      <c r="I40" s="49" t="n">
        <v>45530</v>
      </c>
      <c r="J40" s="48" t="inlineStr">
        <is>
          <t>ADM-ACT-UNMAT</t>
        </is>
      </c>
      <c r="K40" s="48">
        <f>IFERROR(VLOOKUP(J40,'(A) Introduction'!$B$35:$C$45,2,FALSE),"")</f>
        <v/>
      </c>
      <c r="L40" s="48" t="inlineStr">
        <is>
          <t>No</t>
        </is>
      </c>
      <c r="M40" s="48" t="inlineStr"/>
      <c r="N40" s="48" t="inlineStr"/>
      <c r="O40" s="48" t="n">
        <v>2</v>
      </c>
      <c r="P40" s="48">
        <f>IF($H40="Tutor",((BQ40&lt;&gt;"")*(BR40=""))+((BW40&lt;&gt;"")*(BX40=""))+((CC40&lt;&gt;"")*(CD40=""))+((CI40&lt;&gt;"")*(CJ40=""))+((CO40&lt;&gt;"")*(CP40="")),SUMPRODUCT(--($BO$3:$BO$202=$A40),--($BR$3:$BR$202=""))+SUMPRODUCT(--($BU$3:$BU$202=$A40),--($BX$3:$BX$202=""))+SUMPRODUCT(--($CA$3:$CA$202=$A40),--($CD$3:$CD$202=""))+SUMPRODUCT(--($CG$3:$CG$202=$A40),--($CJ$3:$CJ$202=""))+SUMPRODUCT(--($CM$3:$CM$202=$A40),--($CP$3:$CP$202="")))</f>
        <v/>
      </c>
      <c r="Q40" s="48">
        <f>IF($H40="Tutor",(BQ40&lt;&gt;"")+(BW40&lt;&gt;"")+(CC40&lt;&gt;"")+(CI40&lt;&gt;"")+(CO40&lt;&gt;""),SUMPRODUCT(--($BO$3:$BO$202=$A40))+SUMPRODUCT(--($BU$3:$BU$202=$A40))+SUMPRODUCT(--($CA$3:$CA$202=$A40))+SUMPRODUCT(--($CG$3:$CG$202=$A40))+SUMPRODUCT(--($CM$3:$CM$202=$A40)))</f>
        <v/>
      </c>
      <c r="R40" s="48">
        <f>IF($H40="Tutor",TRIM(IF(AND(BQ40&lt;&gt;"",BR40=""),BP40&amp;"; ","")&amp;IF(AND(BW40&lt;&gt;"",BX40=""),BV40&amp;"; ","")&amp;IF(AND(CC40&lt;&gt;"",CD40=""),CB40&amp;"; ","")&amp;IF(AND(CI40&lt;&gt;"",CJ40=""),CH40&amp;"; ","")&amp;IF(AND(CO40&lt;&gt;"",CP40=""),CN40&amp;"; ","")),IFERROR(INDEX($A$3:$B$202,(SUMPRODUCT(($BO$3:$BO$202=$A40)*($BR$3:$BR$202="")*ROW($BO$3:$BO$202))+SUMPRODUCT(($BU$3:$BU$202=$A40)*($BX$3:$BX$202="")*ROW($BU$3:$BU$202))+SUMPRODUCT(($CA$3:$CA$202=$A40)*($CD$3:$CD$202="")*ROW($CA$3:$CA$202))+SUMPRODUCT(($CG$3:$CG$202=$A40)*($CJ$3:$CJ$202="")*ROW($CG$3:$CG$202))+SUMPRODUCT(($CM$3:$CM$202=$A40)*($CP$3:$CP$202="")*ROW($CM$3:$CM$202)))-2,2),""))</f>
        <v/>
      </c>
      <c r="S40" s="48" t="inlineStr">
        <is>
          <t>Provided</t>
        </is>
      </c>
      <c r="T40" s="48" t="inlineStr"/>
      <c r="U40" s="48" t="inlineStr"/>
      <c r="V40" s="49" t="n">
        <v>45827</v>
      </c>
      <c r="W40" s="48" t="inlineStr">
        <is>
          <t>AEST (UTC+10)</t>
        </is>
      </c>
      <c r="X40" s="48" t="inlineStr">
        <is>
          <t>6pm-9pm;</t>
        </is>
      </c>
      <c r="Y40" s="48" t="inlineStr">
        <is>
          <t>6pm-9pm;</t>
        </is>
      </c>
      <c r="Z40" s="48" t="inlineStr">
        <is>
          <t>3pm-6pm;</t>
        </is>
      </c>
      <c r="AA40" s="48" t="inlineStr">
        <is>
          <t>12pm-3pm;6pm-9pm;</t>
        </is>
      </c>
      <c r="AB40" s="48" t="inlineStr">
        <is>
          <t>9am-12pm;12pm-3pm;3pm-6pm;</t>
        </is>
      </c>
      <c r="AC40" s="48" t="inlineStr">
        <is>
          <t>9am-12pm;12pm-3pm;3pm-6pm;</t>
        </is>
      </c>
      <c r="AD40" s="48" t="inlineStr">
        <is>
          <t>12pm-3pm;6pm-9pm;</t>
        </is>
      </c>
      <c r="AE40" s="48" t="inlineStr">
        <is>
          <t>Online</t>
        </is>
      </c>
      <c r="AF40" s="48" t="inlineStr">
        <is>
          <t>NA - Tutor</t>
        </is>
      </c>
      <c r="AG40" s="48" t="inlineStr">
        <is>
          <t>Australia</t>
        </is>
      </c>
      <c r="AH40" s="48" t="inlineStr">
        <is>
          <t>New South Wales</t>
        </is>
      </c>
      <c r="AI40" s="48" t="inlineStr">
        <is>
          <t>Eastlakes</t>
        </is>
      </c>
      <c r="AJ40" s="48" t="inlineStr">
        <is>
          <t>2018</t>
        </is>
      </c>
      <c r="AK40" s="49" t="n">
        <v>36030</v>
      </c>
      <c r="AL40" s="48" t="inlineStr">
        <is>
          <t>Female</t>
        </is>
      </c>
      <c r="AM40" s="48" t="inlineStr">
        <is>
          <t>NA</t>
        </is>
      </c>
      <c r="AN40" s="48" t="inlineStr">
        <is>
          <t>NA - Tutor</t>
        </is>
      </c>
      <c r="AO40" s="48" t="inlineStr">
        <is>
          <t>Moderate</t>
        </is>
      </c>
      <c r="AP40" s="48" t="inlineStr">
        <is>
          <t>Russia</t>
        </is>
      </c>
      <c r="AQ40" s="48" t="inlineStr">
        <is>
          <t>NA</t>
        </is>
      </c>
      <c r="AR40" s="48" t="inlineStr">
        <is>
          <t>Pashto (C2)</t>
        </is>
      </c>
      <c r="AS40" s="48" t="inlineStr">
        <is>
          <t>Muslim</t>
        </is>
      </c>
      <c r="AT40" s="48" t="inlineStr">
        <is>
          <t>Science, Tech, Engineering and Math</t>
        </is>
      </c>
      <c r="AU40" s="48" t="inlineStr">
        <is>
          <t>Lawyer</t>
        </is>
      </c>
      <c r="AV40" s="48" t="inlineStr">
        <is>
          <t>NA - Tutor</t>
        </is>
      </c>
      <c r="AW40" s="48" t="inlineStr">
        <is>
          <t>Gardening; Cooking; Walking</t>
        </is>
      </c>
      <c r="AX40" s="48" t="inlineStr">
        <is>
          <t>NA - Tutor</t>
        </is>
      </c>
      <c r="AY40" s="48" t="inlineStr">
        <is>
          <t>NA - Partner Organisation Verified</t>
        </is>
      </c>
      <c r="AZ40" s="48" t="inlineStr">
        <is>
          <t>Yes</t>
        </is>
      </c>
      <c r="BA40" s="48" t="inlineStr">
        <is>
          <t>Sofia Brown</t>
        </is>
      </c>
      <c r="BB40" s="48" t="inlineStr">
        <is>
          <t>Colleague</t>
        </is>
      </c>
      <c r="BC40" s="48" t="inlineStr">
        <is>
          <t>zara.smith538@example.com</t>
        </is>
      </c>
      <c r="BD40" s="48" t="inlineStr">
        <is>
          <t>Pending</t>
        </is>
      </c>
      <c r="BE40" s="48" t="inlineStr"/>
      <c r="BF40" s="48" t="inlineStr"/>
      <c r="BG40" s="48" t="inlineStr">
        <is>
          <t>No</t>
        </is>
      </c>
      <c r="BH40" s="48" t="inlineStr">
        <is>
          <t>Adults Only</t>
        </is>
      </c>
      <c r="BI40" s="48" t="inlineStr">
        <is>
          <t>Bread &amp; Butter Project</t>
        </is>
      </c>
      <c r="BJ40" s="48" t="inlineStr">
        <is>
          <t>KNIJNIK Marina</t>
        </is>
      </c>
      <c r="BK40" s="48" t="inlineStr">
        <is>
          <t>CROCK Mary</t>
        </is>
      </c>
      <c r="BL40" s="48" t="inlineStr">
        <is>
          <t>Synthetic test record.</t>
        </is>
      </c>
      <c r="BM40" s="48" t="inlineStr"/>
      <c r="BN40" s="48">
        <f>TRIM(IF(AND($H40="Student",$J40="ADM-ACT-MAT-CNE"),"Invalid: Student cannot be CNE. ","")&amp;IF(AND($H40="Student",ISNUMBER($O40)),"Check: capacity set for a Student. ","")&amp;IF(AND(LEFT($J40,11)="ADM-ACT-MAT",$P40=0),"Check: matched status but 0 active pairings. ","")&amp;IF(AND($H40="Tutor",ISNUMBER($O40),$P40&gt;$O40),"Check: pairings exceed capacity. ","")&amp;IF(AND($BH40="Everyone",NOT(AND($BD40="Yes",$BG40="Yes"))),"Check: approved to tutor children but WWCC not provided/confirmed. ","")&amp;IF(AND($P40&gt;0,NOT(AND(OR(LEFT($AY40,3)="Yes",LEFT($AY40,2)="NA"),OR(LEFT($AZ40,3)="Yes",LEFT($AZ40,2)="NA")))),"Matched but vetting incomplete (interview/reference). ","")&amp;IF(COUNTIF($B$3:$B$600,$B40)&gt;1,"Duplicate participant name. ",""))</f>
        <v/>
      </c>
      <c r="BO40" s="48" t="inlineStr"/>
      <c r="BP40" s="48" t="inlineStr"/>
      <c r="BQ40" s="48" t="inlineStr"/>
      <c r="BR40" s="48" t="inlineStr"/>
      <c r="BS40" s="48" t="inlineStr"/>
      <c r="BT40" s="48" t="inlineStr"/>
      <c r="BU40" s="48" t="inlineStr"/>
      <c r="BV40" s="48" t="inlineStr"/>
      <c r="BW40" s="48" t="inlineStr"/>
      <c r="BX40" s="48" t="inlineStr"/>
      <c r="BY40" s="48" t="inlineStr"/>
      <c r="BZ40" s="48" t="inlineStr"/>
      <c r="CA40" s="48" t="inlineStr"/>
      <c r="CB40" s="48" t="inlineStr"/>
      <c r="CC40" s="48" t="inlineStr"/>
      <c r="CD40" s="48" t="inlineStr"/>
      <c r="CE40" s="48" t="inlineStr"/>
      <c r="CF40" s="48" t="inlineStr"/>
      <c r="CG40" s="48" t="inlineStr"/>
      <c r="CH40" s="48" t="inlineStr"/>
      <c r="CI40" s="48" t="inlineStr"/>
      <c r="CJ40" s="48" t="inlineStr"/>
      <c r="CK40" s="48" t="inlineStr"/>
      <c r="CL40" s="48" t="inlineStr"/>
      <c r="CM40" s="48" t="inlineStr"/>
      <c r="CN40" s="48" t="inlineStr"/>
      <c r="CO40" s="48" t="inlineStr"/>
      <c r="CP40" s="48" t="inlineStr"/>
      <c r="CQ40" s="48" t="inlineStr"/>
      <c r="CR40" s="48" t="inlineStr"/>
      <c r="CS40" s="48">
        <f>IF(LEFT($J40,3)="ERR",0,1)</f>
        <v/>
      </c>
      <c r="CT40" s="48">
        <f>IF(LEFT($J40,3)="ADM",1,0)</f>
        <v/>
      </c>
      <c r="CU40" s="48">
        <f>IF(OR($J40="ADM-ACT-MAT-CNE",$J40="ADM-ACT-MAT-CE",$J40="ADM-INACT-M&amp;T"),1,0)</f>
        <v/>
      </c>
      <c r="CV40" s="48">
        <f>IF(AND(CU40=1,ISNUMBER(M40),ISNUMBER(I40)),M40-I40,"")</f>
        <v/>
      </c>
      <c r="CW40" s="48">
        <f>IF(ISNUMBER(I40),TODAY()-I40,"")</f>
        <v/>
      </c>
      <c r="CX40" s="48">
        <f>IF(ISNUMBER(I40),DATE(YEAR(I40),MONTH(I40),1),"")</f>
        <v/>
      </c>
      <c r="CY40" s="48">
        <f>IFERROR(DATEDIF(AK40,TODAY(),"y"),"")</f>
        <v/>
      </c>
      <c r="CZ40" s="48">
        <f>IF(CY40="","",IF(CY40&lt;28,"18-27",IF(CY40&lt;38,"28-37",IF(CY40&lt;48,"38-47",IF(CY40&lt;58,"48-57",IF(CY40&lt;68,"58-67",IF(CY40&lt;78,"68-77","78+")))))) </f>
        <v/>
      </c>
      <c r="DA40" s="48">
        <f>IF(AND(BQ40&lt;&gt;"",BR40=""),N(BS40),0)+IF(AND(BW40&lt;&gt;"",BX40=""),N(BY40),0)+IF(AND(CC40&lt;&gt;"",CD40=""),N(CE40),0)+IF(AND(CI40&lt;&gt;"",CJ40=""),N(CK40),0)+IF(AND(CO40&lt;&gt;"",CP40=""),N(CQ40),0)</f>
        <v/>
      </c>
      <c r="DB40" s="48">
        <f>ROUND(IF(BQ40&lt;&gt;"",N(BS40)*MAX(0,((IF(BR40="",TODAY(),BR40))-BQ40)/7),0)+IF(BW40&lt;&gt;"",N(BY40)*MAX(0,((IF(BX40="",TODAY(),BX40))-BW40)/7),0)+IF(CC40&lt;&gt;"",N(CE40)*MAX(0,((IF(CD40="",TODAY(),CD40))-CC40)/7),0)+IF(CI40&lt;&gt;"",N(CK40)*MAX(0,((IF(CJ40="",TODAY(),CJ40))-CI40)/7),0)+IF(CO40&lt;&gt;"",N(CQ40)*MAX(0,((IF(CP40="",TODAY(),CP40))-CO40)/7),0),1)</f>
        <v/>
      </c>
      <c r="DC40" s="48">
        <f>IF(OR(TRIM(X40)="",TRIM(X40)="NA;",TRIM(X40)="NA"),0,1)</f>
        <v/>
      </c>
      <c r="DD40" s="48">
        <f>IF(OR(TRIM(Y40)="",TRIM(Y40)="NA;",TRIM(Y40)="NA"),0,1)</f>
        <v/>
      </c>
      <c r="DE40" s="48">
        <f>IF(OR(TRIM(Z40)="",TRIM(Z40)="NA;",TRIM(Z40)="NA"),0,1)</f>
        <v/>
      </c>
      <c r="DF40" s="48">
        <f>IF(OR(TRIM(AA40)="",TRIM(AA40)="NA;",TRIM(AA40)="NA"),0,1)</f>
        <v/>
      </c>
      <c r="DG40" s="48">
        <f>IF(OR(TRIM(AB40)="",TRIM(AB40)="NA;",TRIM(AB40)="NA"),0,1)</f>
        <v/>
      </c>
      <c r="DH40" s="48">
        <f>IF(OR(TRIM(AC40)="",TRIM(AC40)="NA;",TRIM(AC40)="NA"),0,1)</f>
        <v/>
      </c>
      <c r="DI40" s="48">
        <f>IF(OR(TRIM(AD40)="",TRIM(AD40)="NA;",TRIM(AD40)="NA"),0,1)</f>
        <v/>
      </c>
      <c r="DJ40" s="48">
        <f>TRIM(IF(DC40=1,"Mon ","")&amp;IF(DD40=1,"Tue ","")&amp;IF(DE40=1,"Wed ","")&amp;IF(DF40=1,"Thu ","")&amp;IF(DG40=1,"Fri ","")&amp;IF(DH40=1,"Sat ","")&amp;IF(DI40=1,"Sun ",""))</f>
        <v/>
      </c>
    </row>
    <row r="41">
      <c r="A41" s="48" t="inlineStr">
        <is>
          <t>T-O-00039</t>
        </is>
      </c>
      <c r="B41" s="48" t="inlineStr">
        <is>
          <t>Sara Drobushar</t>
        </is>
      </c>
      <c r="C41" s="48" t="inlineStr">
        <is>
          <t>sara.drobushar39@example.com</t>
        </is>
      </c>
      <c r="D41" s="48" t="inlineStr">
        <is>
          <t>+61 406 405 514</t>
        </is>
      </c>
      <c r="E41" s="48" t="inlineStr">
        <is>
          <t>Chloe Green</t>
        </is>
      </c>
      <c r="F41" s="48" t="inlineStr">
        <is>
          <t>+61 467 433 113</t>
        </is>
      </c>
      <c r="G41" s="48" t="inlineStr">
        <is>
          <t>Sibling</t>
        </is>
      </c>
      <c r="H41" s="48" t="inlineStr">
        <is>
          <t>Tutor</t>
        </is>
      </c>
      <c r="I41" s="49" t="n">
        <v>45534</v>
      </c>
      <c r="J41" s="48" t="inlineStr">
        <is>
          <t>ADM-INACT-NOM&amp;T</t>
        </is>
      </c>
      <c r="K41" s="48">
        <f>IFERROR(VLOOKUP(J41,'(A) Introduction'!$B$35:$C$45,2,FALSE),"")</f>
        <v/>
      </c>
      <c r="L41" s="48" t="inlineStr">
        <is>
          <t>No</t>
        </is>
      </c>
      <c r="M41" s="48" t="inlineStr"/>
      <c r="N41" s="48" t="inlineStr"/>
      <c r="O41" s="48" t="n">
        <v>2</v>
      </c>
      <c r="P41" s="48">
        <f>IF($H41="Tutor",((BQ41&lt;&gt;"")*(BR41=""))+((BW41&lt;&gt;"")*(BX41=""))+((CC41&lt;&gt;"")*(CD41=""))+((CI41&lt;&gt;"")*(CJ41=""))+((CO41&lt;&gt;"")*(CP41="")),SUMPRODUCT(--($BO$3:$BO$202=$A41),--($BR$3:$BR$202=""))+SUMPRODUCT(--($BU$3:$BU$202=$A41),--($BX$3:$BX$202=""))+SUMPRODUCT(--($CA$3:$CA$202=$A41),--($CD$3:$CD$202=""))+SUMPRODUCT(--($CG$3:$CG$202=$A41),--($CJ$3:$CJ$202=""))+SUMPRODUCT(--($CM$3:$CM$202=$A41),--($CP$3:$CP$202="")))</f>
        <v/>
      </c>
      <c r="Q41" s="48">
        <f>IF($H41="Tutor",(BQ41&lt;&gt;"")+(BW41&lt;&gt;"")+(CC41&lt;&gt;"")+(CI41&lt;&gt;"")+(CO41&lt;&gt;""),SUMPRODUCT(--($BO$3:$BO$202=$A41))+SUMPRODUCT(--($BU$3:$BU$202=$A41))+SUMPRODUCT(--($CA$3:$CA$202=$A41))+SUMPRODUCT(--($CG$3:$CG$202=$A41))+SUMPRODUCT(--($CM$3:$CM$202=$A41)))</f>
        <v/>
      </c>
      <c r="R41" s="48">
        <f>IF($H41="Tutor",TRIM(IF(AND(BQ41&lt;&gt;"",BR41=""),BP41&amp;"; ","")&amp;IF(AND(BW41&lt;&gt;"",BX41=""),BV41&amp;"; ","")&amp;IF(AND(CC41&lt;&gt;"",CD41=""),CB41&amp;"; ","")&amp;IF(AND(CI41&lt;&gt;"",CJ41=""),CH41&amp;"; ","")&amp;IF(AND(CO41&lt;&gt;"",CP41=""),CN41&amp;"; ","")),IFERROR(INDEX($A$3:$B$202,(SUMPRODUCT(($BO$3:$BO$202=$A41)*($BR$3:$BR$202="")*ROW($BO$3:$BO$202))+SUMPRODUCT(($BU$3:$BU$202=$A41)*($BX$3:$BX$202="")*ROW($BU$3:$BU$202))+SUMPRODUCT(($CA$3:$CA$202=$A41)*($CD$3:$CD$202="")*ROW($CA$3:$CA$202))+SUMPRODUCT(($CG$3:$CG$202=$A41)*($CJ$3:$CJ$202="")*ROW($CG$3:$CG$202))+SUMPRODUCT(($CM$3:$CM$202=$A41)*($CP$3:$CP$202="")*ROW($CM$3:$CM$202)))-2,2),""))</f>
        <v/>
      </c>
      <c r="S41" s="48" t="inlineStr">
        <is>
          <t>Provided</t>
        </is>
      </c>
      <c r="T41" s="48" t="inlineStr"/>
      <c r="U41" s="48" t="inlineStr"/>
      <c r="V41" s="49" t="n">
        <v>45448</v>
      </c>
      <c r="W41" s="48" t="inlineStr">
        <is>
          <t>AEDT (UTC+11)</t>
        </is>
      </c>
      <c r="X41" s="48" t="inlineStr">
        <is>
          <t>6pm-9pm;</t>
        </is>
      </c>
      <c r="Y41" s="48" t="inlineStr">
        <is>
          <t>6am-9am;9am-12pm;</t>
        </is>
      </c>
      <c r="Z41" s="48" t="inlineStr">
        <is>
          <t>12pm-3pm;</t>
        </is>
      </c>
      <c r="AA41" s="48" t="inlineStr">
        <is>
          <t>NA;</t>
        </is>
      </c>
      <c r="AB41" s="48" t="inlineStr">
        <is>
          <t>6am-9am;9am-12pm;</t>
        </is>
      </c>
      <c r="AC41" s="48" t="inlineStr">
        <is>
          <t>6pm-9pm;</t>
        </is>
      </c>
      <c r="AD41" s="48" t="inlineStr">
        <is>
          <t>6am-9am;9am-12pm;</t>
        </is>
      </c>
      <c r="AE41" s="48" t="inlineStr">
        <is>
          <t>Online</t>
        </is>
      </c>
      <c r="AF41" s="48" t="inlineStr">
        <is>
          <t>NA - Tutor</t>
        </is>
      </c>
      <c r="AG41" s="48" t="inlineStr">
        <is>
          <t>Australia</t>
        </is>
      </c>
      <c r="AH41" s="48" t="inlineStr">
        <is>
          <t>New South Wales</t>
        </is>
      </c>
      <c r="AI41" s="48" t="inlineStr">
        <is>
          <t>Bankstown</t>
        </is>
      </c>
      <c r="AJ41" s="48" t="inlineStr">
        <is>
          <t>2200</t>
        </is>
      </c>
      <c r="AK41" s="49" t="n">
        <v>24901</v>
      </c>
      <c r="AL41" s="48" t="inlineStr">
        <is>
          <t>Female</t>
        </is>
      </c>
      <c r="AM41" s="48" t="inlineStr">
        <is>
          <t>NA</t>
        </is>
      </c>
      <c r="AN41" s="48" t="inlineStr">
        <is>
          <t>NA - Tutor</t>
        </is>
      </c>
      <c r="AO41" s="48" t="inlineStr">
        <is>
          <t>High</t>
        </is>
      </c>
      <c r="AP41" s="48" t="inlineStr">
        <is>
          <t>China</t>
        </is>
      </c>
      <c r="AQ41" s="48" t="inlineStr">
        <is>
          <t>NA</t>
        </is>
      </c>
      <c r="AR41" s="48" t="inlineStr">
        <is>
          <t>English (C2)</t>
        </is>
      </c>
      <c r="AS41" s="48" t="inlineStr">
        <is>
          <t>Christian (Catholic)</t>
        </is>
      </c>
      <c r="AT41" s="48" t="inlineStr">
        <is>
          <t>Other / Unspecified</t>
        </is>
      </c>
      <c r="AU41" s="48" t="inlineStr">
        <is>
          <t>Lawyer</t>
        </is>
      </c>
      <c r="AV41" s="48" t="inlineStr">
        <is>
          <t>NA - Tutor</t>
        </is>
      </c>
      <c r="AW41" s="48" t="inlineStr">
        <is>
          <t>Art; Photography; Travel</t>
        </is>
      </c>
      <c r="AX41" s="48" t="inlineStr">
        <is>
          <t>NA - Tutor</t>
        </is>
      </c>
      <c r="AY41" s="48" t="inlineStr">
        <is>
          <t>No</t>
        </is>
      </c>
      <c r="AZ41" s="48" t="inlineStr">
        <is>
          <t>Yes</t>
        </is>
      </c>
      <c r="BA41" s="48" t="inlineStr">
        <is>
          <t>Omar Bourne</t>
        </is>
      </c>
      <c r="BB41" s="48" t="inlineStr">
        <is>
          <t>Colleague</t>
        </is>
      </c>
      <c r="BC41" s="48" t="inlineStr">
        <is>
          <t>dmytro.schaffer539@example.com</t>
        </is>
      </c>
      <c r="BD41" s="48" t="inlineStr">
        <is>
          <t>Yes</t>
        </is>
      </c>
      <c r="BE41" s="48" t="inlineStr">
        <is>
          <t>WWC1272943E</t>
        </is>
      </c>
      <c r="BF41" s="49" t="n">
        <v>46970</v>
      </c>
      <c r="BG41" s="48" t="inlineStr">
        <is>
          <t>Yes</t>
        </is>
      </c>
      <c r="BH41" s="48" t="inlineStr">
        <is>
          <t>Everyone</t>
        </is>
      </c>
      <c r="BI41" s="48" t="inlineStr">
        <is>
          <t>Jesuit Refugee Service</t>
        </is>
      </c>
      <c r="BJ41" s="48" t="inlineStr">
        <is>
          <t>HALLORAN Isobel</t>
        </is>
      </c>
      <c r="BK41" s="48" t="inlineStr">
        <is>
          <t>SHANAHAN Jack</t>
        </is>
      </c>
      <c r="BL41" s="48" t="inlineStr">
        <is>
          <t>Synthetic test record.</t>
        </is>
      </c>
      <c r="BM41" s="48" t="inlineStr"/>
      <c r="BN41" s="48">
        <f>TRIM(IF(AND($H41="Student",$J41="ADM-ACT-MAT-CNE"),"Invalid: Student cannot be CNE. ","")&amp;IF(AND($H41="Student",ISNUMBER($O41)),"Check: capacity set for a Student. ","")&amp;IF(AND(LEFT($J41,11)="ADM-ACT-MAT",$P41=0),"Check: matched status but 0 active pairings. ","")&amp;IF(AND($H41="Tutor",ISNUMBER($O41),$P41&gt;$O41),"Check: pairings exceed capacity. ","")&amp;IF(AND($BH41="Everyone",NOT(AND($BD41="Yes",$BG41="Yes"))),"Check: approved to tutor children but WWCC not provided/confirmed. ","")&amp;IF(AND($P41&gt;0,NOT(AND(OR(LEFT($AY41,3)="Yes",LEFT($AY41,2)="NA"),OR(LEFT($AZ41,3)="Yes",LEFT($AZ41,2)="NA")))),"Matched but vetting incomplete (interview/reference). ","")&amp;IF(COUNTIF($B$3:$B$600,$B41)&gt;1,"Duplicate participant name. ",""))</f>
        <v/>
      </c>
      <c r="BO41" s="48" t="inlineStr"/>
      <c r="BP41" s="48" t="inlineStr"/>
      <c r="BQ41" s="48" t="inlineStr"/>
      <c r="BR41" s="48" t="inlineStr"/>
      <c r="BS41" s="48" t="inlineStr"/>
      <c r="BT41" s="48" t="inlineStr"/>
      <c r="BU41" s="48" t="inlineStr"/>
      <c r="BV41" s="48" t="inlineStr"/>
      <c r="BW41" s="48" t="inlineStr"/>
      <c r="BX41" s="48" t="inlineStr"/>
      <c r="BY41" s="48" t="inlineStr"/>
      <c r="BZ41" s="48" t="inlineStr"/>
      <c r="CA41" s="48" t="inlineStr"/>
      <c r="CB41" s="48" t="inlineStr"/>
      <c r="CC41" s="48" t="inlineStr"/>
      <c r="CD41" s="48" t="inlineStr"/>
      <c r="CE41" s="48" t="inlineStr"/>
      <c r="CF41" s="48" t="inlineStr"/>
      <c r="CG41" s="48" t="inlineStr"/>
      <c r="CH41" s="48" t="inlineStr"/>
      <c r="CI41" s="48" t="inlineStr"/>
      <c r="CJ41" s="48" t="inlineStr"/>
      <c r="CK41" s="48" t="inlineStr"/>
      <c r="CL41" s="48" t="inlineStr"/>
      <c r="CM41" s="48" t="inlineStr"/>
      <c r="CN41" s="48" t="inlineStr"/>
      <c r="CO41" s="48" t="inlineStr"/>
      <c r="CP41" s="48" t="inlineStr"/>
      <c r="CQ41" s="48" t="inlineStr"/>
      <c r="CR41" s="48" t="inlineStr"/>
      <c r="CS41" s="48">
        <f>IF(LEFT($J41,3)="ERR",0,1)</f>
        <v/>
      </c>
      <c r="CT41" s="48">
        <f>IF(LEFT($J41,3)="ADM",1,0)</f>
        <v/>
      </c>
      <c r="CU41" s="48">
        <f>IF(OR($J41="ADM-ACT-MAT-CNE",$J41="ADM-ACT-MAT-CE",$J41="ADM-INACT-M&amp;T"),1,0)</f>
        <v/>
      </c>
      <c r="CV41" s="48">
        <f>IF(AND(CU41=1,ISNUMBER(M41),ISNUMBER(I41)),M41-I41,"")</f>
        <v/>
      </c>
      <c r="CW41" s="48">
        <f>IF(ISNUMBER(I41),TODAY()-I41,"")</f>
        <v/>
      </c>
      <c r="CX41" s="48">
        <f>IF(ISNUMBER(I41),DATE(YEAR(I41),MONTH(I41),1),"")</f>
        <v/>
      </c>
      <c r="CY41" s="48">
        <f>IFERROR(DATEDIF(AK41,TODAY(),"y"),"")</f>
        <v/>
      </c>
      <c r="CZ41" s="48">
        <f>IF(CY41="","",IF(CY41&lt;28,"18-27",IF(CY41&lt;38,"28-37",IF(CY41&lt;48,"38-47",IF(CY41&lt;58,"48-57",IF(CY41&lt;68,"58-67",IF(CY41&lt;78,"68-77","78+")))))) </f>
        <v/>
      </c>
      <c r="DA41" s="48">
        <f>IF(AND(BQ41&lt;&gt;"",BR41=""),N(BS41),0)+IF(AND(BW41&lt;&gt;"",BX41=""),N(BY41),0)+IF(AND(CC41&lt;&gt;"",CD41=""),N(CE41),0)+IF(AND(CI41&lt;&gt;"",CJ41=""),N(CK41),0)+IF(AND(CO41&lt;&gt;"",CP41=""),N(CQ41),0)</f>
        <v/>
      </c>
      <c r="DB41" s="48">
        <f>ROUND(IF(BQ41&lt;&gt;"",N(BS41)*MAX(0,((IF(BR41="",TODAY(),BR41))-BQ41)/7),0)+IF(BW41&lt;&gt;"",N(BY41)*MAX(0,((IF(BX41="",TODAY(),BX41))-BW41)/7),0)+IF(CC41&lt;&gt;"",N(CE41)*MAX(0,((IF(CD41="",TODAY(),CD41))-CC41)/7),0)+IF(CI41&lt;&gt;"",N(CK41)*MAX(0,((IF(CJ41="",TODAY(),CJ41))-CI41)/7),0)+IF(CO41&lt;&gt;"",N(CQ41)*MAX(0,((IF(CP41="",TODAY(),CP41))-CO41)/7),0),1)</f>
        <v/>
      </c>
      <c r="DC41" s="48">
        <f>IF(OR(TRIM(X41)="",TRIM(X41)="NA;",TRIM(X41)="NA"),0,1)</f>
        <v/>
      </c>
      <c r="DD41" s="48">
        <f>IF(OR(TRIM(Y41)="",TRIM(Y41)="NA;",TRIM(Y41)="NA"),0,1)</f>
        <v/>
      </c>
      <c r="DE41" s="48">
        <f>IF(OR(TRIM(Z41)="",TRIM(Z41)="NA;",TRIM(Z41)="NA"),0,1)</f>
        <v/>
      </c>
      <c r="DF41" s="48">
        <f>IF(OR(TRIM(AA41)="",TRIM(AA41)="NA;",TRIM(AA41)="NA"),0,1)</f>
        <v/>
      </c>
      <c r="DG41" s="48">
        <f>IF(OR(TRIM(AB41)="",TRIM(AB41)="NA;",TRIM(AB41)="NA"),0,1)</f>
        <v/>
      </c>
      <c r="DH41" s="48">
        <f>IF(OR(TRIM(AC41)="",TRIM(AC41)="NA;",TRIM(AC41)="NA"),0,1)</f>
        <v/>
      </c>
      <c r="DI41" s="48">
        <f>IF(OR(TRIM(AD41)="",TRIM(AD41)="NA;",TRIM(AD41)="NA"),0,1)</f>
        <v/>
      </c>
      <c r="DJ41" s="48">
        <f>TRIM(IF(DC41=1,"Mon ","")&amp;IF(DD41=1,"Tue ","")&amp;IF(DE41=1,"Wed ","")&amp;IF(DF41=1,"Thu ","")&amp;IF(DG41=1,"Fri ","")&amp;IF(DH41=1,"Sat ","")&amp;IF(DI41=1,"Sun ",""))</f>
        <v/>
      </c>
    </row>
    <row r="42">
      <c r="A42" s="48" t="inlineStr">
        <is>
          <t>T-O-00040</t>
        </is>
      </c>
      <c r="B42" s="48" t="inlineStr">
        <is>
          <t>Pedro Baker</t>
        </is>
      </c>
      <c r="C42" s="48" t="inlineStr">
        <is>
          <t>pedro.baker40@example.com</t>
        </is>
      </c>
      <c r="D42" s="48" t="inlineStr">
        <is>
          <t>+61 408 113 856</t>
        </is>
      </c>
      <c r="E42" s="48" t="inlineStr">
        <is>
          <t>Karim Stanley</t>
        </is>
      </c>
      <c r="F42" s="48" t="inlineStr">
        <is>
          <t>+61 495 016 365</t>
        </is>
      </c>
      <c r="G42" s="48" t="inlineStr">
        <is>
          <t>Spouse</t>
        </is>
      </c>
      <c r="H42" s="48" t="inlineStr">
        <is>
          <t>Tutor</t>
        </is>
      </c>
      <c r="I42" s="49" t="n">
        <v>45534</v>
      </c>
      <c r="J42" s="48" t="inlineStr">
        <is>
          <t>NADM-REJ-UNRES</t>
        </is>
      </c>
      <c r="K42" s="48">
        <f>IFERROR(VLOOKUP(J42,'(A) Introduction'!$B$35:$C$45,2,FALSE),"")</f>
        <v/>
      </c>
      <c r="L42" s="48" t="inlineStr">
        <is>
          <t>No</t>
        </is>
      </c>
      <c r="M42" s="48" t="inlineStr"/>
      <c r="N42" s="48" t="inlineStr"/>
      <c r="O42" s="48" t="n">
        <v>2</v>
      </c>
      <c r="P42" s="48">
        <f>IF($H42="Tutor",((BQ42&lt;&gt;"")*(BR42=""))+((BW42&lt;&gt;"")*(BX42=""))+((CC42&lt;&gt;"")*(CD42=""))+((CI42&lt;&gt;"")*(CJ42=""))+((CO42&lt;&gt;"")*(CP42="")),SUMPRODUCT(--($BO$3:$BO$202=$A42),--($BR$3:$BR$202=""))+SUMPRODUCT(--($BU$3:$BU$202=$A42),--($BX$3:$BX$202=""))+SUMPRODUCT(--($CA$3:$CA$202=$A42),--($CD$3:$CD$202=""))+SUMPRODUCT(--($CG$3:$CG$202=$A42),--($CJ$3:$CJ$202=""))+SUMPRODUCT(--($CM$3:$CM$202=$A42),--($CP$3:$CP$202="")))</f>
        <v/>
      </c>
      <c r="Q42" s="48">
        <f>IF($H42="Tutor",(BQ42&lt;&gt;"")+(BW42&lt;&gt;"")+(CC42&lt;&gt;"")+(CI42&lt;&gt;"")+(CO42&lt;&gt;""),SUMPRODUCT(--($BO$3:$BO$202=$A42))+SUMPRODUCT(--($BU$3:$BU$202=$A42))+SUMPRODUCT(--($CA$3:$CA$202=$A42))+SUMPRODUCT(--($CG$3:$CG$202=$A42))+SUMPRODUCT(--($CM$3:$CM$202=$A42)))</f>
        <v/>
      </c>
      <c r="R42" s="48">
        <f>IF($H42="Tutor",TRIM(IF(AND(BQ42&lt;&gt;"",BR42=""),BP42&amp;"; ","")&amp;IF(AND(BW42&lt;&gt;"",BX42=""),BV42&amp;"; ","")&amp;IF(AND(CC42&lt;&gt;"",CD42=""),CB42&amp;"; ","")&amp;IF(AND(CI42&lt;&gt;"",CJ42=""),CH42&amp;"; ","")&amp;IF(AND(CO42&lt;&gt;"",CP42=""),CN42&amp;"; ","")),IFERROR(INDEX($A$3:$B$202,(SUMPRODUCT(($BO$3:$BO$202=$A42)*($BR$3:$BR$202="")*ROW($BO$3:$BO$202))+SUMPRODUCT(($BU$3:$BU$202=$A42)*($BX$3:$BX$202="")*ROW($BU$3:$BU$202))+SUMPRODUCT(($CA$3:$CA$202=$A42)*($CD$3:$CD$202="")*ROW($CA$3:$CA$202))+SUMPRODUCT(($CG$3:$CG$202=$A42)*($CJ$3:$CJ$202="")*ROW($CG$3:$CG$202))+SUMPRODUCT(($CM$3:$CM$202=$A42)*($CP$3:$CP$202="")*ROW($CM$3:$CM$202)))-2,2),""))</f>
        <v/>
      </c>
      <c r="S42" s="48" t="inlineStr">
        <is>
          <t>NA</t>
        </is>
      </c>
      <c r="T42" s="48" t="inlineStr"/>
      <c r="U42" s="48" t="inlineStr"/>
      <c r="V42" s="48" t="inlineStr"/>
      <c r="W42" s="48" t="inlineStr">
        <is>
          <t>ACST (UTC+9:30)</t>
        </is>
      </c>
      <c r="X42" s="48" t="inlineStr">
        <is>
          <t>NA;</t>
        </is>
      </c>
      <c r="Y42" s="48" t="inlineStr">
        <is>
          <t>9am-12pm;12pm-3pm;3pm-6pm;</t>
        </is>
      </c>
      <c r="Z42" s="48" t="inlineStr">
        <is>
          <t>12pm-3pm;</t>
        </is>
      </c>
      <c r="AA42" s="48" t="inlineStr">
        <is>
          <t>9am-12pm;</t>
        </is>
      </c>
      <c r="AB42" s="48" t="inlineStr">
        <is>
          <t>3pm-6pm;</t>
        </is>
      </c>
      <c r="AC42" s="48" t="inlineStr">
        <is>
          <t>12pm-3pm;6pm-9pm;</t>
        </is>
      </c>
      <c r="AD42" s="48" t="inlineStr">
        <is>
          <t>NA;</t>
        </is>
      </c>
      <c r="AE42" s="48" t="inlineStr">
        <is>
          <t>Either</t>
        </is>
      </c>
      <c r="AF42" s="48" t="inlineStr">
        <is>
          <t>NA - Tutor</t>
        </is>
      </c>
      <c r="AG42" s="48" t="inlineStr">
        <is>
          <t>Australia</t>
        </is>
      </c>
      <c r="AH42" s="48" t="inlineStr">
        <is>
          <t>New South Wales</t>
        </is>
      </c>
      <c r="AI42" s="48" t="inlineStr">
        <is>
          <t>Blacktown</t>
        </is>
      </c>
      <c r="AJ42" s="48" t="inlineStr">
        <is>
          <t>2148</t>
        </is>
      </c>
      <c r="AK42" s="49" t="n">
        <v>28427</v>
      </c>
      <c r="AL42" s="48" t="inlineStr">
        <is>
          <t>Female</t>
        </is>
      </c>
      <c r="AM42" s="48" t="inlineStr">
        <is>
          <t>NA</t>
        </is>
      </c>
      <c r="AN42" s="48" t="inlineStr">
        <is>
          <t>NA - Tutor</t>
        </is>
      </c>
      <c r="AO42" s="48" t="inlineStr">
        <is>
          <t>Outstanding</t>
        </is>
      </c>
      <c r="AP42" s="48" t="inlineStr">
        <is>
          <t>Australia</t>
        </is>
      </c>
      <c r="AQ42" s="48" t="inlineStr">
        <is>
          <t>NA</t>
        </is>
      </c>
      <c r="AR42" s="48" t="inlineStr">
        <is>
          <t>English (C2)</t>
        </is>
      </c>
      <c r="AS42" s="48" t="inlineStr">
        <is>
          <t>Christian</t>
        </is>
      </c>
      <c r="AT42" s="48" t="inlineStr">
        <is>
          <t>Military &amp; Public Safety</t>
        </is>
      </c>
      <c r="AU42" s="48" t="inlineStr">
        <is>
          <t>Community Worker</t>
        </is>
      </c>
      <c r="AV42" s="48" t="inlineStr">
        <is>
          <t>NA - Tutor</t>
        </is>
      </c>
      <c r="AW42" s="48" t="inlineStr">
        <is>
          <t>Cooking; Reading; Music</t>
        </is>
      </c>
      <c r="AX42" s="48" t="inlineStr">
        <is>
          <t>NA - Tutor</t>
        </is>
      </c>
      <c r="AY42" s="48" t="inlineStr">
        <is>
          <t>No</t>
        </is>
      </c>
      <c r="AZ42" s="48" t="inlineStr">
        <is>
          <t>Yes</t>
        </is>
      </c>
      <c r="BA42" s="48" t="inlineStr">
        <is>
          <t>Sara Schaffer</t>
        </is>
      </c>
      <c r="BB42" s="48" t="inlineStr">
        <is>
          <t>Colleague</t>
        </is>
      </c>
      <c r="BC42" s="48" t="inlineStr">
        <is>
          <t>luke.wright540@example.com</t>
        </is>
      </c>
      <c r="BD42" s="48" t="inlineStr">
        <is>
          <t>Yes</t>
        </is>
      </c>
      <c r="BE42" s="48" t="inlineStr">
        <is>
          <t>WWC4056945V</t>
        </is>
      </c>
      <c r="BF42" s="49" t="n">
        <v>46115</v>
      </c>
      <c r="BG42" s="48" t="inlineStr">
        <is>
          <t>No</t>
        </is>
      </c>
      <c r="BH42" s="48" t="inlineStr">
        <is>
          <t>Adults Only</t>
        </is>
      </c>
      <c r="BI42" s="48" t="inlineStr">
        <is>
          <t>Asylum Seeker Resource Centre</t>
        </is>
      </c>
      <c r="BJ42" s="48" t="inlineStr">
        <is>
          <t>THET Moh Moh</t>
        </is>
      </c>
      <c r="BK42" s="48" t="inlineStr">
        <is>
          <t>MCCRORIE John</t>
        </is>
      </c>
      <c r="BL42" s="48" t="inlineStr">
        <is>
          <t>Synthetic test record.</t>
        </is>
      </c>
      <c r="BM42" s="48" t="inlineStr"/>
      <c r="BN42" s="48">
        <f>TRIM(IF(AND($H42="Student",$J42="ADM-ACT-MAT-CNE"),"Invalid: Student cannot be CNE. ","")&amp;IF(AND($H42="Student",ISNUMBER($O42)),"Check: capacity set for a Student. ","")&amp;IF(AND(LEFT($J42,11)="ADM-ACT-MAT",$P42=0),"Check: matched status but 0 active pairings. ","")&amp;IF(AND($H42="Tutor",ISNUMBER($O42),$P42&gt;$O42),"Check: pairings exceed capacity. ","")&amp;IF(AND($BH42="Everyone",NOT(AND($BD42="Yes",$BG42="Yes"))),"Check: approved to tutor children but WWCC not provided/confirmed. ","")&amp;IF(AND($P42&gt;0,NOT(AND(OR(LEFT($AY42,3)="Yes",LEFT($AY42,2)="NA"),OR(LEFT($AZ42,3)="Yes",LEFT($AZ42,2)="NA")))),"Matched but vetting incomplete (interview/reference). ","")&amp;IF(COUNTIF($B$3:$B$600,$B42)&gt;1,"Duplicate participant name. ",""))</f>
        <v/>
      </c>
      <c r="BO42" s="48" t="inlineStr"/>
      <c r="BP42" s="48" t="inlineStr"/>
      <c r="BQ42" s="48" t="inlineStr"/>
      <c r="BR42" s="48" t="inlineStr"/>
      <c r="BS42" s="48" t="inlineStr"/>
      <c r="BT42" s="48" t="inlineStr"/>
      <c r="BU42" s="48" t="inlineStr"/>
      <c r="BV42" s="48" t="inlineStr"/>
      <c r="BW42" s="48" t="inlineStr"/>
      <c r="BX42" s="48" t="inlineStr"/>
      <c r="BY42" s="48" t="inlineStr"/>
      <c r="BZ42" s="48" t="inlineStr"/>
      <c r="CA42" s="48" t="inlineStr"/>
      <c r="CB42" s="48" t="inlineStr"/>
      <c r="CC42" s="48" t="inlineStr"/>
      <c r="CD42" s="48" t="inlineStr"/>
      <c r="CE42" s="48" t="inlineStr"/>
      <c r="CF42" s="48" t="inlineStr"/>
      <c r="CG42" s="48" t="inlineStr"/>
      <c r="CH42" s="48" t="inlineStr"/>
      <c r="CI42" s="48" t="inlineStr"/>
      <c r="CJ42" s="48" t="inlineStr"/>
      <c r="CK42" s="48" t="inlineStr"/>
      <c r="CL42" s="48" t="inlineStr"/>
      <c r="CM42" s="48" t="inlineStr"/>
      <c r="CN42" s="48" t="inlineStr"/>
      <c r="CO42" s="48" t="inlineStr"/>
      <c r="CP42" s="48" t="inlineStr"/>
      <c r="CQ42" s="48" t="inlineStr"/>
      <c r="CR42" s="48" t="inlineStr"/>
      <c r="CS42" s="48">
        <f>IF(LEFT($J42,3)="ERR",0,1)</f>
        <v/>
      </c>
      <c r="CT42" s="48">
        <f>IF(LEFT($J42,3)="ADM",1,0)</f>
        <v/>
      </c>
      <c r="CU42" s="48">
        <f>IF(OR($J42="ADM-ACT-MAT-CNE",$J42="ADM-ACT-MAT-CE",$J42="ADM-INACT-M&amp;T"),1,0)</f>
        <v/>
      </c>
      <c r="CV42" s="48">
        <f>IF(AND(CU42=1,ISNUMBER(M42),ISNUMBER(I42)),M42-I42,"")</f>
        <v/>
      </c>
      <c r="CW42" s="48">
        <f>IF(ISNUMBER(I42),TODAY()-I42,"")</f>
        <v/>
      </c>
      <c r="CX42" s="48">
        <f>IF(ISNUMBER(I42),DATE(YEAR(I42),MONTH(I42),1),"")</f>
        <v/>
      </c>
      <c r="CY42" s="48">
        <f>IFERROR(DATEDIF(AK42,TODAY(),"y"),"")</f>
        <v/>
      </c>
      <c r="CZ42" s="48">
        <f>IF(CY42="","",IF(CY42&lt;28,"18-27",IF(CY42&lt;38,"28-37",IF(CY42&lt;48,"38-47",IF(CY42&lt;58,"48-57",IF(CY42&lt;68,"58-67",IF(CY42&lt;78,"68-77","78+")))))) </f>
        <v/>
      </c>
      <c r="DA42" s="48">
        <f>IF(AND(BQ42&lt;&gt;"",BR42=""),N(BS42),0)+IF(AND(BW42&lt;&gt;"",BX42=""),N(BY42),0)+IF(AND(CC42&lt;&gt;"",CD42=""),N(CE42),0)+IF(AND(CI42&lt;&gt;"",CJ42=""),N(CK42),0)+IF(AND(CO42&lt;&gt;"",CP42=""),N(CQ42),0)</f>
        <v/>
      </c>
      <c r="DB42" s="48">
        <f>ROUND(IF(BQ42&lt;&gt;"",N(BS42)*MAX(0,((IF(BR42="",TODAY(),BR42))-BQ42)/7),0)+IF(BW42&lt;&gt;"",N(BY42)*MAX(0,((IF(BX42="",TODAY(),BX42))-BW42)/7),0)+IF(CC42&lt;&gt;"",N(CE42)*MAX(0,((IF(CD42="",TODAY(),CD42))-CC42)/7),0)+IF(CI42&lt;&gt;"",N(CK42)*MAX(0,((IF(CJ42="",TODAY(),CJ42))-CI42)/7),0)+IF(CO42&lt;&gt;"",N(CQ42)*MAX(0,((IF(CP42="",TODAY(),CP42))-CO42)/7),0),1)</f>
        <v/>
      </c>
      <c r="DC42" s="48">
        <f>IF(OR(TRIM(X42)="",TRIM(X42)="NA;",TRIM(X42)="NA"),0,1)</f>
        <v/>
      </c>
      <c r="DD42" s="48">
        <f>IF(OR(TRIM(Y42)="",TRIM(Y42)="NA;",TRIM(Y42)="NA"),0,1)</f>
        <v/>
      </c>
      <c r="DE42" s="48">
        <f>IF(OR(TRIM(Z42)="",TRIM(Z42)="NA;",TRIM(Z42)="NA"),0,1)</f>
        <v/>
      </c>
      <c r="DF42" s="48">
        <f>IF(OR(TRIM(AA42)="",TRIM(AA42)="NA;",TRIM(AA42)="NA"),0,1)</f>
        <v/>
      </c>
      <c r="DG42" s="48">
        <f>IF(OR(TRIM(AB42)="",TRIM(AB42)="NA;",TRIM(AB42)="NA"),0,1)</f>
        <v/>
      </c>
      <c r="DH42" s="48">
        <f>IF(OR(TRIM(AC42)="",TRIM(AC42)="NA;",TRIM(AC42)="NA"),0,1)</f>
        <v/>
      </c>
      <c r="DI42" s="48">
        <f>IF(OR(TRIM(AD42)="",TRIM(AD42)="NA;",TRIM(AD42)="NA"),0,1)</f>
        <v/>
      </c>
      <c r="DJ42" s="48">
        <f>TRIM(IF(DC42=1,"Mon ","")&amp;IF(DD42=1,"Tue ","")&amp;IF(DE42=1,"Wed ","")&amp;IF(DF42=1,"Thu ","")&amp;IF(DG42=1,"Fri ","")&amp;IF(DH42=1,"Sat ","")&amp;IF(DI42=1,"Sun ",""))</f>
        <v/>
      </c>
    </row>
    <row r="43">
      <c r="A43" s="48" t="inlineStr">
        <is>
          <t>T-O-00041</t>
        </is>
      </c>
      <c r="B43" s="48" t="inlineStr">
        <is>
          <t>Sam Fernando</t>
        </is>
      </c>
      <c r="C43" s="48" t="inlineStr">
        <is>
          <t>sam.fernando41@example.com</t>
        </is>
      </c>
      <c r="D43" s="48" t="inlineStr">
        <is>
          <t>+61 405 360 559</t>
        </is>
      </c>
      <c r="E43" s="48" t="inlineStr">
        <is>
          <t>Ibrahim Khan</t>
        </is>
      </c>
      <c r="F43" s="48" t="inlineStr">
        <is>
          <t>+61 447 447 910</t>
        </is>
      </c>
      <c r="G43" s="48" t="inlineStr">
        <is>
          <t>Adult Child</t>
        </is>
      </c>
      <c r="H43" s="48" t="inlineStr">
        <is>
          <t>Tutor</t>
        </is>
      </c>
      <c r="I43" s="49" t="n">
        <v>45546</v>
      </c>
      <c r="J43" s="48" t="inlineStr">
        <is>
          <t>ADM-INACT-M&amp;T</t>
        </is>
      </c>
      <c r="K43" s="48">
        <f>IFERROR(VLOOKUP(J43,'(A) Introduction'!$B$35:$C$45,2,FALSE),"")</f>
        <v/>
      </c>
      <c r="L43" s="48" t="inlineStr">
        <is>
          <t>No</t>
        </is>
      </c>
      <c r="M43" s="48" t="inlineStr"/>
      <c r="N43" s="48" t="inlineStr"/>
      <c r="O43" s="48" t="n">
        <v>2</v>
      </c>
      <c r="P43" s="48">
        <f>IF($H43="Tutor",((BQ43&lt;&gt;"")*(BR43=""))+((BW43&lt;&gt;"")*(BX43=""))+((CC43&lt;&gt;"")*(CD43=""))+((CI43&lt;&gt;"")*(CJ43=""))+((CO43&lt;&gt;"")*(CP43="")),SUMPRODUCT(--($BO$3:$BO$202=$A43),--($BR$3:$BR$202=""))+SUMPRODUCT(--($BU$3:$BU$202=$A43),--($BX$3:$BX$202=""))+SUMPRODUCT(--($CA$3:$CA$202=$A43),--($CD$3:$CD$202=""))+SUMPRODUCT(--($CG$3:$CG$202=$A43),--($CJ$3:$CJ$202=""))+SUMPRODUCT(--($CM$3:$CM$202=$A43),--($CP$3:$CP$202="")))</f>
        <v/>
      </c>
      <c r="Q43" s="48">
        <f>IF($H43="Tutor",(BQ43&lt;&gt;"")+(BW43&lt;&gt;"")+(CC43&lt;&gt;"")+(CI43&lt;&gt;"")+(CO43&lt;&gt;""),SUMPRODUCT(--($BO$3:$BO$202=$A43))+SUMPRODUCT(--($BU$3:$BU$202=$A43))+SUMPRODUCT(--($CA$3:$CA$202=$A43))+SUMPRODUCT(--($CG$3:$CG$202=$A43))+SUMPRODUCT(--($CM$3:$CM$202=$A43)))</f>
        <v/>
      </c>
      <c r="R43" s="48">
        <f>IF($H43="Tutor",TRIM(IF(AND(BQ43&lt;&gt;"",BR43=""),BP43&amp;"; ","")&amp;IF(AND(BW43&lt;&gt;"",BX43=""),BV43&amp;"; ","")&amp;IF(AND(CC43&lt;&gt;"",CD43=""),CB43&amp;"; ","")&amp;IF(AND(CI43&lt;&gt;"",CJ43=""),CH43&amp;"; ","")&amp;IF(AND(CO43&lt;&gt;"",CP43=""),CN43&amp;"; ","")),IFERROR(INDEX($A$3:$B$202,(SUMPRODUCT(($BO$3:$BO$202=$A43)*($BR$3:$BR$202="")*ROW($BO$3:$BO$202))+SUMPRODUCT(($BU$3:$BU$202=$A43)*($BX$3:$BX$202="")*ROW($BU$3:$BU$202))+SUMPRODUCT(($CA$3:$CA$202=$A43)*($CD$3:$CD$202="")*ROW($CA$3:$CA$202))+SUMPRODUCT(($CG$3:$CG$202=$A43)*($CJ$3:$CJ$202="")*ROW($CG$3:$CG$202))+SUMPRODUCT(($CM$3:$CM$202=$A43)*($CP$3:$CP$202="")*ROW($CM$3:$CM$202)))-2,2),""))</f>
        <v/>
      </c>
      <c r="S43" s="48" t="inlineStr">
        <is>
          <t>NA</t>
        </is>
      </c>
      <c r="T43" s="48" t="inlineStr"/>
      <c r="U43" s="48" t="inlineStr"/>
      <c r="V43" s="49" t="n">
        <v>45827</v>
      </c>
      <c r="W43" s="48" t="inlineStr">
        <is>
          <t>AEST (UTC+10)</t>
        </is>
      </c>
      <c r="X43" s="48" t="inlineStr">
        <is>
          <t>6pm-9pm;</t>
        </is>
      </c>
      <c r="Y43" s="48" t="inlineStr">
        <is>
          <t>6pm-9pm;</t>
        </is>
      </c>
      <c r="Z43" s="48" t="inlineStr">
        <is>
          <t>9am-12pm;</t>
        </is>
      </c>
      <c r="AA43" s="48" t="inlineStr">
        <is>
          <t>9am-12pm;</t>
        </is>
      </c>
      <c r="AB43" s="48" t="inlineStr">
        <is>
          <t>6pm-9pm;</t>
        </is>
      </c>
      <c r="AC43" s="48" t="inlineStr">
        <is>
          <t>6pm-9pm;</t>
        </is>
      </c>
      <c r="AD43" s="48" t="inlineStr">
        <is>
          <t>NA;</t>
        </is>
      </c>
      <c r="AE43" s="48" t="inlineStr">
        <is>
          <t>In-Person</t>
        </is>
      </c>
      <c r="AF43" s="48" t="inlineStr">
        <is>
          <t>NA - Tutor</t>
        </is>
      </c>
      <c r="AG43" s="48" t="inlineStr">
        <is>
          <t>Australia</t>
        </is>
      </c>
      <c r="AH43" s="48" t="inlineStr">
        <is>
          <t>New South Wales</t>
        </is>
      </c>
      <c r="AI43" s="48" t="inlineStr">
        <is>
          <t>Kogarah</t>
        </is>
      </c>
      <c r="AJ43" s="48" t="inlineStr">
        <is>
          <t>2217</t>
        </is>
      </c>
      <c r="AK43" s="49" t="n">
        <v>25949</v>
      </c>
      <c r="AL43" s="48" t="inlineStr">
        <is>
          <t>Female</t>
        </is>
      </c>
      <c r="AM43" s="48" t="inlineStr">
        <is>
          <t>NA</t>
        </is>
      </c>
      <c r="AN43" s="48" t="inlineStr">
        <is>
          <t>NA - Tutor</t>
        </is>
      </c>
      <c r="AO43" s="48" t="inlineStr">
        <is>
          <t>Moderate</t>
        </is>
      </c>
      <c r="AP43" s="48" t="inlineStr">
        <is>
          <t>Australia; Iran</t>
        </is>
      </c>
      <c r="AQ43" s="48" t="inlineStr">
        <is>
          <t>NA</t>
        </is>
      </c>
      <c r="AR43" s="48" t="inlineStr">
        <is>
          <t>English (C2)</t>
        </is>
      </c>
      <c r="AS43" s="48" t="inlineStr">
        <is>
          <t>Hindu</t>
        </is>
      </c>
      <c r="AT43" s="48" t="inlineStr">
        <is>
          <t>Military &amp; Public Safety</t>
        </is>
      </c>
      <c r="AU43" s="48" t="inlineStr">
        <is>
          <t>Lawyer</t>
        </is>
      </c>
      <c r="AV43" s="48" t="inlineStr">
        <is>
          <t>NA - Tutor</t>
        </is>
      </c>
      <c r="AW43" s="48" t="inlineStr">
        <is>
          <t>Language learning; Self-development</t>
        </is>
      </c>
      <c r="AX43" s="48" t="inlineStr">
        <is>
          <t>NA - Tutor</t>
        </is>
      </c>
      <c r="AY43" s="48" t="inlineStr">
        <is>
          <t>Yes</t>
        </is>
      </c>
      <c r="AZ43" s="48" t="inlineStr">
        <is>
          <t>Yes</t>
        </is>
      </c>
      <c r="BA43" s="48" t="inlineStr">
        <is>
          <t>Sam Smith</t>
        </is>
      </c>
      <c r="BB43" s="48" t="inlineStr">
        <is>
          <t>Friend</t>
        </is>
      </c>
      <c r="BC43" s="48" t="inlineStr">
        <is>
          <t>reza.ahmed541@example.com</t>
        </is>
      </c>
      <c r="BD43" s="48" t="inlineStr">
        <is>
          <t>Yes</t>
        </is>
      </c>
      <c r="BE43" s="48" t="inlineStr">
        <is>
          <t>WWC2397383V</t>
        </is>
      </c>
      <c r="BF43" s="49" t="n">
        <v>46632</v>
      </c>
      <c r="BG43" s="48" t="inlineStr">
        <is>
          <t>Yes</t>
        </is>
      </c>
      <c r="BH43" s="48" t="inlineStr">
        <is>
          <t>Everyone</t>
        </is>
      </c>
      <c r="BI43" s="48" t="inlineStr">
        <is>
          <t>Asylum Seeker Resource Centre</t>
        </is>
      </c>
      <c r="BJ43" s="48" t="inlineStr">
        <is>
          <t>THET Moh Moh</t>
        </is>
      </c>
      <c r="BK43" s="48" t="inlineStr">
        <is>
          <t>MCCLELLAND Reeve</t>
        </is>
      </c>
      <c r="BL43" s="48" t="inlineStr">
        <is>
          <t>Synthetic test record.</t>
        </is>
      </c>
      <c r="BM43" s="48" t="inlineStr"/>
      <c r="BN43" s="48">
        <f>TRIM(IF(AND($H43="Student",$J43="ADM-ACT-MAT-CNE"),"Invalid: Student cannot be CNE. ","")&amp;IF(AND($H43="Student",ISNUMBER($O43)),"Check: capacity set for a Student. ","")&amp;IF(AND(LEFT($J43,11)="ADM-ACT-MAT",$P43=0),"Check: matched status but 0 active pairings. ","")&amp;IF(AND($H43="Tutor",ISNUMBER($O43),$P43&gt;$O43),"Check: pairings exceed capacity. ","")&amp;IF(AND($BH43="Everyone",NOT(AND($BD43="Yes",$BG43="Yes"))),"Check: approved to tutor children but WWCC not provided/confirmed. ","")&amp;IF(AND($P43&gt;0,NOT(AND(OR(LEFT($AY43,3)="Yes",LEFT($AY43,2)="NA"),OR(LEFT($AZ43,3)="Yes",LEFT($AZ43,2)="NA")))),"Matched but vetting incomplete (interview/reference). ","")&amp;IF(COUNTIF($B$3:$B$600,$B43)&gt;1,"Duplicate participant name. ",""))</f>
        <v/>
      </c>
      <c r="BO43" s="48" t="inlineStr">
        <is>
          <t>S-O-00030</t>
        </is>
      </c>
      <c r="BP43" s="48">
        <f>IFERROR(VLOOKUP(BO43,$A:$B,2,FALSE),"")</f>
        <v/>
      </c>
      <c r="BQ43" s="49" t="n">
        <v>45628</v>
      </c>
      <c r="BR43" s="49" t="n">
        <v>45832</v>
      </c>
      <c r="BS43" s="48" t="n">
        <v>2</v>
      </c>
      <c r="BT43" s="48" t="inlineStr">
        <is>
          <t>SINGH Veera</t>
        </is>
      </c>
      <c r="BU43" s="48" t="inlineStr"/>
      <c r="BV43" s="48" t="inlineStr"/>
      <c r="BW43" s="48" t="inlineStr"/>
      <c r="BX43" s="48" t="inlineStr"/>
      <c r="BY43" s="48" t="inlineStr"/>
      <c r="BZ43" s="48" t="inlineStr"/>
      <c r="CA43" s="48" t="inlineStr"/>
      <c r="CB43" s="48" t="inlineStr"/>
      <c r="CC43" s="48" t="inlineStr"/>
      <c r="CD43" s="48" t="inlineStr"/>
      <c r="CE43" s="48" t="inlineStr"/>
      <c r="CF43" s="48" t="inlineStr"/>
      <c r="CG43" s="48" t="inlineStr"/>
      <c r="CH43" s="48" t="inlineStr"/>
      <c r="CI43" s="48" t="inlineStr"/>
      <c r="CJ43" s="48" t="inlineStr"/>
      <c r="CK43" s="48" t="inlineStr"/>
      <c r="CL43" s="48" t="inlineStr"/>
      <c r="CM43" s="48" t="inlineStr"/>
      <c r="CN43" s="48" t="inlineStr"/>
      <c r="CO43" s="48" t="inlineStr"/>
      <c r="CP43" s="48" t="inlineStr"/>
      <c r="CQ43" s="48" t="inlineStr"/>
      <c r="CR43" s="48" t="inlineStr"/>
      <c r="CS43" s="48">
        <f>IF(LEFT($J43,3)="ERR",0,1)</f>
        <v/>
      </c>
      <c r="CT43" s="48">
        <f>IF(LEFT($J43,3)="ADM",1,0)</f>
        <v/>
      </c>
      <c r="CU43" s="48">
        <f>IF(OR($J43="ADM-ACT-MAT-CNE",$J43="ADM-ACT-MAT-CE",$J43="ADM-INACT-M&amp;T"),1,0)</f>
        <v/>
      </c>
      <c r="CV43" s="48">
        <f>IF(AND(CU43=1,ISNUMBER(M43),ISNUMBER(I43)),M43-I43,"")</f>
        <v/>
      </c>
      <c r="CW43" s="48">
        <f>IF(ISNUMBER(I43),TODAY()-I43,"")</f>
        <v/>
      </c>
      <c r="CX43" s="48">
        <f>IF(ISNUMBER(I43),DATE(YEAR(I43),MONTH(I43),1),"")</f>
        <v/>
      </c>
      <c r="CY43" s="48">
        <f>IFERROR(DATEDIF(AK43,TODAY(),"y"),"")</f>
        <v/>
      </c>
      <c r="CZ43" s="48">
        <f>IF(CY43="","",IF(CY43&lt;28,"18-27",IF(CY43&lt;38,"28-37",IF(CY43&lt;48,"38-47",IF(CY43&lt;58,"48-57",IF(CY43&lt;68,"58-67",IF(CY43&lt;78,"68-77","78+")))))) </f>
        <v/>
      </c>
      <c r="DA43" s="48">
        <f>IF(AND(BQ43&lt;&gt;"",BR43=""),N(BS43),0)+IF(AND(BW43&lt;&gt;"",BX43=""),N(BY43),0)+IF(AND(CC43&lt;&gt;"",CD43=""),N(CE43),0)+IF(AND(CI43&lt;&gt;"",CJ43=""),N(CK43),0)+IF(AND(CO43&lt;&gt;"",CP43=""),N(CQ43),0)</f>
        <v/>
      </c>
      <c r="DB43" s="48">
        <f>ROUND(IF(BQ43&lt;&gt;"",N(BS43)*MAX(0,((IF(BR43="",TODAY(),BR43))-BQ43)/7),0)+IF(BW43&lt;&gt;"",N(BY43)*MAX(0,((IF(BX43="",TODAY(),BX43))-BW43)/7),0)+IF(CC43&lt;&gt;"",N(CE43)*MAX(0,((IF(CD43="",TODAY(),CD43))-CC43)/7),0)+IF(CI43&lt;&gt;"",N(CK43)*MAX(0,((IF(CJ43="",TODAY(),CJ43))-CI43)/7),0)+IF(CO43&lt;&gt;"",N(CQ43)*MAX(0,((IF(CP43="",TODAY(),CP43))-CO43)/7),0),1)</f>
        <v/>
      </c>
      <c r="DC43" s="48">
        <f>IF(OR(TRIM(X43)="",TRIM(X43)="NA;",TRIM(X43)="NA"),0,1)</f>
        <v/>
      </c>
      <c r="DD43" s="48">
        <f>IF(OR(TRIM(Y43)="",TRIM(Y43)="NA;",TRIM(Y43)="NA"),0,1)</f>
        <v/>
      </c>
      <c r="DE43" s="48">
        <f>IF(OR(TRIM(Z43)="",TRIM(Z43)="NA;",TRIM(Z43)="NA"),0,1)</f>
        <v/>
      </c>
      <c r="DF43" s="48">
        <f>IF(OR(TRIM(AA43)="",TRIM(AA43)="NA;",TRIM(AA43)="NA"),0,1)</f>
        <v/>
      </c>
      <c r="DG43" s="48">
        <f>IF(OR(TRIM(AB43)="",TRIM(AB43)="NA;",TRIM(AB43)="NA"),0,1)</f>
        <v/>
      </c>
      <c r="DH43" s="48">
        <f>IF(OR(TRIM(AC43)="",TRIM(AC43)="NA;",TRIM(AC43)="NA"),0,1)</f>
        <v/>
      </c>
      <c r="DI43" s="48">
        <f>IF(OR(TRIM(AD43)="",TRIM(AD43)="NA;",TRIM(AD43)="NA"),0,1)</f>
        <v/>
      </c>
      <c r="DJ43" s="48">
        <f>TRIM(IF(DC43=1,"Mon ","")&amp;IF(DD43=1,"Tue ","")&amp;IF(DE43=1,"Wed ","")&amp;IF(DF43=1,"Thu ","")&amp;IF(DG43=1,"Fri ","")&amp;IF(DH43=1,"Sat ","")&amp;IF(DI43=1,"Sun ",""))</f>
        <v/>
      </c>
    </row>
    <row r="44">
      <c r="A44" s="48" t="inlineStr">
        <is>
          <t>T-O-00042</t>
        </is>
      </c>
      <c r="B44" s="48" t="inlineStr">
        <is>
          <t>Iryna Wilson</t>
        </is>
      </c>
      <c r="C44" s="48" t="inlineStr">
        <is>
          <t>iryna.wilson42@example.com</t>
        </is>
      </c>
      <c r="D44" s="48" t="inlineStr">
        <is>
          <t>+61 466 273 820</t>
        </is>
      </c>
      <c r="E44" s="48" t="inlineStr">
        <is>
          <t>Ibrahim Rafipour</t>
        </is>
      </c>
      <c r="F44" s="48" t="inlineStr">
        <is>
          <t>+61 409 687 652</t>
        </is>
      </c>
      <c r="G44" s="48" t="inlineStr">
        <is>
          <t>Adult Child</t>
        </is>
      </c>
      <c r="H44" s="48" t="inlineStr">
        <is>
          <t>Tutor</t>
        </is>
      </c>
      <c r="I44" s="49" t="n">
        <v>45546</v>
      </c>
      <c r="J44" s="48" t="inlineStr">
        <is>
          <t>ADM-ACT-MAT-CE</t>
        </is>
      </c>
      <c r="K44" s="48">
        <f>IFERROR(VLOOKUP(J44,'(A) Introduction'!$B$35:$C$45,2,FALSE),"")</f>
        <v/>
      </c>
      <c r="L44" s="48" t="inlineStr">
        <is>
          <t>No</t>
        </is>
      </c>
      <c r="M44" s="48" t="inlineStr"/>
      <c r="N44" s="48" t="inlineStr"/>
      <c r="O44" s="48" t="n">
        <v>1</v>
      </c>
      <c r="P44" s="48">
        <f>IF($H44="Tutor",((BQ44&lt;&gt;"")*(BR44=""))+((BW44&lt;&gt;"")*(BX44=""))+((CC44&lt;&gt;"")*(CD44=""))+((CI44&lt;&gt;"")*(CJ44=""))+((CO44&lt;&gt;"")*(CP44="")),SUMPRODUCT(--($BO$3:$BO$202=$A44),--($BR$3:$BR$202=""))+SUMPRODUCT(--($BU$3:$BU$202=$A44),--($BX$3:$BX$202=""))+SUMPRODUCT(--($CA$3:$CA$202=$A44),--($CD$3:$CD$202=""))+SUMPRODUCT(--($CG$3:$CG$202=$A44),--($CJ$3:$CJ$202=""))+SUMPRODUCT(--($CM$3:$CM$202=$A44),--($CP$3:$CP$202="")))</f>
        <v/>
      </c>
      <c r="Q44" s="48">
        <f>IF($H44="Tutor",(BQ44&lt;&gt;"")+(BW44&lt;&gt;"")+(CC44&lt;&gt;"")+(CI44&lt;&gt;"")+(CO44&lt;&gt;""),SUMPRODUCT(--($BO$3:$BO$202=$A44))+SUMPRODUCT(--($BU$3:$BU$202=$A44))+SUMPRODUCT(--($CA$3:$CA$202=$A44))+SUMPRODUCT(--($CG$3:$CG$202=$A44))+SUMPRODUCT(--($CM$3:$CM$202=$A44)))</f>
        <v/>
      </c>
      <c r="R44" s="48">
        <f>IF($H44="Tutor",TRIM(IF(AND(BQ44&lt;&gt;"",BR44=""),BP44&amp;"; ","")&amp;IF(AND(BW44&lt;&gt;"",BX44=""),BV44&amp;"; ","")&amp;IF(AND(CC44&lt;&gt;"",CD44=""),CB44&amp;"; ","")&amp;IF(AND(CI44&lt;&gt;"",CJ44=""),CH44&amp;"; ","")&amp;IF(AND(CO44&lt;&gt;"",CP44=""),CN44&amp;"; ","")),IFERROR(INDEX($A$3:$B$202,(SUMPRODUCT(($BO$3:$BO$202=$A44)*($BR$3:$BR$202="")*ROW($BO$3:$BO$202))+SUMPRODUCT(($BU$3:$BU$202=$A44)*($BX$3:$BX$202="")*ROW($BU$3:$BU$202))+SUMPRODUCT(($CA$3:$CA$202=$A44)*($CD$3:$CD$202="")*ROW($CA$3:$CA$202))+SUMPRODUCT(($CG$3:$CG$202=$A44)*($CJ$3:$CJ$202="")*ROW($CG$3:$CG$202))+SUMPRODUCT(($CM$3:$CM$202=$A44)*($CP$3:$CP$202="")*ROW($CM$3:$CM$202)))-2,2),""))</f>
        <v/>
      </c>
      <c r="S44" s="48" t="inlineStr">
        <is>
          <t>NA</t>
        </is>
      </c>
      <c r="T44" s="48" t="inlineStr"/>
      <c r="U44" s="48" t="inlineStr"/>
      <c r="V44" s="49" t="n">
        <v>46149</v>
      </c>
      <c r="W44" s="48" t="inlineStr">
        <is>
          <t>AEDT (UTC+11)</t>
        </is>
      </c>
      <c r="X44" s="48" t="inlineStr">
        <is>
          <t>6pm-9pm;</t>
        </is>
      </c>
      <c r="Y44" s="48" t="inlineStr">
        <is>
          <t>12pm-3pm;6pm-9pm;</t>
        </is>
      </c>
      <c r="Z44" s="48" t="inlineStr">
        <is>
          <t>9am-12pm;</t>
        </is>
      </c>
      <c r="AA44" s="48" t="inlineStr">
        <is>
          <t>9am-12pm;12pm-3pm;3pm-6pm;</t>
        </is>
      </c>
      <c r="AB44" s="48" t="inlineStr">
        <is>
          <t>3pm-6pm;</t>
        </is>
      </c>
      <c r="AC44" s="48" t="inlineStr">
        <is>
          <t>6am-9am;9am-12pm;</t>
        </is>
      </c>
      <c r="AD44" s="48" t="inlineStr">
        <is>
          <t>6pm-9pm;</t>
        </is>
      </c>
      <c r="AE44" s="48" t="inlineStr">
        <is>
          <t>Online</t>
        </is>
      </c>
      <c r="AF44" s="48" t="inlineStr">
        <is>
          <t>NA - Tutor</t>
        </is>
      </c>
      <c r="AG44" s="48" t="inlineStr">
        <is>
          <t>Australia</t>
        </is>
      </c>
      <c r="AH44" s="48" t="inlineStr">
        <is>
          <t>New South Wales</t>
        </is>
      </c>
      <c r="AI44" s="48" t="inlineStr">
        <is>
          <t>Liverpool</t>
        </is>
      </c>
      <c r="AJ44" s="48" t="inlineStr">
        <is>
          <t>2170</t>
        </is>
      </c>
      <c r="AK44" s="49" t="n">
        <v>28019</v>
      </c>
      <c r="AL44" s="48" t="inlineStr">
        <is>
          <t>Other</t>
        </is>
      </c>
      <c r="AM44" s="48" t="inlineStr">
        <is>
          <t>NA</t>
        </is>
      </c>
      <c r="AN44" s="48" t="inlineStr">
        <is>
          <t>NA - Tutor</t>
        </is>
      </c>
      <c r="AO44" s="48" t="inlineStr">
        <is>
          <t>High</t>
        </is>
      </c>
      <c r="AP44" s="48" t="inlineStr">
        <is>
          <t>Russia</t>
        </is>
      </c>
      <c r="AQ44" s="48" t="inlineStr">
        <is>
          <t>NA</t>
        </is>
      </c>
      <c r="AR44" s="48" t="inlineStr">
        <is>
          <t>English (C2)</t>
        </is>
      </c>
      <c r="AS44" s="48" t="inlineStr">
        <is>
          <t>NA</t>
        </is>
      </c>
      <c r="AT44" s="48" t="inlineStr">
        <is>
          <t>Social &amp; Community Services</t>
        </is>
      </c>
      <c r="AU44" s="48" t="inlineStr">
        <is>
          <t>Cleaner</t>
        </is>
      </c>
      <c r="AV44" s="48" t="inlineStr">
        <is>
          <t>NA - Tutor</t>
        </is>
      </c>
      <c r="AW44" s="48" t="inlineStr">
        <is>
          <t>Travel; Sport; Movies</t>
        </is>
      </c>
      <c r="AX44" s="48" t="inlineStr">
        <is>
          <t>NA - Tutor</t>
        </is>
      </c>
      <c r="AY44" s="48" t="inlineStr">
        <is>
          <t>NA - RELT Member Verified</t>
        </is>
      </c>
      <c r="AZ44" s="48" t="inlineStr">
        <is>
          <t>No</t>
        </is>
      </c>
      <c r="BA44" s="48" t="inlineStr">
        <is>
          <t>Karim Lee</t>
        </is>
      </c>
      <c r="BB44" s="48" t="inlineStr">
        <is>
          <t>Manager</t>
        </is>
      </c>
      <c r="BC44" s="48" t="inlineStr">
        <is>
          <t>layla.petrov542@example.com</t>
        </is>
      </c>
      <c r="BD44" s="48" t="inlineStr">
        <is>
          <t>Yes</t>
        </is>
      </c>
      <c r="BE44" s="48" t="inlineStr">
        <is>
          <t>WWC8633602V</t>
        </is>
      </c>
      <c r="BF44" s="49" t="n">
        <v>46565</v>
      </c>
      <c r="BG44" s="48" t="inlineStr">
        <is>
          <t>Yes</t>
        </is>
      </c>
      <c r="BH44" s="48" t="inlineStr">
        <is>
          <t>Everyone</t>
        </is>
      </c>
      <c r="BI44" s="48" t="inlineStr">
        <is>
          <t>Refugee Council of Australia</t>
        </is>
      </c>
      <c r="BJ44" s="48" t="inlineStr">
        <is>
          <t>SINGH Veera</t>
        </is>
      </c>
      <c r="BK44" s="48" t="inlineStr">
        <is>
          <t>MCCRORIE John</t>
        </is>
      </c>
      <c r="BL44" s="48" t="inlineStr">
        <is>
          <t>Synthetic test record.</t>
        </is>
      </c>
      <c r="BM44" s="48" t="inlineStr"/>
      <c r="BN44" s="48">
        <f>TRIM(IF(AND($H44="Student",$J44="ADM-ACT-MAT-CNE"),"Invalid: Student cannot be CNE. ","")&amp;IF(AND($H44="Student",ISNUMBER($O44)),"Check: capacity set for a Student. ","")&amp;IF(AND(LEFT($J44,11)="ADM-ACT-MAT",$P44=0),"Check: matched status but 0 active pairings. ","")&amp;IF(AND($H44="Tutor",ISNUMBER($O44),$P44&gt;$O44),"Check: pairings exceed capacity. ","")&amp;IF(AND($BH44="Everyone",NOT(AND($BD44="Yes",$BG44="Yes"))),"Check: approved to tutor children but WWCC not provided/confirmed. ","")&amp;IF(AND($P44&gt;0,NOT(AND(OR(LEFT($AY44,3)="Yes",LEFT($AY44,2)="NA"),OR(LEFT($AZ44,3)="Yes",LEFT($AZ44,2)="NA")))),"Matched but vetting incomplete (interview/reference). ","")&amp;IF(COUNTIF($B$3:$B$600,$B44)&gt;1,"Duplicate participant name. ",""))</f>
        <v/>
      </c>
      <c r="BO44" s="48" t="inlineStr">
        <is>
          <t>S-O-00029</t>
        </is>
      </c>
      <c r="BP44" s="48">
        <f>IFERROR(VLOOKUP(BO44,$A:$B,2,FALSE),"")</f>
        <v/>
      </c>
      <c r="BQ44" s="49" t="n">
        <v>45542</v>
      </c>
      <c r="BR44" s="48" t="inlineStr"/>
      <c r="BS44" s="48" t="n">
        <v>1</v>
      </c>
      <c r="BT44" s="48" t="inlineStr">
        <is>
          <t>KNIJNIK Marina</t>
        </is>
      </c>
      <c r="BU44" s="48" t="inlineStr"/>
      <c r="BV44" s="48" t="inlineStr"/>
      <c r="BW44" s="48" t="inlineStr"/>
      <c r="BX44" s="48" t="inlineStr"/>
      <c r="BY44" s="48" t="inlineStr"/>
      <c r="BZ44" s="48" t="inlineStr"/>
      <c r="CA44" s="48" t="inlineStr"/>
      <c r="CB44" s="48" t="inlineStr"/>
      <c r="CC44" s="48" t="inlineStr"/>
      <c r="CD44" s="48" t="inlineStr"/>
      <c r="CE44" s="48" t="inlineStr"/>
      <c r="CF44" s="48" t="inlineStr"/>
      <c r="CG44" s="48" t="inlineStr"/>
      <c r="CH44" s="48" t="inlineStr"/>
      <c r="CI44" s="48" t="inlineStr"/>
      <c r="CJ44" s="48" t="inlineStr"/>
      <c r="CK44" s="48" t="inlineStr"/>
      <c r="CL44" s="48" t="inlineStr"/>
      <c r="CM44" s="48" t="inlineStr"/>
      <c r="CN44" s="48" t="inlineStr"/>
      <c r="CO44" s="48" t="inlineStr"/>
      <c r="CP44" s="48" t="inlineStr"/>
      <c r="CQ44" s="48" t="inlineStr"/>
      <c r="CR44" s="48" t="inlineStr"/>
      <c r="CS44" s="48">
        <f>IF(LEFT($J44,3)="ERR",0,1)</f>
        <v/>
      </c>
      <c r="CT44" s="48">
        <f>IF(LEFT($J44,3)="ADM",1,0)</f>
        <v/>
      </c>
      <c r="CU44" s="48">
        <f>IF(OR($J44="ADM-ACT-MAT-CNE",$J44="ADM-ACT-MAT-CE",$J44="ADM-INACT-M&amp;T"),1,0)</f>
        <v/>
      </c>
      <c r="CV44" s="48">
        <f>IF(AND(CU44=1,ISNUMBER(M44),ISNUMBER(I44)),M44-I44,"")</f>
        <v/>
      </c>
      <c r="CW44" s="48">
        <f>IF(ISNUMBER(I44),TODAY()-I44,"")</f>
        <v/>
      </c>
      <c r="CX44" s="48">
        <f>IF(ISNUMBER(I44),DATE(YEAR(I44),MONTH(I44),1),"")</f>
        <v/>
      </c>
      <c r="CY44" s="48">
        <f>IFERROR(DATEDIF(AK44,TODAY(),"y"),"")</f>
        <v/>
      </c>
      <c r="CZ44" s="48">
        <f>IF(CY44="","",IF(CY44&lt;28,"18-27",IF(CY44&lt;38,"28-37",IF(CY44&lt;48,"38-47",IF(CY44&lt;58,"48-57",IF(CY44&lt;68,"58-67",IF(CY44&lt;78,"68-77","78+")))))) </f>
        <v/>
      </c>
      <c r="DA44" s="48">
        <f>IF(AND(BQ44&lt;&gt;"",BR44=""),N(BS44),0)+IF(AND(BW44&lt;&gt;"",BX44=""),N(BY44),0)+IF(AND(CC44&lt;&gt;"",CD44=""),N(CE44),0)+IF(AND(CI44&lt;&gt;"",CJ44=""),N(CK44),0)+IF(AND(CO44&lt;&gt;"",CP44=""),N(CQ44),0)</f>
        <v/>
      </c>
      <c r="DB44" s="48">
        <f>ROUND(IF(BQ44&lt;&gt;"",N(BS44)*MAX(0,((IF(BR44="",TODAY(),BR44))-BQ44)/7),0)+IF(BW44&lt;&gt;"",N(BY44)*MAX(0,((IF(BX44="",TODAY(),BX44))-BW44)/7),0)+IF(CC44&lt;&gt;"",N(CE44)*MAX(0,((IF(CD44="",TODAY(),CD44))-CC44)/7),0)+IF(CI44&lt;&gt;"",N(CK44)*MAX(0,((IF(CJ44="",TODAY(),CJ44))-CI44)/7),0)+IF(CO44&lt;&gt;"",N(CQ44)*MAX(0,((IF(CP44="",TODAY(),CP44))-CO44)/7),0),1)</f>
        <v/>
      </c>
      <c r="DC44" s="48">
        <f>IF(OR(TRIM(X44)="",TRIM(X44)="NA;",TRIM(X44)="NA"),0,1)</f>
        <v/>
      </c>
      <c r="DD44" s="48">
        <f>IF(OR(TRIM(Y44)="",TRIM(Y44)="NA;",TRIM(Y44)="NA"),0,1)</f>
        <v/>
      </c>
      <c r="DE44" s="48">
        <f>IF(OR(TRIM(Z44)="",TRIM(Z44)="NA;",TRIM(Z44)="NA"),0,1)</f>
        <v/>
      </c>
      <c r="DF44" s="48">
        <f>IF(OR(TRIM(AA44)="",TRIM(AA44)="NA;",TRIM(AA44)="NA"),0,1)</f>
        <v/>
      </c>
      <c r="DG44" s="48">
        <f>IF(OR(TRIM(AB44)="",TRIM(AB44)="NA;",TRIM(AB44)="NA"),0,1)</f>
        <v/>
      </c>
      <c r="DH44" s="48">
        <f>IF(OR(TRIM(AC44)="",TRIM(AC44)="NA;",TRIM(AC44)="NA"),0,1)</f>
        <v/>
      </c>
      <c r="DI44" s="48">
        <f>IF(OR(TRIM(AD44)="",TRIM(AD44)="NA;",TRIM(AD44)="NA"),0,1)</f>
        <v/>
      </c>
      <c r="DJ44" s="48">
        <f>TRIM(IF(DC44=1,"Mon ","")&amp;IF(DD44=1,"Tue ","")&amp;IF(DE44=1,"Wed ","")&amp;IF(DF44=1,"Thu ","")&amp;IF(DG44=1,"Fri ","")&amp;IF(DH44=1,"Sat ","")&amp;IF(DI44=1,"Sun ",""))</f>
        <v/>
      </c>
    </row>
    <row r="45">
      <c r="A45" s="48" t="inlineStr">
        <is>
          <t>T-O-00043</t>
        </is>
      </c>
      <c r="B45" s="48" t="inlineStr">
        <is>
          <t>Sarah Smith</t>
        </is>
      </c>
      <c r="C45" s="48" t="inlineStr">
        <is>
          <t>sarah.smith43@example.com</t>
        </is>
      </c>
      <c r="D45" s="48" t="inlineStr">
        <is>
          <t>+61 416 068 241</t>
        </is>
      </c>
      <c r="E45" s="48" t="inlineStr">
        <is>
          <t>Hassan Stanley</t>
        </is>
      </c>
      <c r="F45" s="48" t="inlineStr">
        <is>
          <t>+61 499 266 720</t>
        </is>
      </c>
      <c r="G45" s="48" t="inlineStr">
        <is>
          <t>Adult Child</t>
        </is>
      </c>
      <c r="H45" s="48" t="inlineStr">
        <is>
          <t>Tutor</t>
        </is>
      </c>
      <c r="I45" s="49" t="n">
        <v>45566</v>
      </c>
      <c r="J45" s="48" t="inlineStr">
        <is>
          <t>ERR-TST</t>
        </is>
      </c>
      <c r="K45" s="48">
        <f>IFERROR(VLOOKUP(J45,'(A) Introduction'!$B$35:$C$45,2,FALSE),"")</f>
        <v/>
      </c>
      <c r="L45" s="48" t="inlineStr">
        <is>
          <t>No</t>
        </is>
      </c>
      <c r="M45" s="48" t="inlineStr"/>
      <c r="N45" s="48" t="inlineStr"/>
      <c r="O45" s="48" t="n">
        <v>2</v>
      </c>
      <c r="P45" s="48">
        <f>IF($H45="Tutor",((BQ45&lt;&gt;"")*(BR45=""))+((BW45&lt;&gt;"")*(BX45=""))+((CC45&lt;&gt;"")*(CD45=""))+((CI45&lt;&gt;"")*(CJ45=""))+((CO45&lt;&gt;"")*(CP45="")),SUMPRODUCT(--($BO$3:$BO$202=$A45),--($BR$3:$BR$202=""))+SUMPRODUCT(--($BU$3:$BU$202=$A45),--($BX$3:$BX$202=""))+SUMPRODUCT(--($CA$3:$CA$202=$A45),--($CD$3:$CD$202=""))+SUMPRODUCT(--($CG$3:$CG$202=$A45),--($CJ$3:$CJ$202=""))+SUMPRODUCT(--($CM$3:$CM$202=$A45),--($CP$3:$CP$202="")))</f>
        <v/>
      </c>
      <c r="Q45" s="48">
        <f>IF($H45="Tutor",(BQ45&lt;&gt;"")+(BW45&lt;&gt;"")+(CC45&lt;&gt;"")+(CI45&lt;&gt;"")+(CO45&lt;&gt;""),SUMPRODUCT(--($BO$3:$BO$202=$A45))+SUMPRODUCT(--($BU$3:$BU$202=$A45))+SUMPRODUCT(--($CA$3:$CA$202=$A45))+SUMPRODUCT(--($CG$3:$CG$202=$A45))+SUMPRODUCT(--($CM$3:$CM$202=$A45)))</f>
        <v/>
      </c>
      <c r="R45" s="48">
        <f>IF($H45="Tutor",TRIM(IF(AND(BQ45&lt;&gt;"",BR45=""),BP45&amp;"; ","")&amp;IF(AND(BW45&lt;&gt;"",BX45=""),BV45&amp;"; ","")&amp;IF(AND(CC45&lt;&gt;"",CD45=""),CB45&amp;"; ","")&amp;IF(AND(CI45&lt;&gt;"",CJ45=""),CH45&amp;"; ","")&amp;IF(AND(CO45&lt;&gt;"",CP45=""),CN45&amp;"; ","")),IFERROR(INDEX($A$3:$B$202,(SUMPRODUCT(($BO$3:$BO$202=$A45)*($BR$3:$BR$202="")*ROW($BO$3:$BO$202))+SUMPRODUCT(($BU$3:$BU$202=$A45)*($BX$3:$BX$202="")*ROW($BU$3:$BU$202))+SUMPRODUCT(($CA$3:$CA$202=$A45)*($CD$3:$CD$202="")*ROW($CA$3:$CA$202))+SUMPRODUCT(($CG$3:$CG$202=$A45)*($CJ$3:$CJ$202="")*ROW($CG$3:$CG$202))+SUMPRODUCT(($CM$3:$CM$202=$A45)*($CP$3:$CP$202="")*ROW($CM$3:$CM$202)))-2,2),""))</f>
        <v/>
      </c>
      <c r="S45" s="48" t="inlineStr">
        <is>
          <t>Not Provided</t>
        </is>
      </c>
      <c r="T45" s="48" t="inlineStr"/>
      <c r="U45" s="48" t="inlineStr"/>
      <c r="V45" s="48" t="inlineStr"/>
      <c r="W45" s="48" t="inlineStr">
        <is>
          <t>AEDT (UTC+11)</t>
        </is>
      </c>
      <c r="X45" s="48" t="inlineStr">
        <is>
          <t>NA;</t>
        </is>
      </c>
      <c r="Y45" s="48" t="inlineStr">
        <is>
          <t>9am-12pm;</t>
        </is>
      </c>
      <c r="Z45" s="48" t="inlineStr">
        <is>
          <t>6pm-9pm;</t>
        </is>
      </c>
      <c r="AA45" s="48" t="inlineStr">
        <is>
          <t>6am-9am;9am-12pm;</t>
        </is>
      </c>
      <c r="AB45" s="48" t="inlineStr">
        <is>
          <t>6am-9am;9am-12pm;</t>
        </is>
      </c>
      <c r="AC45" s="48" t="inlineStr">
        <is>
          <t>6pm-9pm;</t>
        </is>
      </c>
      <c r="AD45" s="48" t="inlineStr">
        <is>
          <t>6pm-9pm;</t>
        </is>
      </c>
      <c r="AE45" s="48" t="inlineStr">
        <is>
          <t>Either</t>
        </is>
      </c>
      <c r="AF45" s="48" t="inlineStr">
        <is>
          <t>NA - Tutor</t>
        </is>
      </c>
      <c r="AG45" s="48" t="inlineStr">
        <is>
          <t>Australia</t>
        </is>
      </c>
      <c r="AH45" s="48" t="inlineStr">
        <is>
          <t>New South Wales</t>
        </is>
      </c>
      <c r="AI45" s="48" t="inlineStr">
        <is>
          <t>Epping</t>
        </is>
      </c>
      <c r="AJ45" s="48" t="inlineStr">
        <is>
          <t>2121</t>
        </is>
      </c>
      <c r="AK45" s="49" t="n">
        <v>24902</v>
      </c>
      <c r="AL45" s="48" t="inlineStr">
        <is>
          <t>Other</t>
        </is>
      </c>
      <c r="AM45" s="48" t="inlineStr">
        <is>
          <t>NA</t>
        </is>
      </c>
      <c r="AN45" s="48" t="inlineStr">
        <is>
          <t>NA - Tutor</t>
        </is>
      </c>
      <c r="AO45" s="48" t="inlineStr">
        <is>
          <t>High</t>
        </is>
      </c>
      <c r="AP45" s="48" t="inlineStr">
        <is>
          <t>Israel</t>
        </is>
      </c>
      <c r="AQ45" s="48" t="inlineStr">
        <is>
          <t>NA</t>
        </is>
      </c>
      <c r="AR45" s="48" t="inlineStr">
        <is>
          <t>English (C2)</t>
        </is>
      </c>
      <c r="AS45" s="48" t="inlineStr">
        <is>
          <t>Buddhist</t>
        </is>
      </c>
      <c r="AT45" s="48" t="inlineStr">
        <is>
          <t>Science, Tech, Engineering and Math</t>
        </is>
      </c>
      <c r="AU45" s="48" t="inlineStr">
        <is>
          <t>Accountant</t>
        </is>
      </c>
      <c r="AV45" s="48" t="inlineStr">
        <is>
          <t>NA - Tutor</t>
        </is>
      </c>
      <c r="AW45" s="48" t="inlineStr">
        <is>
          <t>Travel; Sport; Movies</t>
        </is>
      </c>
      <c r="AX45" s="48" t="inlineStr">
        <is>
          <t>NA - Tutor</t>
        </is>
      </c>
      <c r="AY45" s="48" t="inlineStr">
        <is>
          <t>Yes</t>
        </is>
      </c>
      <c r="AZ45" s="48" t="inlineStr">
        <is>
          <t>Yes</t>
        </is>
      </c>
      <c r="BA45" s="48" t="inlineStr">
        <is>
          <t>Carlos Baker</t>
        </is>
      </c>
      <c r="BB45" s="48" t="inlineStr">
        <is>
          <t>Academic Referee</t>
        </is>
      </c>
      <c r="BC45" s="48" t="inlineStr">
        <is>
          <t>laura.wilson543@example.com</t>
        </is>
      </c>
      <c r="BD45" s="48" t="inlineStr">
        <is>
          <t>Pending</t>
        </is>
      </c>
      <c r="BE45" s="48" t="inlineStr"/>
      <c r="BF45" s="48" t="inlineStr"/>
      <c r="BG45" s="48" t="inlineStr">
        <is>
          <t>Yes</t>
        </is>
      </c>
      <c r="BH45" s="48" t="inlineStr">
        <is>
          <t>Adults Only</t>
        </is>
      </c>
      <c r="BI45" s="48" t="inlineStr">
        <is>
          <t>University of Sydney (including St. Paul's College)</t>
        </is>
      </c>
      <c r="BJ45" s="48" t="inlineStr">
        <is>
          <t>MCCRORIE John</t>
        </is>
      </c>
      <c r="BK45" s="48" t="inlineStr">
        <is>
          <t>SHANAHAN Jack</t>
        </is>
      </c>
      <c r="BL45" s="48" t="inlineStr">
        <is>
          <t>Synthetic test record.</t>
        </is>
      </c>
      <c r="BM45" s="48" t="inlineStr"/>
      <c r="BN45" s="48">
        <f>TRIM(IF(AND($H45="Student",$J45="ADM-ACT-MAT-CNE"),"Invalid: Student cannot be CNE. ","")&amp;IF(AND($H45="Student",ISNUMBER($O45)),"Check: capacity set for a Student. ","")&amp;IF(AND(LEFT($J45,11)="ADM-ACT-MAT",$P45=0),"Check: matched status but 0 active pairings. ","")&amp;IF(AND($H45="Tutor",ISNUMBER($O45),$P45&gt;$O45),"Check: pairings exceed capacity. ","")&amp;IF(AND($BH45="Everyone",NOT(AND($BD45="Yes",$BG45="Yes"))),"Check: approved to tutor children but WWCC not provided/confirmed. ","")&amp;IF(AND($P45&gt;0,NOT(AND(OR(LEFT($AY45,3)="Yes",LEFT($AY45,2)="NA"),OR(LEFT($AZ45,3)="Yes",LEFT($AZ45,2)="NA")))),"Matched but vetting incomplete (interview/reference). ","")&amp;IF(COUNTIF($B$3:$B$600,$B45)&gt;1,"Duplicate participant name. ",""))</f>
        <v/>
      </c>
      <c r="BO45" s="48" t="inlineStr"/>
      <c r="BP45" s="48" t="inlineStr"/>
      <c r="BQ45" s="48" t="inlineStr"/>
      <c r="BR45" s="48" t="inlineStr"/>
      <c r="BS45" s="48" t="inlineStr"/>
      <c r="BT45" s="48" t="inlineStr"/>
      <c r="BU45" s="48" t="inlineStr"/>
      <c r="BV45" s="48" t="inlineStr"/>
      <c r="BW45" s="48" t="inlineStr"/>
      <c r="BX45" s="48" t="inlineStr"/>
      <c r="BY45" s="48" t="inlineStr"/>
      <c r="BZ45" s="48" t="inlineStr"/>
      <c r="CA45" s="48" t="inlineStr"/>
      <c r="CB45" s="48" t="inlineStr"/>
      <c r="CC45" s="48" t="inlineStr"/>
      <c r="CD45" s="48" t="inlineStr"/>
      <c r="CE45" s="48" t="inlineStr"/>
      <c r="CF45" s="48" t="inlineStr"/>
      <c r="CG45" s="48" t="inlineStr"/>
      <c r="CH45" s="48" t="inlineStr"/>
      <c r="CI45" s="48" t="inlineStr"/>
      <c r="CJ45" s="48" t="inlineStr"/>
      <c r="CK45" s="48" t="inlineStr"/>
      <c r="CL45" s="48" t="inlineStr"/>
      <c r="CM45" s="48" t="inlineStr"/>
      <c r="CN45" s="48" t="inlineStr"/>
      <c r="CO45" s="48" t="inlineStr"/>
      <c r="CP45" s="48" t="inlineStr"/>
      <c r="CQ45" s="48" t="inlineStr"/>
      <c r="CR45" s="48" t="inlineStr"/>
      <c r="CS45" s="48">
        <f>IF(LEFT($J45,3)="ERR",0,1)</f>
        <v/>
      </c>
      <c r="CT45" s="48">
        <f>IF(LEFT($J45,3)="ADM",1,0)</f>
        <v/>
      </c>
      <c r="CU45" s="48">
        <f>IF(OR($J45="ADM-ACT-MAT-CNE",$J45="ADM-ACT-MAT-CE",$J45="ADM-INACT-M&amp;T"),1,0)</f>
        <v/>
      </c>
      <c r="CV45" s="48">
        <f>IF(AND(CU45=1,ISNUMBER(M45),ISNUMBER(I45)),M45-I45,"")</f>
        <v/>
      </c>
      <c r="CW45" s="48">
        <f>IF(ISNUMBER(I45),TODAY()-I45,"")</f>
        <v/>
      </c>
      <c r="CX45" s="48">
        <f>IF(ISNUMBER(I45),DATE(YEAR(I45),MONTH(I45),1),"")</f>
        <v/>
      </c>
      <c r="CY45" s="48">
        <f>IFERROR(DATEDIF(AK45,TODAY(),"y"),"")</f>
        <v/>
      </c>
      <c r="CZ45" s="48">
        <f>IF(CY45="","",IF(CY45&lt;28,"18-27",IF(CY45&lt;38,"28-37",IF(CY45&lt;48,"38-47",IF(CY45&lt;58,"48-57",IF(CY45&lt;68,"58-67",IF(CY45&lt;78,"68-77","78+")))))) </f>
        <v/>
      </c>
      <c r="DA45" s="48">
        <f>IF(AND(BQ45&lt;&gt;"",BR45=""),N(BS45),0)+IF(AND(BW45&lt;&gt;"",BX45=""),N(BY45),0)+IF(AND(CC45&lt;&gt;"",CD45=""),N(CE45),0)+IF(AND(CI45&lt;&gt;"",CJ45=""),N(CK45),0)+IF(AND(CO45&lt;&gt;"",CP45=""),N(CQ45),0)</f>
        <v/>
      </c>
      <c r="DB45" s="48">
        <f>ROUND(IF(BQ45&lt;&gt;"",N(BS45)*MAX(0,((IF(BR45="",TODAY(),BR45))-BQ45)/7),0)+IF(BW45&lt;&gt;"",N(BY45)*MAX(0,((IF(BX45="",TODAY(),BX45))-BW45)/7),0)+IF(CC45&lt;&gt;"",N(CE45)*MAX(0,((IF(CD45="",TODAY(),CD45))-CC45)/7),0)+IF(CI45&lt;&gt;"",N(CK45)*MAX(0,((IF(CJ45="",TODAY(),CJ45))-CI45)/7),0)+IF(CO45&lt;&gt;"",N(CQ45)*MAX(0,((IF(CP45="",TODAY(),CP45))-CO45)/7),0),1)</f>
        <v/>
      </c>
      <c r="DC45" s="48">
        <f>IF(OR(TRIM(X45)="",TRIM(X45)="NA;",TRIM(X45)="NA"),0,1)</f>
        <v/>
      </c>
      <c r="DD45" s="48">
        <f>IF(OR(TRIM(Y45)="",TRIM(Y45)="NA;",TRIM(Y45)="NA"),0,1)</f>
        <v/>
      </c>
      <c r="DE45" s="48">
        <f>IF(OR(TRIM(Z45)="",TRIM(Z45)="NA;",TRIM(Z45)="NA"),0,1)</f>
        <v/>
      </c>
      <c r="DF45" s="48">
        <f>IF(OR(TRIM(AA45)="",TRIM(AA45)="NA;",TRIM(AA45)="NA"),0,1)</f>
        <v/>
      </c>
      <c r="DG45" s="48">
        <f>IF(OR(TRIM(AB45)="",TRIM(AB45)="NA;",TRIM(AB45)="NA"),0,1)</f>
        <v/>
      </c>
      <c r="DH45" s="48">
        <f>IF(OR(TRIM(AC45)="",TRIM(AC45)="NA;",TRIM(AC45)="NA"),0,1)</f>
        <v/>
      </c>
      <c r="DI45" s="48">
        <f>IF(OR(TRIM(AD45)="",TRIM(AD45)="NA;",TRIM(AD45)="NA"),0,1)</f>
        <v/>
      </c>
      <c r="DJ45" s="48">
        <f>TRIM(IF(DC45=1,"Mon ","")&amp;IF(DD45=1,"Tue ","")&amp;IF(DE45=1,"Wed ","")&amp;IF(DF45=1,"Thu ","")&amp;IF(DG45=1,"Fri ","")&amp;IF(DH45=1,"Sat ","")&amp;IF(DI45=1,"Sun ",""))</f>
        <v/>
      </c>
    </row>
    <row r="46">
      <c r="A46" s="48" t="inlineStr">
        <is>
          <t>T-O-00044</t>
        </is>
      </c>
      <c r="B46" s="48" t="inlineStr">
        <is>
          <t>Elena Khan</t>
        </is>
      </c>
      <c r="C46" s="48" t="inlineStr">
        <is>
          <t>elena.khan44@example.com</t>
        </is>
      </c>
      <c r="D46" s="48" t="inlineStr">
        <is>
          <t>+61 409 462 176</t>
        </is>
      </c>
      <c r="E46" s="48" t="inlineStr">
        <is>
          <t>Rania Young</t>
        </is>
      </c>
      <c r="F46" s="48" t="inlineStr">
        <is>
          <t>+61 416 626 905</t>
        </is>
      </c>
      <c r="G46" s="48" t="inlineStr">
        <is>
          <t>Spouse</t>
        </is>
      </c>
      <c r="H46" s="48" t="inlineStr">
        <is>
          <t>Tutor</t>
        </is>
      </c>
      <c r="I46" s="49" t="n">
        <v>45569</v>
      </c>
      <c r="J46" s="48" t="inlineStr">
        <is>
          <t>NADM-REJ-UNRES</t>
        </is>
      </c>
      <c r="K46" s="48">
        <f>IFERROR(VLOOKUP(J46,'(A) Introduction'!$B$35:$C$45,2,FALSE),"")</f>
        <v/>
      </c>
      <c r="L46" s="48" t="inlineStr">
        <is>
          <t>No</t>
        </is>
      </c>
      <c r="M46" s="48" t="inlineStr"/>
      <c r="N46" s="48" t="inlineStr"/>
      <c r="O46" s="48" t="n">
        <v>2</v>
      </c>
      <c r="P46" s="48">
        <f>IF($H46="Tutor",((BQ46&lt;&gt;"")*(BR46=""))+((BW46&lt;&gt;"")*(BX46=""))+((CC46&lt;&gt;"")*(CD46=""))+((CI46&lt;&gt;"")*(CJ46=""))+((CO46&lt;&gt;"")*(CP46="")),SUMPRODUCT(--($BO$3:$BO$202=$A46),--($BR$3:$BR$202=""))+SUMPRODUCT(--($BU$3:$BU$202=$A46),--($BX$3:$BX$202=""))+SUMPRODUCT(--($CA$3:$CA$202=$A46),--($CD$3:$CD$202=""))+SUMPRODUCT(--($CG$3:$CG$202=$A46),--($CJ$3:$CJ$202=""))+SUMPRODUCT(--($CM$3:$CM$202=$A46),--($CP$3:$CP$202="")))</f>
        <v/>
      </c>
      <c r="Q46" s="48">
        <f>IF($H46="Tutor",(BQ46&lt;&gt;"")+(BW46&lt;&gt;"")+(CC46&lt;&gt;"")+(CI46&lt;&gt;"")+(CO46&lt;&gt;""),SUMPRODUCT(--($BO$3:$BO$202=$A46))+SUMPRODUCT(--($BU$3:$BU$202=$A46))+SUMPRODUCT(--($CA$3:$CA$202=$A46))+SUMPRODUCT(--($CG$3:$CG$202=$A46))+SUMPRODUCT(--($CM$3:$CM$202=$A46)))</f>
        <v/>
      </c>
      <c r="R46" s="48">
        <f>IF($H46="Tutor",TRIM(IF(AND(BQ46&lt;&gt;"",BR46=""),BP46&amp;"; ","")&amp;IF(AND(BW46&lt;&gt;"",BX46=""),BV46&amp;"; ","")&amp;IF(AND(CC46&lt;&gt;"",CD46=""),CB46&amp;"; ","")&amp;IF(AND(CI46&lt;&gt;"",CJ46=""),CH46&amp;"; ","")&amp;IF(AND(CO46&lt;&gt;"",CP46=""),CN46&amp;"; ","")),IFERROR(INDEX($A$3:$B$202,(SUMPRODUCT(($BO$3:$BO$202=$A46)*($BR$3:$BR$202="")*ROW($BO$3:$BO$202))+SUMPRODUCT(($BU$3:$BU$202=$A46)*($BX$3:$BX$202="")*ROW($BU$3:$BU$202))+SUMPRODUCT(($CA$3:$CA$202=$A46)*($CD$3:$CD$202="")*ROW($CA$3:$CA$202))+SUMPRODUCT(($CG$3:$CG$202=$A46)*($CJ$3:$CJ$202="")*ROW($CG$3:$CG$202))+SUMPRODUCT(($CM$3:$CM$202=$A46)*($CP$3:$CP$202="")*ROW($CM$3:$CM$202)))-2,2),""))</f>
        <v/>
      </c>
      <c r="S46" s="48" t="inlineStr">
        <is>
          <t>Provided</t>
        </is>
      </c>
      <c r="T46" s="48" t="inlineStr"/>
      <c r="U46" s="48" t="inlineStr"/>
      <c r="V46" s="48" t="inlineStr"/>
      <c r="W46" s="48" t="inlineStr">
        <is>
          <t>AWST (UTC+8)</t>
        </is>
      </c>
      <c r="X46" s="48" t="inlineStr">
        <is>
          <t>6am-9am;9am-12pm;</t>
        </is>
      </c>
      <c r="Y46" s="48" t="inlineStr">
        <is>
          <t>6am-9am;9am-12pm;</t>
        </is>
      </c>
      <c r="Z46" s="48" t="inlineStr">
        <is>
          <t>6pm-9pm;</t>
        </is>
      </c>
      <c r="AA46" s="48" t="inlineStr">
        <is>
          <t>9am-12pm;12pm-3pm;3pm-6pm;</t>
        </is>
      </c>
      <c r="AB46" s="48" t="inlineStr">
        <is>
          <t>9am-12pm;12pm-3pm;3pm-6pm;</t>
        </is>
      </c>
      <c r="AC46" s="48" t="inlineStr">
        <is>
          <t>3pm-6pm;</t>
        </is>
      </c>
      <c r="AD46" s="48" t="inlineStr">
        <is>
          <t>3pm-6pm;</t>
        </is>
      </c>
      <c r="AE46" s="48" t="inlineStr">
        <is>
          <t>Online</t>
        </is>
      </c>
      <c r="AF46" s="48" t="inlineStr">
        <is>
          <t>NA - Tutor</t>
        </is>
      </c>
      <c r="AG46" s="48" t="inlineStr">
        <is>
          <t>Australia</t>
        </is>
      </c>
      <c r="AH46" s="48" t="inlineStr">
        <is>
          <t>New South Wales</t>
        </is>
      </c>
      <c r="AI46" s="48" t="inlineStr">
        <is>
          <t>Kogarah</t>
        </is>
      </c>
      <c r="AJ46" s="48" t="inlineStr">
        <is>
          <t>2217</t>
        </is>
      </c>
      <c r="AK46" s="49" t="n">
        <v>34309</v>
      </c>
      <c r="AL46" s="48" t="inlineStr">
        <is>
          <t>Other</t>
        </is>
      </c>
      <c r="AM46" s="48" t="inlineStr">
        <is>
          <t>NA</t>
        </is>
      </c>
      <c r="AN46" s="48" t="inlineStr">
        <is>
          <t>NA - Tutor</t>
        </is>
      </c>
      <c r="AO46" s="48" t="inlineStr">
        <is>
          <t>Moderate</t>
        </is>
      </c>
      <c r="AP46" s="48" t="inlineStr">
        <is>
          <t>India</t>
        </is>
      </c>
      <c r="AQ46" s="48" t="inlineStr">
        <is>
          <t>NA</t>
        </is>
      </c>
      <c r="AR46" s="48" t="inlineStr">
        <is>
          <t>Spanish (C2)</t>
        </is>
      </c>
      <c r="AS46" s="48" t="inlineStr">
        <is>
          <t>Christian (Orthodox)</t>
        </is>
      </c>
      <c r="AT46" s="48" t="inlineStr">
        <is>
          <t>Business &amp; Finance</t>
        </is>
      </c>
      <c r="AU46" s="48" t="inlineStr">
        <is>
          <t>Student</t>
        </is>
      </c>
      <c r="AV46" s="48" t="inlineStr">
        <is>
          <t>NA - Tutor</t>
        </is>
      </c>
      <c r="AW46" s="48" t="inlineStr">
        <is>
          <t>Gardening; Cooking; Walking</t>
        </is>
      </c>
      <c r="AX46" s="48" t="inlineStr">
        <is>
          <t>NA - Tutor</t>
        </is>
      </c>
      <c r="AY46" s="48" t="inlineStr">
        <is>
          <t>Yes</t>
        </is>
      </c>
      <c r="AZ46" s="48" t="inlineStr">
        <is>
          <t>Yes</t>
        </is>
      </c>
      <c r="BA46" s="48" t="inlineStr">
        <is>
          <t>Maria Bourne</t>
        </is>
      </c>
      <c r="BB46" s="48" t="inlineStr">
        <is>
          <t>Friend</t>
        </is>
      </c>
      <c r="BC46" s="48" t="inlineStr">
        <is>
          <t>ben.taylor544@example.com</t>
        </is>
      </c>
      <c r="BD46" s="48" t="inlineStr">
        <is>
          <t>Yes</t>
        </is>
      </c>
      <c r="BE46" s="48" t="inlineStr">
        <is>
          <t>WWC4140556E</t>
        </is>
      </c>
      <c r="BF46" s="49" t="n">
        <v>46402</v>
      </c>
      <c r="BG46" s="48" t="inlineStr">
        <is>
          <t>Yes</t>
        </is>
      </c>
      <c r="BH46" s="48" t="inlineStr">
        <is>
          <t>Everyone</t>
        </is>
      </c>
      <c r="BI46" s="48" t="inlineStr">
        <is>
          <t>University of Technology Sydney (including the Brennan Justice Program)</t>
        </is>
      </c>
      <c r="BJ46" s="48" t="inlineStr">
        <is>
          <t>SINGH Veera</t>
        </is>
      </c>
      <c r="BK46" s="48" t="inlineStr">
        <is>
          <t>MCCLELLAND Reeve</t>
        </is>
      </c>
      <c r="BL46" s="48" t="inlineStr">
        <is>
          <t>Synthetic test record.</t>
        </is>
      </c>
      <c r="BM46" s="48" t="inlineStr"/>
      <c r="BN46" s="48">
        <f>TRIM(IF(AND($H46="Student",$J46="ADM-ACT-MAT-CNE"),"Invalid: Student cannot be CNE. ","")&amp;IF(AND($H46="Student",ISNUMBER($O46)),"Check: capacity set for a Student. ","")&amp;IF(AND(LEFT($J46,11)="ADM-ACT-MAT",$P46=0),"Check: matched status but 0 active pairings. ","")&amp;IF(AND($H46="Tutor",ISNUMBER($O46),$P46&gt;$O46),"Check: pairings exceed capacity. ","")&amp;IF(AND($BH46="Everyone",NOT(AND($BD46="Yes",$BG46="Yes"))),"Check: approved to tutor children but WWCC not provided/confirmed. ","")&amp;IF(AND($P46&gt;0,NOT(AND(OR(LEFT($AY46,3)="Yes",LEFT($AY46,2)="NA"),OR(LEFT($AZ46,3)="Yes",LEFT($AZ46,2)="NA")))),"Matched but vetting incomplete (interview/reference). ","")&amp;IF(COUNTIF($B$3:$B$600,$B46)&gt;1,"Duplicate participant name. ",""))</f>
        <v/>
      </c>
      <c r="BO46" s="48" t="inlineStr"/>
      <c r="BP46" s="48" t="inlineStr"/>
      <c r="BQ46" s="48" t="inlineStr"/>
      <c r="BR46" s="48" t="inlineStr"/>
      <c r="BS46" s="48" t="inlineStr"/>
      <c r="BT46" s="48" t="inlineStr"/>
      <c r="BU46" s="48" t="inlineStr"/>
      <c r="BV46" s="48" t="inlineStr"/>
      <c r="BW46" s="48" t="inlineStr"/>
      <c r="BX46" s="48" t="inlineStr"/>
      <c r="BY46" s="48" t="inlineStr"/>
      <c r="BZ46" s="48" t="inlineStr"/>
      <c r="CA46" s="48" t="inlineStr"/>
      <c r="CB46" s="48" t="inlineStr"/>
      <c r="CC46" s="48" t="inlineStr"/>
      <c r="CD46" s="48" t="inlineStr"/>
      <c r="CE46" s="48" t="inlineStr"/>
      <c r="CF46" s="48" t="inlineStr"/>
      <c r="CG46" s="48" t="inlineStr"/>
      <c r="CH46" s="48" t="inlineStr"/>
      <c r="CI46" s="48" t="inlineStr"/>
      <c r="CJ46" s="48" t="inlineStr"/>
      <c r="CK46" s="48" t="inlineStr"/>
      <c r="CL46" s="48" t="inlineStr"/>
      <c r="CM46" s="48" t="inlineStr"/>
      <c r="CN46" s="48" t="inlineStr"/>
      <c r="CO46" s="48" t="inlineStr"/>
      <c r="CP46" s="48" t="inlineStr"/>
      <c r="CQ46" s="48" t="inlineStr"/>
      <c r="CR46" s="48" t="inlineStr"/>
      <c r="CS46" s="48">
        <f>IF(LEFT($J46,3)="ERR",0,1)</f>
        <v/>
      </c>
      <c r="CT46" s="48">
        <f>IF(LEFT($J46,3)="ADM",1,0)</f>
        <v/>
      </c>
      <c r="CU46" s="48">
        <f>IF(OR($J46="ADM-ACT-MAT-CNE",$J46="ADM-ACT-MAT-CE",$J46="ADM-INACT-M&amp;T"),1,0)</f>
        <v/>
      </c>
      <c r="CV46" s="48">
        <f>IF(AND(CU46=1,ISNUMBER(M46),ISNUMBER(I46)),M46-I46,"")</f>
        <v/>
      </c>
      <c r="CW46" s="48">
        <f>IF(ISNUMBER(I46),TODAY()-I46,"")</f>
        <v/>
      </c>
      <c r="CX46" s="48">
        <f>IF(ISNUMBER(I46),DATE(YEAR(I46),MONTH(I46),1),"")</f>
        <v/>
      </c>
      <c r="CY46" s="48">
        <f>IFERROR(DATEDIF(AK46,TODAY(),"y"),"")</f>
        <v/>
      </c>
      <c r="CZ46" s="48">
        <f>IF(CY46="","",IF(CY46&lt;28,"18-27",IF(CY46&lt;38,"28-37",IF(CY46&lt;48,"38-47",IF(CY46&lt;58,"48-57",IF(CY46&lt;68,"58-67",IF(CY46&lt;78,"68-77","78+")))))) </f>
        <v/>
      </c>
      <c r="DA46" s="48">
        <f>IF(AND(BQ46&lt;&gt;"",BR46=""),N(BS46),0)+IF(AND(BW46&lt;&gt;"",BX46=""),N(BY46),0)+IF(AND(CC46&lt;&gt;"",CD46=""),N(CE46),0)+IF(AND(CI46&lt;&gt;"",CJ46=""),N(CK46),0)+IF(AND(CO46&lt;&gt;"",CP46=""),N(CQ46),0)</f>
        <v/>
      </c>
      <c r="DB46" s="48">
        <f>ROUND(IF(BQ46&lt;&gt;"",N(BS46)*MAX(0,((IF(BR46="",TODAY(),BR46))-BQ46)/7),0)+IF(BW46&lt;&gt;"",N(BY46)*MAX(0,((IF(BX46="",TODAY(),BX46))-BW46)/7),0)+IF(CC46&lt;&gt;"",N(CE46)*MAX(0,((IF(CD46="",TODAY(),CD46))-CC46)/7),0)+IF(CI46&lt;&gt;"",N(CK46)*MAX(0,((IF(CJ46="",TODAY(),CJ46))-CI46)/7),0)+IF(CO46&lt;&gt;"",N(CQ46)*MAX(0,((IF(CP46="",TODAY(),CP46))-CO46)/7),0),1)</f>
        <v/>
      </c>
      <c r="DC46" s="48">
        <f>IF(OR(TRIM(X46)="",TRIM(X46)="NA;",TRIM(X46)="NA"),0,1)</f>
        <v/>
      </c>
      <c r="DD46" s="48">
        <f>IF(OR(TRIM(Y46)="",TRIM(Y46)="NA;",TRIM(Y46)="NA"),0,1)</f>
        <v/>
      </c>
      <c r="DE46" s="48">
        <f>IF(OR(TRIM(Z46)="",TRIM(Z46)="NA;",TRIM(Z46)="NA"),0,1)</f>
        <v/>
      </c>
      <c r="DF46" s="48">
        <f>IF(OR(TRIM(AA46)="",TRIM(AA46)="NA;",TRIM(AA46)="NA"),0,1)</f>
        <v/>
      </c>
      <c r="DG46" s="48">
        <f>IF(OR(TRIM(AB46)="",TRIM(AB46)="NA;",TRIM(AB46)="NA"),0,1)</f>
        <v/>
      </c>
      <c r="DH46" s="48">
        <f>IF(OR(TRIM(AC46)="",TRIM(AC46)="NA;",TRIM(AC46)="NA"),0,1)</f>
        <v/>
      </c>
      <c r="DI46" s="48">
        <f>IF(OR(TRIM(AD46)="",TRIM(AD46)="NA;",TRIM(AD46)="NA"),0,1)</f>
        <v/>
      </c>
      <c r="DJ46" s="48">
        <f>TRIM(IF(DC46=1,"Mon ","")&amp;IF(DD46=1,"Tue ","")&amp;IF(DE46=1,"Wed ","")&amp;IF(DF46=1,"Thu ","")&amp;IF(DG46=1,"Fri ","")&amp;IF(DH46=1,"Sat ","")&amp;IF(DI46=1,"Sun ",""))</f>
        <v/>
      </c>
    </row>
    <row r="47">
      <c r="A47" s="48" t="inlineStr">
        <is>
          <t>T-O-00045</t>
        </is>
      </c>
      <c r="B47" s="48" t="inlineStr">
        <is>
          <t>Mohamed Levi</t>
        </is>
      </c>
      <c r="C47" s="48" t="inlineStr">
        <is>
          <t>mohamed.levi45@example.com</t>
        </is>
      </c>
      <c r="D47" s="48" t="inlineStr">
        <is>
          <t>+61 473 075 128</t>
        </is>
      </c>
      <c r="E47" s="48" t="inlineStr">
        <is>
          <t>Emily Young</t>
        </is>
      </c>
      <c r="F47" s="48" t="inlineStr">
        <is>
          <t>+61 435 128 640</t>
        </is>
      </c>
      <c r="G47" s="48" t="inlineStr">
        <is>
          <t>Sibling</t>
        </is>
      </c>
      <c r="H47" s="48" t="inlineStr">
        <is>
          <t>Tutor</t>
        </is>
      </c>
      <c r="I47" s="49" t="n">
        <v>45572</v>
      </c>
      <c r="J47" s="48" t="inlineStr">
        <is>
          <t>ADM-ACT-MAT-CE</t>
        </is>
      </c>
      <c r="K47" s="48">
        <f>IFERROR(VLOOKUP(J47,'(A) Introduction'!$B$35:$C$45,2,FALSE),"")</f>
        <v/>
      </c>
      <c r="L47" s="48" t="inlineStr">
        <is>
          <t>No</t>
        </is>
      </c>
      <c r="M47" s="48" t="inlineStr"/>
      <c r="N47" s="48" t="inlineStr"/>
      <c r="O47" s="48" t="n">
        <v>1</v>
      </c>
      <c r="P47" s="48">
        <f>IF($H47="Tutor",((BQ47&lt;&gt;"")*(BR47=""))+((BW47&lt;&gt;"")*(BX47=""))+((CC47&lt;&gt;"")*(CD47=""))+((CI47&lt;&gt;"")*(CJ47=""))+((CO47&lt;&gt;"")*(CP47="")),SUMPRODUCT(--($BO$3:$BO$202=$A47),--($BR$3:$BR$202=""))+SUMPRODUCT(--($BU$3:$BU$202=$A47),--($BX$3:$BX$202=""))+SUMPRODUCT(--($CA$3:$CA$202=$A47),--($CD$3:$CD$202=""))+SUMPRODUCT(--($CG$3:$CG$202=$A47),--($CJ$3:$CJ$202=""))+SUMPRODUCT(--($CM$3:$CM$202=$A47),--($CP$3:$CP$202="")))</f>
        <v/>
      </c>
      <c r="Q47" s="48">
        <f>IF($H47="Tutor",(BQ47&lt;&gt;"")+(BW47&lt;&gt;"")+(CC47&lt;&gt;"")+(CI47&lt;&gt;"")+(CO47&lt;&gt;""),SUMPRODUCT(--($BO$3:$BO$202=$A47))+SUMPRODUCT(--($BU$3:$BU$202=$A47))+SUMPRODUCT(--($CA$3:$CA$202=$A47))+SUMPRODUCT(--($CG$3:$CG$202=$A47))+SUMPRODUCT(--($CM$3:$CM$202=$A47)))</f>
        <v/>
      </c>
      <c r="R47" s="48">
        <f>IF($H47="Tutor",TRIM(IF(AND(BQ47&lt;&gt;"",BR47=""),BP47&amp;"; ","")&amp;IF(AND(BW47&lt;&gt;"",BX47=""),BV47&amp;"; ","")&amp;IF(AND(CC47&lt;&gt;"",CD47=""),CB47&amp;"; ","")&amp;IF(AND(CI47&lt;&gt;"",CJ47=""),CH47&amp;"; ","")&amp;IF(AND(CO47&lt;&gt;"",CP47=""),CN47&amp;"; ","")),IFERROR(INDEX($A$3:$B$202,(SUMPRODUCT(($BO$3:$BO$202=$A47)*($BR$3:$BR$202="")*ROW($BO$3:$BO$202))+SUMPRODUCT(($BU$3:$BU$202=$A47)*($BX$3:$BX$202="")*ROW($BU$3:$BU$202))+SUMPRODUCT(($CA$3:$CA$202=$A47)*($CD$3:$CD$202="")*ROW($CA$3:$CA$202))+SUMPRODUCT(($CG$3:$CG$202=$A47)*($CJ$3:$CJ$202="")*ROW($CG$3:$CG$202))+SUMPRODUCT(($CM$3:$CM$202=$A47)*($CP$3:$CP$202="")*ROW($CM$3:$CM$202)))-2,2),""))</f>
        <v/>
      </c>
      <c r="S47" s="48" t="inlineStr">
        <is>
          <t>NA</t>
        </is>
      </c>
      <c r="T47" s="48" t="inlineStr"/>
      <c r="U47" s="48" t="inlineStr"/>
      <c r="V47" s="49" t="n">
        <v>45753</v>
      </c>
      <c r="W47" s="48" t="inlineStr">
        <is>
          <t>AEST (UTC+10)</t>
        </is>
      </c>
      <c r="X47" s="48" t="inlineStr">
        <is>
          <t>6pm-9pm;</t>
        </is>
      </c>
      <c r="Y47" s="48" t="inlineStr">
        <is>
          <t>6pm-9pm;</t>
        </is>
      </c>
      <c r="Z47" s="48" t="inlineStr">
        <is>
          <t>9am-12pm;12pm-3pm;3pm-6pm;</t>
        </is>
      </c>
      <c r="AA47" s="48" t="inlineStr">
        <is>
          <t>6am-9am;9am-12pm;</t>
        </is>
      </c>
      <c r="AB47" s="48" t="inlineStr">
        <is>
          <t>9am-12pm;</t>
        </is>
      </c>
      <c r="AC47" s="48" t="inlineStr">
        <is>
          <t>9am-12pm;12pm-3pm;3pm-6pm;</t>
        </is>
      </c>
      <c r="AD47" s="48" t="inlineStr">
        <is>
          <t>9am-12pm;</t>
        </is>
      </c>
      <c r="AE47" s="48" t="inlineStr">
        <is>
          <t>Online</t>
        </is>
      </c>
      <c r="AF47" s="48" t="inlineStr">
        <is>
          <t>NA - Tutor</t>
        </is>
      </c>
      <c r="AG47" s="48" t="inlineStr">
        <is>
          <t>Australia</t>
        </is>
      </c>
      <c r="AH47" s="48" t="inlineStr">
        <is>
          <t>New South Wales</t>
        </is>
      </c>
      <c r="AI47" s="48" t="inlineStr">
        <is>
          <t>Bankstown</t>
        </is>
      </c>
      <c r="AJ47" s="48" t="inlineStr">
        <is>
          <t>2200</t>
        </is>
      </c>
      <c r="AK47" s="49" t="n">
        <v>29735</v>
      </c>
      <c r="AL47" s="48" t="inlineStr">
        <is>
          <t>Other</t>
        </is>
      </c>
      <c r="AM47" s="48" t="inlineStr">
        <is>
          <t>NA</t>
        </is>
      </c>
      <c r="AN47" s="48" t="inlineStr">
        <is>
          <t>NA - Tutor</t>
        </is>
      </c>
      <c r="AO47" s="48" t="inlineStr">
        <is>
          <t>Low</t>
        </is>
      </c>
      <c r="AP47" s="48" t="inlineStr">
        <is>
          <t>Australia</t>
        </is>
      </c>
      <c r="AQ47" s="48" t="inlineStr">
        <is>
          <t>NA</t>
        </is>
      </c>
      <c r="AR47" s="48" t="inlineStr">
        <is>
          <t>English (C2)</t>
        </is>
      </c>
      <c r="AS47" s="48" t="inlineStr">
        <is>
          <t>None</t>
        </is>
      </c>
      <c r="AT47" s="48" t="inlineStr">
        <is>
          <t>Childcare &amp; Aged Care</t>
        </is>
      </c>
      <c r="AU47" s="48" t="inlineStr">
        <is>
          <t>Nurse</t>
        </is>
      </c>
      <c r="AV47" s="48" t="inlineStr">
        <is>
          <t>NA - Tutor</t>
        </is>
      </c>
      <c r="AW47" s="48" t="inlineStr">
        <is>
          <t>Language learning; Self-development</t>
        </is>
      </c>
      <c r="AX47" s="48" t="inlineStr">
        <is>
          <t>NA - Tutor</t>
        </is>
      </c>
      <c r="AY47" s="48" t="inlineStr">
        <is>
          <t>Yes</t>
        </is>
      </c>
      <c r="AZ47" s="48" t="inlineStr">
        <is>
          <t>No</t>
        </is>
      </c>
      <c r="BA47" s="48" t="inlineStr">
        <is>
          <t>Tom Hall</t>
        </is>
      </c>
      <c r="BB47" s="48" t="inlineStr">
        <is>
          <t>Colleague</t>
        </is>
      </c>
      <c r="BC47" s="48" t="inlineStr">
        <is>
          <t>camila.silva545@example.com</t>
        </is>
      </c>
      <c r="BD47" s="48" t="inlineStr">
        <is>
          <t>Pending</t>
        </is>
      </c>
      <c r="BE47" s="48" t="inlineStr"/>
      <c r="BF47" s="48" t="inlineStr"/>
      <c r="BG47" s="48" t="inlineStr">
        <is>
          <t>No</t>
        </is>
      </c>
      <c r="BH47" s="48" t="inlineStr">
        <is>
          <t>Adults Only</t>
        </is>
      </c>
      <c r="BI47" s="48" t="inlineStr">
        <is>
          <t>Ayelet</t>
        </is>
      </c>
      <c r="BJ47" s="48" t="inlineStr">
        <is>
          <t>KNIJNIK Marina</t>
        </is>
      </c>
      <c r="BK47" s="48" t="inlineStr">
        <is>
          <t>HERVIR Oliver</t>
        </is>
      </c>
      <c r="BL47" s="48" t="inlineStr">
        <is>
          <t>Synthetic test record.</t>
        </is>
      </c>
      <c r="BM47" s="48" t="inlineStr"/>
      <c r="BN47" s="48">
        <f>TRIM(IF(AND($H47="Student",$J47="ADM-ACT-MAT-CNE"),"Invalid: Student cannot be CNE. ","")&amp;IF(AND($H47="Student",ISNUMBER($O47)),"Check: capacity set for a Student. ","")&amp;IF(AND(LEFT($J47,11)="ADM-ACT-MAT",$P47=0),"Check: matched status but 0 active pairings. ","")&amp;IF(AND($H47="Tutor",ISNUMBER($O47),$P47&gt;$O47),"Check: pairings exceed capacity. ","")&amp;IF(AND($BH47="Everyone",NOT(AND($BD47="Yes",$BG47="Yes"))),"Check: approved to tutor children but WWCC not provided/confirmed. ","")&amp;IF(AND($P47&gt;0,NOT(AND(OR(LEFT($AY47,3)="Yes",LEFT($AY47,2)="NA"),OR(LEFT($AZ47,3)="Yes",LEFT($AZ47,2)="NA")))),"Matched but vetting incomplete (interview/reference). ","")&amp;IF(COUNTIF($B$3:$B$600,$B47)&gt;1,"Duplicate participant name. ",""))</f>
        <v/>
      </c>
      <c r="BO47" s="48" t="inlineStr">
        <is>
          <t>S-O-00039</t>
        </is>
      </c>
      <c r="BP47" s="48">
        <f>IFERROR(VLOOKUP(BO47,$A:$B,2,FALSE),"")</f>
        <v/>
      </c>
      <c r="BQ47" s="49" t="n">
        <v>45619</v>
      </c>
      <c r="BR47" s="48" t="inlineStr"/>
      <c r="BS47" s="48" t="n">
        <v>1</v>
      </c>
      <c r="BT47" s="48" t="inlineStr">
        <is>
          <t>MCCRORIE John</t>
        </is>
      </c>
      <c r="BU47" s="48" t="inlineStr"/>
      <c r="BV47" s="48" t="inlineStr"/>
      <c r="BW47" s="48" t="inlineStr"/>
      <c r="BX47" s="48" t="inlineStr"/>
      <c r="BY47" s="48" t="inlineStr"/>
      <c r="BZ47" s="48" t="inlineStr"/>
      <c r="CA47" s="48" t="inlineStr"/>
      <c r="CB47" s="48" t="inlineStr"/>
      <c r="CC47" s="48" t="inlineStr"/>
      <c r="CD47" s="48" t="inlineStr"/>
      <c r="CE47" s="48" t="inlineStr"/>
      <c r="CF47" s="48" t="inlineStr"/>
      <c r="CG47" s="48" t="inlineStr"/>
      <c r="CH47" s="48" t="inlineStr"/>
      <c r="CI47" s="48" t="inlineStr"/>
      <c r="CJ47" s="48" t="inlineStr"/>
      <c r="CK47" s="48" t="inlineStr"/>
      <c r="CL47" s="48" t="inlineStr"/>
      <c r="CM47" s="48" t="inlineStr"/>
      <c r="CN47" s="48" t="inlineStr"/>
      <c r="CO47" s="48" t="inlineStr"/>
      <c r="CP47" s="48" t="inlineStr"/>
      <c r="CQ47" s="48" t="inlineStr"/>
      <c r="CR47" s="48" t="inlineStr"/>
      <c r="CS47" s="48">
        <f>IF(LEFT($J47,3)="ERR",0,1)</f>
        <v/>
      </c>
      <c r="CT47" s="48">
        <f>IF(LEFT($J47,3)="ADM",1,0)</f>
        <v/>
      </c>
      <c r="CU47" s="48">
        <f>IF(OR($J47="ADM-ACT-MAT-CNE",$J47="ADM-ACT-MAT-CE",$J47="ADM-INACT-M&amp;T"),1,0)</f>
        <v/>
      </c>
      <c r="CV47" s="48">
        <f>IF(AND(CU47=1,ISNUMBER(M47),ISNUMBER(I47)),M47-I47,"")</f>
        <v/>
      </c>
      <c r="CW47" s="48">
        <f>IF(ISNUMBER(I47),TODAY()-I47,"")</f>
        <v/>
      </c>
      <c r="CX47" s="48">
        <f>IF(ISNUMBER(I47),DATE(YEAR(I47),MONTH(I47),1),"")</f>
        <v/>
      </c>
      <c r="CY47" s="48">
        <f>IFERROR(DATEDIF(AK47,TODAY(),"y"),"")</f>
        <v/>
      </c>
      <c r="CZ47" s="48">
        <f>IF(CY47="","",IF(CY47&lt;28,"18-27",IF(CY47&lt;38,"28-37",IF(CY47&lt;48,"38-47",IF(CY47&lt;58,"48-57",IF(CY47&lt;68,"58-67",IF(CY47&lt;78,"68-77","78+")))))) </f>
        <v/>
      </c>
      <c r="DA47" s="48">
        <f>IF(AND(BQ47&lt;&gt;"",BR47=""),N(BS47),0)+IF(AND(BW47&lt;&gt;"",BX47=""),N(BY47),0)+IF(AND(CC47&lt;&gt;"",CD47=""),N(CE47),0)+IF(AND(CI47&lt;&gt;"",CJ47=""),N(CK47),0)+IF(AND(CO47&lt;&gt;"",CP47=""),N(CQ47),0)</f>
        <v/>
      </c>
      <c r="DB47" s="48">
        <f>ROUND(IF(BQ47&lt;&gt;"",N(BS47)*MAX(0,((IF(BR47="",TODAY(),BR47))-BQ47)/7),0)+IF(BW47&lt;&gt;"",N(BY47)*MAX(0,((IF(BX47="",TODAY(),BX47))-BW47)/7),0)+IF(CC47&lt;&gt;"",N(CE47)*MAX(0,((IF(CD47="",TODAY(),CD47))-CC47)/7),0)+IF(CI47&lt;&gt;"",N(CK47)*MAX(0,((IF(CJ47="",TODAY(),CJ47))-CI47)/7),0)+IF(CO47&lt;&gt;"",N(CQ47)*MAX(0,((IF(CP47="",TODAY(),CP47))-CO47)/7),0),1)</f>
        <v/>
      </c>
      <c r="DC47" s="48">
        <f>IF(OR(TRIM(X47)="",TRIM(X47)="NA;",TRIM(X47)="NA"),0,1)</f>
        <v/>
      </c>
      <c r="DD47" s="48">
        <f>IF(OR(TRIM(Y47)="",TRIM(Y47)="NA;",TRIM(Y47)="NA"),0,1)</f>
        <v/>
      </c>
      <c r="DE47" s="48">
        <f>IF(OR(TRIM(Z47)="",TRIM(Z47)="NA;",TRIM(Z47)="NA"),0,1)</f>
        <v/>
      </c>
      <c r="DF47" s="48">
        <f>IF(OR(TRIM(AA47)="",TRIM(AA47)="NA;",TRIM(AA47)="NA"),0,1)</f>
        <v/>
      </c>
      <c r="DG47" s="48">
        <f>IF(OR(TRIM(AB47)="",TRIM(AB47)="NA;",TRIM(AB47)="NA"),0,1)</f>
        <v/>
      </c>
      <c r="DH47" s="48">
        <f>IF(OR(TRIM(AC47)="",TRIM(AC47)="NA;",TRIM(AC47)="NA"),0,1)</f>
        <v/>
      </c>
      <c r="DI47" s="48">
        <f>IF(OR(TRIM(AD47)="",TRIM(AD47)="NA;",TRIM(AD47)="NA"),0,1)</f>
        <v/>
      </c>
      <c r="DJ47" s="48">
        <f>TRIM(IF(DC47=1,"Mon ","")&amp;IF(DD47=1,"Tue ","")&amp;IF(DE47=1,"Wed ","")&amp;IF(DF47=1,"Thu ","")&amp;IF(DG47=1,"Fri ","")&amp;IF(DH47=1,"Sat ","")&amp;IF(DI47=1,"Sun ",""))</f>
        <v/>
      </c>
    </row>
    <row r="48">
      <c r="A48" s="48" t="inlineStr">
        <is>
          <t>T-O-00046</t>
        </is>
      </c>
      <c r="B48" s="48" t="inlineStr">
        <is>
          <t>Peter Wright</t>
        </is>
      </c>
      <c r="C48" s="48" t="inlineStr">
        <is>
          <t>peter.wright46@example.com</t>
        </is>
      </c>
      <c r="D48" s="48" t="inlineStr">
        <is>
          <t>+61 421 674 639</t>
        </is>
      </c>
      <c r="E48" s="48" t="inlineStr">
        <is>
          <t>Pedro Taylor</t>
        </is>
      </c>
      <c r="F48" s="48" t="inlineStr">
        <is>
          <t>+61 459 208 348</t>
        </is>
      </c>
      <c r="G48" s="48" t="inlineStr">
        <is>
          <t>Friend</t>
        </is>
      </c>
      <c r="H48" s="48" t="inlineStr">
        <is>
          <t>Tutor</t>
        </is>
      </c>
      <c r="I48" s="49" t="n">
        <v>45577</v>
      </c>
      <c r="J48" s="48" t="inlineStr">
        <is>
          <t>ADM-ACT-UNMAT</t>
        </is>
      </c>
      <c r="K48" s="48">
        <f>IFERROR(VLOOKUP(J48,'(A) Introduction'!$B$35:$C$45,2,FALSE),"")</f>
        <v/>
      </c>
      <c r="L48" s="48" t="inlineStr">
        <is>
          <t>No</t>
        </is>
      </c>
      <c r="M48" s="48" t="inlineStr"/>
      <c r="N48" s="48" t="inlineStr"/>
      <c r="O48" s="48" t="n">
        <v>3</v>
      </c>
      <c r="P48" s="48">
        <f>IF($H48="Tutor",((BQ48&lt;&gt;"")*(BR48=""))+((BW48&lt;&gt;"")*(BX48=""))+((CC48&lt;&gt;"")*(CD48=""))+((CI48&lt;&gt;"")*(CJ48=""))+((CO48&lt;&gt;"")*(CP48="")),SUMPRODUCT(--($BO$3:$BO$202=$A48),--($BR$3:$BR$202=""))+SUMPRODUCT(--($BU$3:$BU$202=$A48),--($BX$3:$BX$202=""))+SUMPRODUCT(--($CA$3:$CA$202=$A48),--($CD$3:$CD$202=""))+SUMPRODUCT(--($CG$3:$CG$202=$A48),--($CJ$3:$CJ$202=""))+SUMPRODUCT(--($CM$3:$CM$202=$A48),--($CP$3:$CP$202="")))</f>
        <v/>
      </c>
      <c r="Q48" s="48">
        <f>IF($H48="Tutor",(BQ48&lt;&gt;"")+(BW48&lt;&gt;"")+(CC48&lt;&gt;"")+(CI48&lt;&gt;"")+(CO48&lt;&gt;""),SUMPRODUCT(--($BO$3:$BO$202=$A48))+SUMPRODUCT(--($BU$3:$BU$202=$A48))+SUMPRODUCT(--($CA$3:$CA$202=$A48))+SUMPRODUCT(--($CG$3:$CG$202=$A48))+SUMPRODUCT(--($CM$3:$CM$202=$A48)))</f>
        <v/>
      </c>
      <c r="R48" s="48">
        <f>IF($H48="Tutor",TRIM(IF(AND(BQ48&lt;&gt;"",BR48=""),BP48&amp;"; ","")&amp;IF(AND(BW48&lt;&gt;"",BX48=""),BV48&amp;"; ","")&amp;IF(AND(CC48&lt;&gt;"",CD48=""),CB48&amp;"; ","")&amp;IF(AND(CI48&lt;&gt;"",CJ48=""),CH48&amp;"; ","")&amp;IF(AND(CO48&lt;&gt;"",CP48=""),CN48&amp;"; ","")),IFERROR(INDEX($A$3:$B$202,(SUMPRODUCT(($BO$3:$BO$202=$A48)*($BR$3:$BR$202="")*ROW($BO$3:$BO$202))+SUMPRODUCT(($BU$3:$BU$202=$A48)*($BX$3:$BX$202="")*ROW($BU$3:$BU$202))+SUMPRODUCT(($CA$3:$CA$202=$A48)*($CD$3:$CD$202="")*ROW($CA$3:$CA$202))+SUMPRODUCT(($CG$3:$CG$202=$A48)*($CJ$3:$CJ$202="")*ROW($CG$3:$CG$202))+SUMPRODUCT(($CM$3:$CM$202=$A48)*($CP$3:$CP$202="")*ROW($CM$3:$CM$202)))-2,2),""))</f>
        <v/>
      </c>
      <c r="S48" s="48" t="inlineStr">
        <is>
          <t>Not Provided</t>
        </is>
      </c>
      <c r="T48" s="48" t="inlineStr"/>
      <c r="U48" s="48" t="inlineStr"/>
      <c r="V48" s="49" t="n">
        <v>46005</v>
      </c>
      <c r="W48" s="48" t="inlineStr">
        <is>
          <t>AWST (UTC+8)</t>
        </is>
      </c>
      <c r="X48" s="48" t="inlineStr">
        <is>
          <t>NA;</t>
        </is>
      </c>
      <c r="Y48" s="48" t="inlineStr">
        <is>
          <t>NA;</t>
        </is>
      </c>
      <c r="Z48" s="48" t="inlineStr">
        <is>
          <t>6pm-9pm;</t>
        </is>
      </c>
      <c r="AA48" s="48" t="inlineStr">
        <is>
          <t>NA;</t>
        </is>
      </c>
      <c r="AB48" s="48" t="inlineStr">
        <is>
          <t>3pm-6pm;</t>
        </is>
      </c>
      <c r="AC48" s="48" t="inlineStr">
        <is>
          <t>12pm-3pm;</t>
        </is>
      </c>
      <c r="AD48" s="48" t="inlineStr">
        <is>
          <t>12pm-3pm;6pm-9pm;</t>
        </is>
      </c>
      <c r="AE48" s="48" t="inlineStr">
        <is>
          <t>Either</t>
        </is>
      </c>
      <c r="AF48" s="48" t="inlineStr">
        <is>
          <t>NA - Tutor</t>
        </is>
      </c>
      <c r="AG48" s="48" t="inlineStr">
        <is>
          <t>Australia</t>
        </is>
      </c>
      <c r="AH48" s="48" t="inlineStr">
        <is>
          <t>New South Wales</t>
        </is>
      </c>
      <c r="AI48" s="48" t="inlineStr">
        <is>
          <t>Kogarah</t>
        </is>
      </c>
      <c r="AJ48" s="48" t="inlineStr">
        <is>
          <t>2217</t>
        </is>
      </c>
      <c r="AK48" s="49" t="n">
        <v>33116</v>
      </c>
      <c r="AL48" s="48" t="inlineStr">
        <is>
          <t>Female</t>
        </is>
      </c>
      <c r="AM48" s="48" t="inlineStr">
        <is>
          <t>NA</t>
        </is>
      </c>
      <c r="AN48" s="48" t="inlineStr">
        <is>
          <t>NA - Tutor</t>
        </is>
      </c>
      <c r="AO48" s="48" t="inlineStr">
        <is>
          <t>Outstanding</t>
        </is>
      </c>
      <c r="AP48" s="48" t="inlineStr">
        <is>
          <t>Vietnam</t>
        </is>
      </c>
      <c r="AQ48" s="48" t="inlineStr">
        <is>
          <t>NA</t>
        </is>
      </c>
      <c r="AR48" s="48" t="inlineStr">
        <is>
          <t>Somali (C2)</t>
        </is>
      </c>
      <c r="AS48" s="48" t="inlineStr">
        <is>
          <t>None</t>
        </is>
      </c>
      <c r="AT48" s="48" t="inlineStr">
        <is>
          <t>Science, Tech, Engineering and Math</t>
        </is>
      </c>
      <c r="AU48" s="48" t="inlineStr">
        <is>
          <t>Accountant</t>
        </is>
      </c>
      <c r="AV48" s="48" t="inlineStr">
        <is>
          <t>NA - Tutor</t>
        </is>
      </c>
      <c r="AW48" s="48" t="inlineStr">
        <is>
          <t>Art; Photography; Travel</t>
        </is>
      </c>
      <c r="AX48" s="48" t="inlineStr">
        <is>
          <t>NA - Tutor</t>
        </is>
      </c>
      <c r="AY48" s="48" t="inlineStr">
        <is>
          <t>Yes</t>
        </is>
      </c>
      <c r="AZ48" s="48" t="inlineStr">
        <is>
          <t>NA - Partner Organisation Verified</t>
        </is>
      </c>
      <c r="BA48" s="48" t="inlineStr">
        <is>
          <t>Sofia Marks</t>
        </is>
      </c>
      <c r="BB48" s="48" t="inlineStr">
        <is>
          <t>Academic Referee</t>
        </is>
      </c>
      <c r="BC48" s="48" t="inlineStr">
        <is>
          <t>chloe.yang546@example.com</t>
        </is>
      </c>
      <c r="BD48" s="48" t="inlineStr">
        <is>
          <t>Yes</t>
        </is>
      </c>
      <c r="BE48" s="48" t="inlineStr">
        <is>
          <t>WWC5350628E</t>
        </is>
      </c>
      <c r="BF48" s="49" t="n">
        <v>46911</v>
      </c>
      <c r="BG48" s="48" t="inlineStr">
        <is>
          <t>Yes</t>
        </is>
      </c>
      <c r="BH48" s="48" t="inlineStr">
        <is>
          <t>Adults Only</t>
        </is>
      </c>
      <c r="BI48" s="48" t="inlineStr">
        <is>
          <t>Asylum Seeker Resource Centre</t>
        </is>
      </c>
      <c r="BJ48" s="48" t="inlineStr">
        <is>
          <t>HALLORAN Isobel</t>
        </is>
      </c>
      <c r="BK48" s="48" t="inlineStr">
        <is>
          <t>NUICH Curtis</t>
        </is>
      </c>
      <c r="BL48" s="48" t="inlineStr">
        <is>
          <t>Synthetic test record.</t>
        </is>
      </c>
      <c r="BM48" s="48" t="inlineStr"/>
      <c r="BN48" s="48">
        <f>TRIM(IF(AND($H48="Student",$J48="ADM-ACT-MAT-CNE"),"Invalid: Student cannot be CNE. ","")&amp;IF(AND($H48="Student",ISNUMBER($O48)),"Check: capacity set for a Student. ","")&amp;IF(AND(LEFT($J48,11)="ADM-ACT-MAT",$P48=0),"Check: matched status but 0 active pairings. ","")&amp;IF(AND($H48="Tutor",ISNUMBER($O48),$P48&gt;$O48),"Check: pairings exceed capacity. ","")&amp;IF(AND($BH48="Everyone",NOT(AND($BD48="Yes",$BG48="Yes"))),"Check: approved to tutor children but WWCC not provided/confirmed. ","")&amp;IF(AND($P48&gt;0,NOT(AND(OR(LEFT($AY48,3)="Yes",LEFT($AY48,2)="NA"),OR(LEFT($AZ48,3)="Yes",LEFT($AZ48,2)="NA")))),"Matched but vetting incomplete (interview/reference). ","")&amp;IF(COUNTIF($B$3:$B$600,$B48)&gt;1,"Duplicate participant name. ",""))</f>
        <v/>
      </c>
      <c r="BO48" s="48" t="inlineStr"/>
      <c r="BP48" s="48" t="inlineStr"/>
      <c r="BQ48" s="48" t="inlineStr"/>
      <c r="BR48" s="48" t="inlineStr"/>
      <c r="BS48" s="48" t="inlineStr"/>
      <c r="BT48" s="48" t="inlineStr"/>
      <c r="BU48" s="48" t="inlineStr"/>
      <c r="BV48" s="48" t="inlineStr"/>
      <c r="BW48" s="48" t="inlineStr"/>
      <c r="BX48" s="48" t="inlineStr"/>
      <c r="BY48" s="48" t="inlineStr"/>
      <c r="BZ48" s="48" t="inlineStr"/>
      <c r="CA48" s="48" t="inlineStr"/>
      <c r="CB48" s="48" t="inlineStr"/>
      <c r="CC48" s="48" t="inlineStr"/>
      <c r="CD48" s="48" t="inlineStr"/>
      <c r="CE48" s="48" t="inlineStr"/>
      <c r="CF48" s="48" t="inlineStr"/>
      <c r="CG48" s="48" t="inlineStr"/>
      <c r="CH48" s="48" t="inlineStr"/>
      <c r="CI48" s="48" t="inlineStr"/>
      <c r="CJ48" s="48" t="inlineStr"/>
      <c r="CK48" s="48" t="inlineStr"/>
      <c r="CL48" s="48" t="inlineStr"/>
      <c r="CM48" s="48" t="inlineStr"/>
      <c r="CN48" s="48" t="inlineStr"/>
      <c r="CO48" s="48" t="inlineStr"/>
      <c r="CP48" s="48" t="inlineStr"/>
      <c r="CQ48" s="48" t="inlineStr"/>
      <c r="CR48" s="48" t="inlineStr"/>
      <c r="CS48" s="48">
        <f>IF(LEFT($J48,3)="ERR",0,1)</f>
        <v/>
      </c>
      <c r="CT48" s="48">
        <f>IF(LEFT($J48,3)="ADM",1,0)</f>
        <v/>
      </c>
      <c r="CU48" s="48">
        <f>IF(OR($J48="ADM-ACT-MAT-CNE",$J48="ADM-ACT-MAT-CE",$J48="ADM-INACT-M&amp;T"),1,0)</f>
        <v/>
      </c>
      <c r="CV48" s="48">
        <f>IF(AND(CU48=1,ISNUMBER(M48),ISNUMBER(I48)),M48-I48,"")</f>
        <v/>
      </c>
      <c r="CW48" s="48">
        <f>IF(ISNUMBER(I48),TODAY()-I48,"")</f>
        <v/>
      </c>
      <c r="CX48" s="48">
        <f>IF(ISNUMBER(I48),DATE(YEAR(I48),MONTH(I48),1),"")</f>
        <v/>
      </c>
      <c r="CY48" s="48">
        <f>IFERROR(DATEDIF(AK48,TODAY(),"y"),"")</f>
        <v/>
      </c>
      <c r="CZ48" s="48">
        <f>IF(CY48="","",IF(CY48&lt;28,"18-27",IF(CY48&lt;38,"28-37",IF(CY48&lt;48,"38-47",IF(CY48&lt;58,"48-57",IF(CY48&lt;68,"58-67",IF(CY48&lt;78,"68-77","78+")))))) </f>
        <v/>
      </c>
      <c r="DA48" s="48">
        <f>IF(AND(BQ48&lt;&gt;"",BR48=""),N(BS48),0)+IF(AND(BW48&lt;&gt;"",BX48=""),N(BY48),0)+IF(AND(CC48&lt;&gt;"",CD48=""),N(CE48),0)+IF(AND(CI48&lt;&gt;"",CJ48=""),N(CK48),0)+IF(AND(CO48&lt;&gt;"",CP48=""),N(CQ48),0)</f>
        <v/>
      </c>
      <c r="DB48" s="48">
        <f>ROUND(IF(BQ48&lt;&gt;"",N(BS48)*MAX(0,((IF(BR48="",TODAY(),BR48))-BQ48)/7),0)+IF(BW48&lt;&gt;"",N(BY48)*MAX(0,((IF(BX48="",TODAY(),BX48))-BW48)/7),0)+IF(CC48&lt;&gt;"",N(CE48)*MAX(0,((IF(CD48="",TODAY(),CD48))-CC48)/7),0)+IF(CI48&lt;&gt;"",N(CK48)*MAX(0,((IF(CJ48="",TODAY(),CJ48))-CI48)/7),0)+IF(CO48&lt;&gt;"",N(CQ48)*MAX(0,((IF(CP48="",TODAY(),CP48))-CO48)/7),0),1)</f>
        <v/>
      </c>
      <c r="DC48" s="48">
        <f>IF(OR(TRIM(X48)="",TRIM(X48)="NA;",TRIM(X48)="NA"),0,1)</f>
        <v/>
      </c>
      <c r="DD48" s="48">
        <f>IF(OR(TRIM(Y48)="",TRIM(Y48)="NA;",TRIM(Y48)="NA"),0,1)</f>
        <v/>
      </c>
      <c r="DE48" s="48">
        <f>IF(OR(TRIM(Z48)="",TRIM(Z48)="NA;",TRIM(Z48)="NA"),0,1)</f>
        <v/>
      </c>
      <c r="DF48" s="48">
        <f>IF(OR(TRIM(AA48)="",TRIM(AA48)="NA;",TRIM(AA48)="NA"),0,1)</f>
        <v/>
      </c>
      <c r="DG48" s="48">
        <f>IF(OR(TRIM(AB48)="",TRIM(AB48)="NA;",TRIM(AB48)="NA"),0,1)</f>
        <v/>
      </c>
      <c r="DH48" s="48">
        <f>IF(OR(TRIM(AC48)="",TRIM(AC48)="NA;",TRIM(AC48)="NA"),0,1)</f>
        <v/>
      </c>
      <c r="DI48" s="48">
        <f>IF(OR(TRIM(AD48)="",TRIM(AD48)="NA;",TRIM(AD48)="NA"),0,1)</f>
        <v/>
      </c>
      <c r="DJ48" s="48">
        <f>TRIM(IF(DC48=1,"Mon ","")&amp;IF(DD48=1,"Tue ","")&amp;IF(DE48=1,"Wed ","")&amp;IF(DF48=1,"Thu ","")&amp;IF(DG48=1,"Fri ","")&amp;IF(DH48=1,"Sat ","")&amp;IF(DI48=1,"Sun ",""))</f>
        <v/>
      </c>
    </row>
    <row r="49">
      <c r="A49" s="48" t="inlineStr">
        <is>
          <t>T-O-00047</t>
        </is>
      </c>
      <c r="B49" s="48" t="inlineStr">
        <is>
          <t>Hala Ali</t>
        </is>
      </c>
      <c r="C49" s="48" t="inlineStr">
        <is>
          <t>hala.ali47@example.com</t>
        </is>
      </c>
      <c r="D49" s="48" t="inlineStr">
        <is>
          <t>+61 465 575 108</t>
        </is>
      </c>
      <c r="E49" s="48" t="inlineStr">
        <is>
          <t>Diego Wilson</t>
        </is>
      </c>
      <c r="F49" s="48" t="inlineStr">
        <is>
          <t>+61 402 092 967</t>
        </is>
      </c>
      <c r="G49" s="48" t="inlineStr">
        <is>
          <t>Adult Child</t>
        </is>
      </c>
      <c r="H49" s="48" t="inlineStr">
        <is>
          <t>Tutor</t>
        </is>
      </c>
      <c r="I49" s="49" t="n">
        <v>45580</v>
      </c>
      <c r="J49" s="48" t="inlineStr">
        <is>
          <t>ADM-ACT-MAT-CNE</t>
        </is>
      </c>
      <c r="K49" s="48">
        <f>IFERROR(VLOOKUP(J49,'(A) Introduction'!$B$35:$C$45,2,FALSE),"")</f>
        <v/>
      </c>
      <c r="L49" s="48" t="inlineStr">
        <is>
          <t>No</t>
        </is>
      </c>
      <c r="M49" s="48" t="inlineStr"/>
      <c r="N49" s="48" t="inlineStr"/>
      <c r="O49" s="48" t="n">
        <v>2</v>
      </c>
      <c r="P49" s="48">
        <f>IF($H49="Tutor",((BQ49&lt;&gt;"")*(BR49=""))+((BW49&lt;&gt;"")*(BX49=""))+((CC49&lt;&gt;"")*(CD49=""))+((CI49&lt;&gt;"")*(CJ49=""))+((CO49&lt;&gt;"")*(CP49="")),SUMPRODUCT(--($BO$3:$BO$202=$A49),--($BR$3:$BR$202=""))+SUMPRODUCT(--($BU$3:$BU$202=$A49),--($BX$3:$BX$202=""))+SUMPRODUCT(--($CA$3:$CA$202=$A49),--($CD$3:$CD$202=""))+SUMPRODUCT(--($CG$3:$CG$202=$A49),--($CJ$3:$CJ$202=""))+SUMPRODUCT(--($CM$3:$CM$202=$A49),--($CP$3:$CP$202="")))</f>
        <v/>
      </c>
      <c r="Q49" s="48">
        <f>IF($H49="Tutor",(BQ49&lt;&gt;"")+(BW49&lt;&gt;"")+(CC49&lt;&gt;"")+(CI49&lt;&gt;"")+(CO49&lt;&gt;""),SUMPRODUCT(--($BO$3:$BO$202=$A49))+SUMPRODUCT(--($BU$3:$BU$202=$A49))+SUMPRODUCT(--($CA$3:$CA$202=$A49))+SUMPRODUCT(--($CG$3:$CG$202=$A49))+SUMPRODUCT(--($CM$3:$CM$202=$A49)))</f>
        <v/>
      </c>
      <c r="R49" s="48">
        <f>IF($H49="Tutor",TRIM(IF(AND(BQ49&lt;&gt;"",BR49=""),BP49&amp;"; ","")&amp;IF(AND(BW49&lt;&gt;"",BX49=""),BV49&amp;"; ","")&amp;IF(AND(CC49&lt;&gt;"",CD49=""),CB49&amp;"; ","")&amp;IF(AND(CI49&lt;&gt;"",CJ49=""),CH49&amp;"; ","")&amp;IF(AND(CO49&lt;&gt;"",CP49=""),CN49&amp;"; ","")),IFERROR(INDEX($A$3:$B$202,(SUMPRODUCT(($BO$3:$BO$202=$A49)*($BR$3:$BR$202="")*ROW($BO$3:$BO$202))+SUMPRODUCT(($BU$3:$BU$202=$A49)*($BX$3:$BX$202="")*ROW($BU$3:$BU$202))+SUMPRODUCT(($CA$3:$CA$202=$A49)*($CD$3:$CD$202="")*ROW($CA$3:$CA$202))+SUMPRODUCT(($CG$3:$CG$202=$A49)*($CJ$3:$CJ$202="")*ROW($CG$3:$CG$202))+SUMPRODUCT(($CM$3:$CM$202=$A49)*($CP$3:$CP$202="")*ROW($CM$3:$CM$202)))-2,2),""))</f>
        <v/>
      </c>
      <c r="S49" s="48" t="inlineStr">
        <is>
          <t>Provided</t>
        </is>
      </c>
      <c r="T49" s="48" t="inlineStr"/>
      <c r="U49" s="48" t="inlineStr"/>
      <c r="V49" s="49" t="n">
        <v>46139</v>
      </c>
      <c r="W49" s="48" t="inlineStr">
        <is>
          <t>AEDT (UTC+11)</t>
        </is>
      </c>
      <c r="X49" s="48" t="inlineStr">
        <is>
          <t>6pm-9pm;</t>
        </is>
      </c>
      <c r="Y49" s="48" t="inlineStr">
        <is>
          <t>3pm-6pm;</t>
        </is>
      </c>
      <c r="Z49" s="48" t="inlineStr">
        <is>
          <t>6pm-9pm;</t>
        </is>
      </c>
      <c r="AA49" s="48" t="inlineStr">
        <is>
          <t>12pm-3pm;</t>
        </is>
      </c>
      <c r="AB49" s="48" t="inlineStr">
        <is>
          <t>9am-12pm;</t>
        </is>
      </c>
      <c r="AC49" s="48" t="inlineStr">
        <is>
          <t>6pm-9pm;</t>
        </is>
      </c>
      <c r="AD49" s="48" t="inlineStr">
        <is>
          <t>NA;</t>
        </is>
      </c>
      <c r="AE49" s="48" t="inlineStr">
        <is>
          <t>In-Person</t>
        </is>
      </c>
      <c r="AF49" s="48" t="inlineStr">
        <is>
          <t>NA - Tutor</t>
        </is>
      </c>
      <c r="AG49" s="48" t="inlineStr">
        <is>
          <t>Australia</t>
        </is>
      </c>
      <c r="AH49" s="48" t="inlineStr">
        <is>
          <t>New South Wales</t>
        </is>
      </c>
      <c r="AI49" s="48" t="inlineStr">
        <is>
          <t>Liverpool</t>
        </is>
      </c>
      <c r="AJ49" s="48" t="inlineStr">
        <is>
          <t>2170</t>
        </is>
      </c>
      <c r="AK49" s="49" t="n">
        <v>38136</v>
      </c>
      <c r="AL49" s="48" t="inlineStr">
        <is>
          <t>Male</t>
        </is>
      </c>
      <c r="AM49" s="48" t="inlineStr">
        <is>
          <t>NA</t>
        </is>
      </c>
      <c r="AN49" s="48" t="inlineStr">
        <is>
          <t>NA - Tutor</t>
        </is>
      </c>
      <c r="AO49" s="48" t="inlineStr">
        <is>
          <t>Outstanding</t>
        </is>
      </c>
      <c r="AP49" s="48" t="inlineStr">
        <is>
          <t>Australia</t>
        </is>
      </c>
      <c r="AQ49" s="48" t="inlineStr">
        <is>
          <t>NA</t>
        </is>
      </c>
      <c r="AR49" s="48" t="inlineStr">
        <is>
          <t>Farsi (C2)</t>
        </is>
      </c>
      <c r="AS49" s="48" t="inlineStr">
        <is>
          <t>Christian (Catholic)</t>
        </is>
      </c>
      <c r="AT49" s="48" t="inlineStr">
        <is>
          <t>Hospitality &amp; Retail</t>
        </is>
      </c>
      <c r="AU49" s="48" t="inlineStr">
        <is>
          <t>Aged Care Worker</t>
        </is>
      </c>
      <c r="AV49" s="48" t="inlineStr">
        <is>
          <t>NA - Tutor</t>
        </is>
      </c>
      <c r="AW49" s="48" t="inlineStr">
        <is>
          <t>Reading; Politics; Music</t>
        </is>
      </c>
      <c r="AX49" s="48" t="inlineStr">
        <is>
          <t>NA - Tutor</t>
        </is>
      </c>
      <c r="AY49" s="48" t="inlineStr">
        <is>
          <t>NA - Partner Organisation Verified</t>
        </is>
      </c>
      <c r="AZ49" s="48" t="inlineStr">
        <is>
          <t>Yes</t>
        </is>
      </c>
      <c r="BA49" s="48" t="inlineStr">
        <is>
          <t>Camila Jones</t>
        </is>
      </c>
      <c r="BB49" s="48" t="inlineStr">
        <is>
          <t>Manager</t>
        </is>
      </c>
      <c r="BC49" s="48" t="inlineStr">
        <is>
          <t>carlos.wright547@example.com</t>
        </is>
      </c>
      <c r="BD49" s="48" t="inlineStr">
        <is>
          <t>Yes</t>
        </is>
      </c>
      <c r="BE49" s="48" t="inlineStr">
        <is>
          <t>WWC1098097V</t>
        </is>
      </c>
      <c r="BF49" s="49" t="n">
        <v>46261</v>
      </c>
      <c r="BG49" s="48" t="inlineStr">
        <is>
          <t>Yes</t>
        </is>
      </c>
      <c r="BH49" s="48" t="inlineStr">
        <is>
          <t>Everyone</t>
        </is>
      </c>
      <c r="BI49" s="48" t="inlineStr">
        <is>
          <t>University of Sydney (including St. Paul's College)</t>
        </is>
      </c>
      <c r="BJ49" s="48" t="inlineStr">
        <is>
          <t>NUICH Curtis</t>
        </is>
      </c>
      <c r="BK49" s="48" t="inlineStr">
        <is>
          <t>NUICH Curtis</t>
        </is>
      </c>
      <c r="BL49" s="48" t="inlineStr">
        <is>
          <t>Synthetic test record.</t>
        </is>
      </c>
      <c r="BM49" s="48" t="inlineStr"/>
      <c r="BN49" s="48">
        <f>TRIM(IF(AND($H49="Student",$J49="ADM-ACT-MAT-CNE"),"Invalid: Student cannot be CNE. ","")&amp;IF(AND($H49="Student",ISNUMBER($O49)),"Check: capacity set for a Student. ","")&amp;IF(AND(LEFT($J49,11)="ADM-ACT-MAT",$P49=0),"Check: matched status but 0 active pairings. ","")&amp;IF(AND($H49="Tutor",ISNUMBER($O49),$P49&gt;$O49),"Check: pairings exceed capacity. ","")&amp;IF(AND($BH49="Everyone",NOT(AND($BD49="Yes",$BG49="Yes"))),"Check: approved to tutor children but WWCC not provided/confirmed. ","")&amp;IF(AND($P49&gt;0,NOT(AND(OR(LEFT($AY49,3)="Yes",LEFT($AY49,2)="NA"),OR(LEFT($AZ49,3)="Yes",LEFT($AZ49,2)="NA")))),"Matched but vetting incomplete (interview/reference). ","")&amp;IF(COUNTIF($B$3:$B$600,$B49)&gt;1,"Duplicate participant name. ",""))</f>
        <v/>
      </c>
      <c r="BO49" s="48" t="inlineStr">
        <is>
          <t>S-N-00037</t>
        </is>
      </c>
      <c r="BP49" s="48">
        <f>IFERROR(VLOOKUP(BO49,$A:$B,2,FALSE),"")</f>
        <v/>
      </c>
      <c r="BQ49" s="49" t="n">
        <v>45931</v>
      </c>
      <c r="BR49" s="48" t="inlineStr"/>
      <c r="BS49" s="48" t="n">
        <v>1.5</v>
      </c>
      <c r="BT49" s="48" t="inlineStr">
        <is>
          <t>THET Moh Moh</t>
        </is>
      </c>
      <c r="BU49" s="48" t="inlineStr">
        <is>
          <t>S-O-00030</t>
        </is>
      </c>
      <c r="BV49" s="48">
        <f>IFERROR(VLOOKUP(BU49,$A:$B,2,FALSE),"")</f>
        <v/>
      </c>
      <c r="BW49" s="49" t="n">
        <v>45600</v>
      </c>
      <c r="BX49" s="49" t="n">
        <v>45854</v>
      </c>
      <c r="BY49" s="48" t="n">
        <v>1</v>
      </c>
      <c r="BZ49" s="48" t="inlineStr">
        <is>
          <t>ZULMAN Levi</t>
        </is>
      </c>
      <c r="CA49" s="48" t="inlineStr"/>
      <c r="CB49" s="48" t="inlineStr"/>
      <c r="CC49" s="48" t="inlineStr"/>
      <c r="CD49" s="48" t="inlineStr"/>
      <c r="CE49" s="48" t="inlineStr"/>
      <c r="CF49" s="48" t="inlineStr"/>
      <c r="CG49" s="48" t="inlineStr"/>
      <c r="CH49" s="48" t="inlineStr"/>
      <c r="CI49" s="48" t="inlineStr"/>
      <c r="CJ49" s="48" t="inlineStr"/>
      <c r="CK49" s="48" t="inlineStr"/>
      <c r="CL49" s="48" t="inlineStr"/>
      <c r="CM49" s="48" t="inlineStr"/>
      <c r="CN49" s="48" t="inlineStr"/>
      <c r="CO49" s="48" t="inlineStr"/>
      <c r="CP49" s="48" t="inlineStr"/>
      <c r="CQ49" s="48" t="inlineStr"/>
      <c r="CR49" s="48" t="inlineStr"/>
      <c r="CS49" s="48">
        <f>IF(LEFT($J49,3)="ERR",0,1)</f>
        <v/>
      </c>
      <c r="CT49" s="48">
        <f>IF(LEFT($J49,3)="ADM",1,0)</f>
        <v/>
      </c>
      <c r="CU49" s="48">
        <f>IF(OR($J49="ADM-ACT-MAT-CNE",$J49="ADM-ACT-MAT-CE",$J49="ADM-INACT-M&amp;T"),1,0)</f>
        <v/>
      </c>
      <c r="CV49" s="48">
        <f>IF(AND(CU49=1,ISNUMBER(M49),ISNUMBER(I49)),M49-I49,"")</f>
        <v/>
      </c>
      <c r="CW49" s="48">
        <f>IF(ISNUMBER(I49),TODAY()-I49,"")</f>
        <v/>
      </c>
      <c r="CX49" s="48">
        <f>IF(ISNUMBER(I49),DATE(YEAR(I49),MONTH(I49),1),"")</f>
        <v/>
      </c>
      <c r="CY49" s="48">
        <f>IFERROR(DATEDIF(AK49,TODAY(),"y"),"")</f>
        <v/>
      </c>
      <c r="CZ49" s="48">
        <f>IF(CY49="","",IF(CY49&lt;28,"18-27",IF(CY49&lt;38,"28-37",IF(CY49&lt;48,"38-47",IF(CY49&lt;58,"48-57",IF(CY49&lt;68,"58-67",IF(CY49&lt;78,"68-77","78+")))))) </f>
        <v/>
      </c>
      <c r="DA49" s="48">
        <f>IF(AND(BQ49&lt;&gt;"",BR49=""),N(BS49),0)+IF(AND(BW49&lt;&gt;"",BX49=""),N(BY49),0)+IF(AND(CC49&lt;&gt;"",CD49=""),N(CE49),0)+IF(AND(CI49&lt;&gt;"",CJ49=""),N(CK49),0)+IF(AND(CO49&lt;&gt;"",CP49=""),N(CQ49),0)</f>
        <v/>
      </c>
      <c r="DB49" s="48">
        <f>ROUND(IF(BQ49&lt;&gt;"",N(BS49)*MAX(0,((IF(BR49="",TODAY(),BR49))-BQ49)/7),0)+IF(BW49&lt;&gt;"",N(BY49)*MAX(0,((IF(BX49="",TODAY(),BX49))-BW49)/7),0)+IF(CC49&lt;&gt;"",N(CE49)*MAX(0,((IF(CD49="",TODAY(),CD49))-CC49)/7),0)+IF(CI49&lt;&gt;"",N(CK49)*MAX(0,((IF(CJ49="",TODAY(),CJ49))-CI49)/7),0)+IF(CO49&lt;&gt;"",N(CQ49)*MAX(0,((IF(CP49="",TODAY(),CP49))-CO49)/7),0),1)</f>
        <v/>
      </c>
      <c r="DC49" s="48">
        <f>IF(OR(TRIM(X49)="",TRIM(X49)="NA;",TRIM(X49)="NA"),0,1)</f>
        <v/>
      </c>
      <c r="DD49" s="48">
        <f>IF(OR(TRIM(Y49)="",TRIM(Y49)="NA;",TRIM(Y49)="NA"),0,1)</f>
        <v/>
      </c>
      <c r="DE49" s="48">
        <f>IF(OR(TRIM(Z49)="",TRIM(Z49)="NA;",TRIM(Z49)="NA"),0,1)</f>
        <v/>
      </c>
      <c r="DF49" s="48">
        <f>IF(OR(TRIM(AA49)="",TRIM(AA49)="NA;",TRIM(AA49)="NA"),0,1)</f>
        <v/>
      </c>
      <c r="DG49" s="48">
        <f>IF(OR(TRIM(AB49)="",TRIM(AB49)="NA;",TRIM(AB49)="NA"),0,1)</f>
        <v/>
      </c>
      <c r="DH49" s="48">
        <f>IF(OR(TRIM(AC49)="",TRIM(AC49)="NA;",TRIM(AC49)="NA"),0,1)</f>
        <v/>
      </c>
      <c r="DI49" s="48">
        <f>IF(OR(TRIM(AD49)="",TRIM(AD49)="NA;",TRIM(AD49)="NA"),0,1)</f>
        <v/>
      </c>
      <c r="DJ49" s="48">
        <f>TRIM(IF(DC49=1,"Mon ","")&amp;IF(DD49=1,"Tue ","")&amp;IF(DE49=1,"Wed ","")&amp;IF(DF49=1,"Thu ","")&amp;IF(DG49=1,"Fri ","")&amp;IF(DH49=1,"Sat ","")&amp;IF(DI49=1,"Sun ",""))</f>
        <v/>
      </c>
    </row>
    <row r="50">
      <c r="A50" s="48" t="inlineStr">
        <is>
          <t>T-O-00048</t>
        </is>
      </c>
      <c r="B50" s="48" t="inlineStr">
        <is>
          <t>Sara Rafipour</t>
        </is>
      </c>
      <c r="C50" s="48" t="inlineStr">
        <is>
          <t>sara.rafipour48@example.com</t>
        </is>
      </c>
      <c r="D50" s="48" t="inlineStr">
        <is>
          <t>+61 436 506 611</t>
        </is>
      </c>
      <c r="E50" s="48" t="inlineStr">
        <is>
          <t>Mark Baker</t>
        </is>
      </c>
      <c r="F50" s="48" t="inlineStr">
        <is>
          <t>+61 415 131 998</t>
        </is>
      </c>
      <c r="G50" s="48" t="inlineStr">
        <is>
          <t>Spouse</t>
        </is>
      </c>
      <c r="H50" s="48" t="inlineStr">
        <is>
          <t>Tutor</t>
        </is>
      </c>
      <c r="I50" s="49" t="n">
        <v>45580</v>
      </c>
      <c r="J50" s="48" t="inlineStr">
        <is>
          <t>ADM-INACT-NOM&amp;T</t>
        </is>
      </c>
      <c r="K50" s="48">
        <f>IFERROR(VLOOKUP(J50,'(A) Introduction'!$B$35:$C$45,2,FALSE),"")</f>
        <v/>
      </c>
      <c r="L50" s="48" t="inlineStr">
        <is>
          <t>No</t>
        </is>
      </c>
      <c r="M50" s="48" t="inlineStr"/>
      <c r="N50" s="48" t="inlineStr"/>
      <c r="O50" s="48" t="n">
        <v>2</v>
      </c>
      <c r="P50" s="48">
        <f>IF($H50="Tutor",((BQ50&lt;&gt;"")*(BR50=""))+((BW50&lt;&gt;"")*(BX50=""))+((CC50&lt;&gt;"")*(CD50=""))+((CI50&lt;&gt;"")*(CJ50=""))+((CO50&lt;&gt;"")*(CP50="")),SUMPRODUCT(--($BO$3:$BO$202=$A50),--($BR$3:$BR$202=""))+SUMPRODUCT(--($BU$3:$BU$202=$A50),--($BX$3:$BX$202=""))+SUMPRODUCT(--($CA$3:$CA$202=$A50),--($CD$3:$CD$202=""))+SUMPRODUCT(--($CG$3:$CG$202=$A50),--($CJ$3:$CJ$202=""))+SUMPRODUCT(--($CM$3:$CM$202=$A50),--($CP$3:$CP$202="")))</f>
        <v/>
      </c>
      <c r="Q50" s="48">
        <f>IF($H50="Tutor",(BQ50&lt;&gt;"")+(BW50&lt;&gt;"")+(CC50&lt;&gt;"")+(CI50&lt;&gt;"")+(CO50&lt;&gt;""),SUMPRODUCT(--($BO$3:$BO$202=$A50))+SUMPRODUCT(--($BU$3:$BU$202=$A50))+SUMPRODUCT(--($CA$3:$CA$202=$A50))+SUMPRODUCT(--($CG$3:$CG$202=$A50))+SUMPRODUCT(--($CM$3:$CM$202=$A50)))</f>
        <v/>
      </c>
      <c r="R50" s="48">
        <f>IF($H50="Tutor",TRIM(IF(AND(BQ50&lt;&gt;"",BR50=""),BP50&amp;"; ","")&amp;IF(AND(BW50&lt;&gt;"",BX50=""),BV50&amp;"; ","")&amp;IF(AND(CC50&lt;&gt;"",CD50=""),CB50&amp;"; ","")&amp;IF(AND(CI50&lt;&gt;"",CJ50=""),CH50&amp;"; ","")&amp;IF(AND(CO50&lt;&gt;"",CP50=""),CN50&amp;"; ","")),IFERROR(INDEX($A$3:$B$202,(SUMPRODUCT(($BO$3:$BO$202=$A50)*($BR$3:$BR$202="")*ROW($BO$3:$BO$202))+SUMPRODUCT(($BU$3:$BU$202=$A50)*($BX$3:$BX$202="")*ROW($BU$3:$BU$202))+SUMPRODUCT(($CA$3:$CA$202=$A50)*($CD$3:$CD$202="")*ROW($CA$3:$CA$202))+SUMPRODUCT(($CG$3:$CG$202=$A50)*($CJ$3:$CJ$202="")*ROW($CG$3:$CG$202))+SUMPRODUCT(($CM$3:$CM$202=$A50)*($CP$3:$CP$202="")*ROW($CM$3:$CM$202)))-2,2),""))</f>
        <v/>
      </c>
      <c r="S50" s="48" t="inlineStr">
        <is>
          <t>Not Provided</t>
        </is>
      </c>
      <c r="T50" s="48" t="inlineStr"/>
      <c r="U50" s="48" t="inlineStr"/>
      <c r="V50" s="49" t="n">
        <v>45450</v>
      </c>
      <c r="W50" s="48" t="inlineStr">
        <is>
          <t>ACST (UTC+9:30)</t>
        </is>
      </c>
      <c r="X50" s="48" t="inlineStr">
        <is>
          <t>NA;</t>
        </is>
      </c>
      <c r="Y50" s="48" t="inlineStr">
        <is>
          <t>6pm-9pm;</t>
        </is>
      </c>
      <c r="Z50" s="48" t="inlineStr">
        <is>
          <t>12pm-3pm;6pm-9pm;</t>
        </is>
      </c>
      <c r="AA50" s="48" t="inlineStr">
        <is>
          <t>9am-12pm;</t>
        </is>
      </c>
      <c r="AB50" s="48" t="inlineStr">
        <is>
          <t>3pm-6pm;</t>
        </is>
      </c>
      <c r="AC50" s="48" t="inlineStr">
        <is>
          <t>6am-9am;9am-12pm;</t>
        </is>
      </c>
      <c r="AD50" s="48" t="inlineStr">
        <is>
          <t>12pm-3pm;6pm-9pm;</t>
        </is>
      </c>
      <c r="AE50" s="48" t="inlineStr">
        <is>
          <t>In-Person</t>
        </is>
      </c>
      <c r="AF50" s="48" t="inlineStr">
        <is>
          <t>NA - Tutor</t>
        </is>
      </c>
      <c r="AG50" s="48" t="inlineStr">
        <is>
          <t>Australia</t>
        </is>
      </c>
      <c r="AH50" s="48" t="inlineStr">
        <is>
          <t>New South Wales</t>
        </is>
      </c>
      <c r="AI50" s="48" t="inlineStr">
        <is>
          <t>Epping</t>
        </is>
      </c>
      <c r="AJ50" s="48" t="inlineStr">
        <is>
          <t>2121</t>
        </is>
      </c>
      <c r="AK50" s="49" t="n">
        <v>23388</v>
      </c>
      <c r="AL50" s="48" t="inlineStr">
        <is>
          <t>Male</t>
        </is>
      </c>
      <c r="AM50" s="48" t="inlineStr">
        <is>
          <t>NA</t>
        </is>
      </c>
      <c r="AN50" s="48" t="inlineStr">
        <is>
          <t>NA - Tutor</t>
        </is>
      </c>
      <c r="AO50" s="48" t="inlineStr">
        <is>
          <t>Low</t>
        </is>
      </c>
      <c r="AP50" s="48" t="inlineStr">
        <is>
          <t>Egypt</t>
        </is>
      </c>
      <c r="AQ50" s="48" t="inlineStr">
        <is>
          <t>NA</t>
        </is>
      </c>
      <c r="AR50" s="48" t="inlineStr">
        <is>
          <t>English (C2)</t>
        </is>
      </c>
      <c r="AS50" s="48" t="inlineStr">
        <is>
          <t>Christian (Orthodox)</t>
        </is>
      </c>
      <c r="AT50" s="48" t="inlineStr">
        <is>
          <t>Hospitality &amp; Retail</t>
        </is>
      </c>
      <c r="AU50" s="48" t="inlineStr">
        <is>
          <t>Retail</t>
        </is>
      </c>
      <c r="AV50" s="48" t="inlineStr">
        <is>
          <t>NA - Tutor</t>
        </is>
      </c>
      <c r="AW50" s="48" t="inlineStr">
        <is>
          <t>Language learning; Self-development</t>
        </is>
      </c>
      <c r="AX50" s="48" t="inlineStr">
        <is>
          <t>NA - Tutor</t>
        </is>
      </c>
      <c r="AY50" s="48" t="inlineStr">
        <is>
          <t>Yes</t>
        </is>
      </c>
      <c r="AZ50" s="48" t="inlineStr">
        <is>
          <t>NA - Partner Organisation Verified</t>
        </is>
      </c>
      <c r="BA50" s="48" t="inlineStr">
        <is>
          <t>Hala Morris</t>
        </is>
      </c>
      <c r="BB50" s="48" t="inlineStr">
        <is>
          <t>Academic Referee</t>
        </is>
      </c>
      <c r="BC50" s="48" t="inlineStr">
        <is>
          <t>daniel.morris548@example.com</t>
        </is>
      </c>
      <c r="BD50" s="48" t="inlineStr">
        <is>
          <t>Pending</t>
        </is>
      </c>
      <c r="BE50" s="48" t="inlineStr"/>
      <c r="BF50" s="48" t="inlineStr"/>
      <c r="BG50" s="48" t="inlineStr">
        <is>
          <t>Yes</t>
        </is>
      </c>
      <c r="BH50" s="48" t="inlineStr">
        <is>
          <t>Adults Only</t>
        </is>
      </c>
      <c r="BI50" s="48" t="inlineStr">
        <is>
          <t>University of Technology Sydney (including the Brennan Justice Program)</t>
        </is>
      </c>
      <c r="BJ50" s="48" t="inlineStr">
        <is>
          <t>KNIJNIK Marina</t>
        </is>
      </c>
      <c r="BK50" s="48" t="inlineStr">
        <is>
          <t>SINGH Veera</t>
        </is>
      </c>
      <c r="BL50" s="48" t="inlineStr">
        <is>
          <t>Synthetic test record.</t>
        </is>
      </c>
      <c r="BM50" s="48" t="inlineStr"/>
      <c r="BN50" s="48">
        <f>TRIM(IF(AND($H50="Student",$J50="ADM-ACT-MAT-CNE"),"Invalid: Student cannot be CNE. ","")&amp;IF(AND($H50="Student",ISNUMBER($O50)),"Check: capacity set for a Student. ","")&amp;IF(AND(LEFT($J50,11)="ADM-ACT-MAT",$P50=0),"Check: matched status but 0 active pairings. ","")&amp;IF(AND($H50="Tutor",ISNUMBER($O50),$P50&gt;$O50),"Check: pairings exceed capacity. ","")&amp;IF(AND($BH50="Everyone",NOT(AND($BD50="Yes",$BG50="Yes"))),"Check: approved to tutor children but WWCC not provided/confirmed. ","")&amp;IF(AND($P50&gt;0,NOT(AND(OR(LEFT($AY50,3)="Yes",LEFT($AY50,2)="NA"),OR(LEFT($AZ50,3)="Yes",LEFT($AZ50,2)="NA")))),"Matched but vetting incomplete (interview/reference). ","")&amp;IF(COUNTIF($B$3:$B$600,$B50)&gt;1,"Duplicate participant name. ",""))</f>
        <v/>
      </c>
      <c r="BO50" s="48" t="inlineStr"/>
      <c r="BP50" s="48" t="inlineStr"/>
      <c r="BQ50" s="48" t="inlineStr"/>
      <c r="BR50" s="48" t="inlineStr"/>
      <c r="BS50" s="48" t="inlineStr"/>
      <c r="BT50" s="48" t="inlineStr"/>
      <c r="BU50" s="48" t="inlineStr"/>
      <c r="BV50" s="48" t="inlineStr"/>
      <c r="BW50" s="48" t="inlineStr"/>
      <c r="BX50" s="48" t="inlineStr"/>
      <c r="BY50" s="48" t="inlineStr"/>
      <c r="BZ50" s="48" t="inlineStr"/>
      <c r="CA50" s="48" t="inlineStr"/>
      <c r="CB50" s="48" t="inlineStr"/>
      <c r="CC50" s="48" t="inlineStr"/>
      <c r="CD50" s="48" t="inlineStr"/>
      <c r="CE50" s="48" t="inlineStr"/>
      <c r="CF50" s="48" t="inlineStr"/>
      <c r="CG50" s="48" t="inlineStr"/>
      <c r="CH50" s="48" t="inlineStr"/>
      <c r="CI50" s="48" t="inlineStr"/>
      <c r="CJ50" s="48" t="inlineStr"/>
      <c r="CK50" s="48" t="inlineStr"/>
      <c r="CL50" s="48" t="inlineStr"/>
      <c r="CM50" s="48" t="inlineStr"/>
      <c r="CN50" s="48" t="inlineStr"/>
      <c r="CO50" s="48" t="inlineStr"/>
      <c r="CP50" s="48" t="inlineStr"/>
      <c r="CQ50" s="48" t="inlineStr"/>
      <c r="CR50" s="48" t="inlineStr"/>
      <c r="CS50" s="48">
        <f>IF(LEFT($J50,3)="ERR",0,1)</f>
        <v/>
      </c>
      <c r="CT50" s="48">
        <f>IF(LEFT($J50,3)="ADM",1,0)</f>
        <v/>
      </c>
      <c r="CU50" s="48">
        <f>IF(OR($J50="ADM-ACT-MAT-CNE",$J50="ADM-ACT-MAT-CE",$J50="ADM-INACT-M&amp;T"),1,0)</f>
        <v/>
      </c>
      <c r="CV50" s="48">
        <f>IF(AND(CU50=1,ISNUMBER(M50),ISNUMBER(I50)),M50-I50,"")</f>
        <v/>
      </c>
      <c r="CW50" s="48">
        <f>IF(ISNUMBER(I50),TODAY()-I50,"")</f>
        <v/>
      </c>
      <c r="CX50" s="48">
        <f>IF(ISNUMBER(I50),DATE(YEAR(I50),MONTH(I50),1),"")</f>
        <v/>
      </c>
      <c r="CY50" s="48">
        <f>IFERROR(DATEDIF(AK50,TODAY(),"y"),"")</f>
        <v/>
      </c>
      <c r="CZ50" s="48">
        <f>IF(CY50="","",IF(CY50&lt;28,"18-27",IF(CY50&lt;38,"28-37",IF(CY50&lt;48,"38-47",IF(CY50&lt;58,"48-57",IF(CY50&lt;68,"58-67",IF(CY50&lt;78,"68-77","78+")))))) </f>
        <v/>
      </c>
      <c r="DA50" s="48">
        <f>IF(AND(BQ50&lt;&gt;"",BR50=""),N(BS50),0)+IF(AND(BW50&lt;&gt;"",BX50=""),N(BY50),0)+IF(AND(CC50&lt;&gt;"",CD50=""),N(CE50),0)+IF(AND(CI50&lt;&gt;"",CJ50=""),N(CK50),0)+IF(AND(CO50&lt;&gt;"",CP50=""),N(CQ50),0)</f>
        <v/>
      </c>
      <c r="DB50" s="48">
        <f>ROUND(IF(BQ50&lt;&gt;"",N(BS50)*MAX(0,((IF(BR50="",TODAY(),BR50))-BQ50)/7),0)+IF(BW50&lt;&gt;"",N(BY50)*MAX(0,((IF(BX50="",TODAY(),BX50))-BW50)/7),0)+IF(CC50&lt;&gt;"",N(CE50)*MAX(0,((IF(CD50="",TODAY(),CD50))-CC50)/7),0)+IF(CI50&lt;&gt;"",N(CK50)*MAX(0,((IF(CJ50="",TODAY(),CJ50))-CI50)/7),0)+IF(CO50&lt;&gt;"",N(CQ50)*MAX(0,((IF(CP50="",TODAY(),CP50))-CO50)/7),0),1)</f>
        <v/>
      </c>
      <c r="DC50" s="48">
        <f>IF(OR(TRIM(X50)="",TRIM(X50)="NA;",TRIM(X50)="NA"),0,1)</f>
        <v/>
      </c>
      <c r="DD50" s="48">
        <f>IF(OR(TRIM(Y50)="",TRIM(Y50)="NA;",TRIM(Y50)="NA"),0,1)</f>
        <v/>
      </c>
      <c r="DE50" s="48">
        <f>IF(OR(TRIM(Z50)="",TRIM(Z50)="NA;",TRIM(Z50)="NA"),0,1)</f>
        <v/>
      </c>
      <c r="DF50" s="48">
        <f>IF(OR(TRIM(AA50)="",TRIM(AA50)="NA;",TRIM(AA50)="NA"),0,1)</f>
        <v/>
      </c>
      <c r="DG50" s="48">
        <f>IF(OR(TRIM(AB50)="",TRIM(AB50)="NA;",TRIM(AB50)="NA"),0,1)</f>
        <v/>
      </c>
      <c r="DH50" s="48">
        <f>IF(OR(TRIM(AC50)="",TRIM(AC50)="NA;",TRIM(AC50)="NA"),0,1)</f>
        <v/>
      </c>
      <c r="DI50" s="48">
        <f>IF(OR(TRIM(AD50)="",TRIM(AD50)="NA;",TRIM(AD50)="NA"),0,1)</f>
        <v/>
      </c>
      <c r="DJ50" s="48">
        <f>TRIM(IF(DC50=1,"Mon ","")&amp;IF(DD50=1,"Tue ","")&amp;IF(DE50=1,"Wed ","")&amp;IF(DF50=1,"Thu ","")&amp;IF(DG50=1,"Fri ","")&amp;IF(DH50=1,"Sat ","")&amp;IF(DI50=1,"Sun ",""))</f>
        <v/>
      </c>
    </row>
    <row r="51">
      <c r="A51" s="48" t="inlineStr">
        <is>
          <t>T-O-00049</t>
        </is>
      </c>
      <c r="B51" s="48" t="inlineStr">
        <is>
          <t>Ava Petrov</t>
        </is>
      </c>
      <c r="C51" s="48" t="inlineStr">
        <is>
          <t>ava.petrov49@example.com</t>
        </is>
      </c>
      <c r="D51" s="48" t="inlineStr">
        <is>
          <t>+61 477 521 411</t>
        </is>
      </c>
      <c r="E51" s="48" t="inlineStr">
        <is>
          <t>Grace Bourne</t>
        </is>
      </c>
      <c r="F51" s="48" t="inlineStr">
        <is>
          <t>+61 460 835 017</t>
        </is>
      </c>
      <c r="G51" s="48" t="inlineStr">
        <is>
          <t>Sibling</t>
        </is>
      </c>
      <c r="H51" s="48" t="inlineStr">
        <is>
          <t>Tutor</t>
        </is>
      </c>
      <c r="I51" s="49" t="n">
        <v>45580</v>
      </c>
      <c r="J51" s="48" t="inlineStr">
        <is>
          <t>ADM-ACT-MAT-CNE</t>
        </is>
      </c>
      <c r="K51" s="48">
        <f>IFERROR(VLOOKUP(J51,'(A) Introduction'!$B$35:$C$45,2,FALSE),"")</f>
        <v/>
      </c>
      <c r="L51" s="48" t="inlineStr">
        <is>
          <t>No</t>
        </is>
      </c>
      <c r="M51" s="48" t="inlineStr"/>
      <c r="N51" s="48" t="inlineStr"/>
      <c r="O51" s="48" t="n">
        <v>2</v>
      </c>
      <c r="P51" s="48">
        <f>IF($H51="Tutor",((BQ51&lt;&gt;"")*(BR51=""))+((BW51&lt;&gt;"")*(BX51=""))+((CC51&lt;&gt;"")*(CD51=""))+((CI51&lt;&gt;"")*(CJ51=""))+((CO51&lt;&gt;"")*(CP51="")),SUMPRODUCT(--($BO$3:$BO$202=$A51),--($BR$3:$BR$202=""))+SUMPRODUCT(--($BU$3:$BU$202=$A51),--($BX$3:$BX$202=""))+SUMPRODUCT(--($CA$3:$CA$202=$A51),--($CD$3:$CD$202=""))+SUMPRODUCT(--($CG$3:$CG$202=$A51),--($CJ$3:$CJ$202=""))+SUMPRODUCT(--($CM$3:$CM$202=$A51),--($CP$3:$CP$202="")))</f>
        <v/>
      </c>
      <c r="Q51" s="48">
        <f>IF($H51="Tutor",(BQ51&lt;&gt;"")+(BW51&lt;&gt;"")+(CC51&lt;&gt;"")+(CI51&lt;&gt;"")+(CO51&lt;&gt;""),SUMPRODUCT(--($BO$3:$BO$202=$A51))+SUMPRODUCT(--($BU$3:$BU$202=$A51))+SUMPRODUCT(--($CA$3:$CA$202=$A51))+SUMPRODUCT(--($CG$3:$CG$202=$A51))+SUMPRODUCT(--($CM$3:$CM$202=$A51)))</f>
        <v/>
      </c>
      <c r="R51" s="48">
        <f>IF($H51="Tutor",TRIM(IF(AND(BQ51&lt;&gt;"",BR51=""),BP51&amp;"; ","")&amp;IF(AND(BW51&lt;&gt;"",BX51=""),BV51&amp;"; ","")&amp;IF(AND(CC51&lt;&gt;"",CD51=""),CB51&amp;"; ","")&amp;IF(AND(CI51&lt;&gt;"",CJ51=""),CH51&amp;"; ","")&amp;IF(AND(CO51&lt;&gt;"",CP51=""),CN51&amp;"; ","")),IFERROR(INDEX($A$3:$B$202,(SUMPRODUCT(($BO$3:$BO$202=$A51)*($BR$3:$BR$202="")*ROW($BO$3:$BO$202))+SUMPRODUCT(($BU$3:$BU$202=$A51)*($BX$3:$BX$202="")*ROW($BU$3:$BU$202))+SUMPRODUCT(($CA$3:$CA$202=$A51)*($CD$3:$CD$202="")*ROW($CA$3:$CA$202))+SUMPRODUCT(($CG$3:$CG$202=$A51)*($CJ$3:$CJ$202="")*ROW($CG$3:$CG$202))+SUMPRODUCT(($CM$3:$CM$202=$A51)*($CP$3:$CP$202="")*ROW($CM$3:$CM$202)))-2,2),""))</f>
        <v/>
      </c>
      <c r="S51" s="48" t="inlineStr">
        <is>
          <t>Provided</t>
        </is>
      </c>
      <c r="T51" s="48" t="inlineStr"/>
      <c r="U51" s="48" t="inlineStr"/>
      <c r="V51" s="49" t="n">
        <v>45801</v>
      </c>
      <c r="W51" s="48" t="inlineStr">
        <is>
          <t>AEST (UTC+10)</t>
        </is>
      </c>
      <c r="X51" s="48" t="inlineStr">
        <is>
          <t>NA;</t>
        </is>
      </c>
      <c r="Y51" s="48" t="inlineStr">
        <is>
          <t>9am-12pm;</t>
        </is>
      </c>
      <c r="Z51" s="48" t="inlineStr">
        <is>
          <t>6am-9am;9am-12pm;</t>
        </is>
      </c>
      <c r="AA51" s="48" t="inlineStr">
        <is>
          <t>6pm-9pm;</t>
        </is>
      </c>
      <c r="AB51" s="48" t="inlineStr">
        <is>
          <t>9am-12pm;12pm-3pm;3pm-6pm;</t>
        </is>
      </c>
      <c r="AC51" s="48" t="inlineStr">
        <is>
          <t>6pm-9pm;</t>
        </is>
      </c>
      <c r="AD51" s="48" t="inlineStr">
        <is>
          <t>9am-12pm;</t>
        </is>
      </c>
      <c r="AE51" s="48" t="inlineStr">
        <is>
          <t>Either</t>
        </is>
      </c>
      <c r="AF51" s="48" t="inlineStr">
        <is>
          <t>NA - Tutor</t>
        </is>
      </c>
      <c r="AG51" s="48" t="inlineStr">
        <is>
          <t>Australia</t>
        </is>
      </c>
      <c r="AH51" s="48" t="inlineStr">
        <is>
          <t>New South Wales</t>
        </is>
      </c>
      <c r="AI51" s="48" t="inlineStr">
        <is>
          <t>Campsie</t>
        </is>
      </c>
      <c r="AJ51" s="48" t="inlineStr">
        <is>
          <t>2194</t>
        </is>
      </c>
      <c r="AK51" s="49" t="n">
        <v>37280</v>
      </c>
      <c r="AL51" s="48" t="inlineStr">
        <is>
          <t>Other</t>
        </is>
      </c>
      <c r="AM51" s="48" t="inlineStr">
        <is>
          <t>NA</t>
        </is>
      </c>
      <c r="AN51" s="48" t="inlineStr">
        <is>
          <t>NA - Tutor</t>
        </is>
      </c>
      <c r="AO51" s="48" t="inlineStr">
        <is>
          <t>Moderate</t>
        </is>
      </c>
      <c r="AP51" s="48" t="inlineStr">
        <is>
          <t>India</t>
        </is>
      </c>
      <c r="AQ51" s="48" t="inlineStr">
        <is>
          <t>NA</t>
        </is>
      </c>
      <c r="AR51" s="48" t="inlineStr">
        <is>
          <t>English (C2)</t>
        </is>
      </c>
      <c r="AS51" s="48" t="inlineStr">
        <is>
          <t>Buddhist</t>
        </is>
      </c>
      <c r="AT51" s="48" t="inlineStr">
        <is>
          <t>Childcare &amp; Aged Care</t>
        </is>
      </c>
      <c r="AU51" s="48" t="inlineStr">
        <is>
          <t>Cleaner</t>
        </is>
      </c>
      <c r="AV51" s="48" t="inlineStr">
        <is>
          <t>NA - Tutor</t>
        </is>
      </c>
      <c r="AW51" s="48" t="inlineStr">
        <is>
          <t>Football; Cooking; Family</t>
        </is>
      </c>
      <c r="AX51" s="48" t="inlineStr">
        <is>
          <t>NA - Tutor</t>
        </is>
      </c>
      <c r="AY51" s="48" t="inlineStr">
        <is>
          <t>NA - Partner Organisation Verified</t>
        </is>
      </c>
      <c r="AZ51" s="48" t="inlineStr">
        <is>
          <t>No</t>
        </is>
      </c>
      <c r="BA51" s="48" t="inlineStr">
        <is>
          <t>Reza Khan</t>
        </is>
      </c>
      <c r="BB51" s="48" t="inlineStr">
        <is>
          <t>Friend</t>
        </is>
      </c>
      <c r="BC51" s="48" t="inlineStr">
        <is>
          <t>peter.bourne549@example.com</t>
        </is>
      </c>
      <c r="BD51" s="48" t="inlineStr">
        <is>
          <t>Pending</t>
        </is>
      </c>
      <c r="BE51" s="48" t="inlineStr"/>
      <c r="BF51" s="48" t="inlineStr"/>
      <c r="BG51" s="48" t="inlineStr">
        <is>
          <t>No</t>
        </is>
      </c>
      <c r="BH51" s="48" t="inlineStr">
        <is>
          <t>Adults Only</t>
        </is>
      </c>
      <c r="BI51" s="48" t="inlineStr">
        <is>
          <t>University of Technology Sydney (including the Brennan Justice Program)</t>
        </is>
      </c>
      <c r="BJ51" s="48" t="inlineStr">
        <is>
          <t>NUICH Curtis</t>
        </is>
      </c>
      <c r="BK51" s="48" t="inlineStr">
        <is>
          <t>ZULMAN Levi</t>
        </is>
      </c>
      <c r="BL51" s="48" t="inlineStr">
        <is>
          <t>Synthetic test record.</t>
        </is>
      </c>
      <c r="BM51" s="48" t="inlineStr"/>
      <c r="BN51" s="48">
        <f>TRIM(IF(AND($H51="Student",$J51="ADM-ACT-MAT-CNE"),"Invalid: Student cannot be CNE. ","")&amp;IF(AND($H51="Student",ISNUMBER($O51)),"Check: capacity set for a Student. ","")&amp;IF(AND(LEFT($J51,11)="ADM-ACT-MAT",$P51=0),"Check: matched status but 0 active pairings. ","")&amp;IF(AND($H51="Tutor",ISNUMBER($O51),$P51&gt;$O51),"Check: pairings exceed capacity. ","")&amp;IF(AND($BH51="Everyone",NOT(AND($BD51="Yes",$BG51="Yes"))),"Check: approved to tutor children but WWCC not provided/confirmed. ","")&amp;IF(AND($P51&gt;0,NOT(AND(OR(LEFT($AY51,3)="Yes",LEFT($AY51,2)="NA"),OR(LEFT($AZ51,3)="Yes",LEFT($AZ51,2)="NA")))),"Matched but vetting incomplete (interview/reference). ","")&amp;IF(COUNTIF($B$3:$B$600,$B51)&gt;1,"Duplicate participant name. ",""))</f>
        <v/>
      </c>
      <c r="BO51" s="48" t="inlineStr">
        <is>
          <t>S-N-00039</t>
        </is>
      </c>
      <c r="BP51" s="48">
        <f>IFERROR(VLOOKUP(BO51,$A:$B,2,FALSE),"")</f>
        <v/>
      </c>
      <c r="BQ51" s="49" t="n">
        <v>45959</v>
      </c>
      <c r="BR51" s="48" t="inlineStr"/>
      <c r="BS51" s="48" t="n">
        <v>1.5</v>
      </c>
      <c r="BT51" s="48" t="inlineStr">
        <is>
          <t>MCCLELLAND Reeve</t>
        </is>
      </c>
      <c r="BU51" s="48" t="inlineStr"/>
      <c r="BV51" s="48" t="inlineStr"/>
      <c r="BW51" s="48" t="inlineStr"/>
      <c r="BX51" s="48" t="inlineStr"/>
      <c r="BY51" s="48" t="inlineStr"/>
      <c r="BZ51" s="48" t="inlineStr"/>
      <c r="CA51" s="48" t="inlineStr"/>
      <c r="CB51" s="48" t="inlineStr"/>
      <c r="CC51" s="48" t="inlineStr"/>
      <c r="CD51" s="48" t="inlineStr"/>
      <c r="CE51" s="48" t="inlineStr"/>
      <c r="CF51" s="48" t="inlineStr"/>
      <c r="CG51" s="48" t="inlineStr"/>
      <c r="CH51" s="48" t="inlineStr"/>
      <c r="CI51" s="48" t="inlineStr"/>
      <c r="CJ51" s="48" t="inlineStr"/>
      <c r="CK51" s="48" t="inlineStr"/>
      <c r="CL51" s="48" t="inlineStr"/>
      <c r="CM51" s="48" t="inlineStr"/>
      <c r="CN51" s="48" t="inlineStr"/>
      <c r="CO51" s="48" t="inlineStr"/>
      <c r="CP51" s="48" t="inlineStr"/>
      <c r="CQ51" s="48" t="inlineStr"/>
      <c r="CR51" s="48" t="inlineStr"/>
      <c r="CS51" s="48">
        <f>IF(LEFT($J51,3)="ERR",0,1)</f>
        <v/>
      </c>
      <c r="CT51" s="48">
        <f>IF(LEFT($J51,3)="ADM",1,0)</f>
        <v/>
      </c>
      <c r="CU51" s="48">
        <f>IF(OR($J51="ADM-ACT-MAT-CNE",$J51="ADM-ACT-MAT-CE",$J51="ADM-INACT-M&amp;T"),1,0)</f>
        <v/>
      </c>
      <c r="CV51" s="48">
        <f>IF(AND(CU51=1,ISNUMBER(M51),ISNUMBER(I51)),M51-I51,"")</f>
        <v/>
      </c>
      <c r="CW51" s="48">
        <f>IF(ISNUMBER(I51),TODAY()-I51,"")</f>
        <v/>
      </c>
      <c r="CX51" s="48">
        <f>IF(ISNUMBER(I51),DATE(YEAR(I51),MONTH(I51),1),"")</f>
        <v/>
      </c>
      <c r="CY51" s="48">
        <f>IFERROR(DATEDIF(AK51,TODAY(),"y"),"")</f>
        <v/>
      </c>
      <c r="CZ51" s="48">
        <f>IF(CY51="","",IF(CY51&lt;28,"18-27",IF(CY51&lt;38,"28-37",IF(CY51&lt;48,"38-47",IF(CY51&lt;58,"48-57",IF(CY51&lt;68,"58-67",IF(CY51&lt;78,"68-77","78+")))))) </f>
        <v/>
      </c>
      <c r="DA51" s="48">
        <f>IF(AND(BQ51&lt;&gt;"",BR51=""),N(BS51),0)+IF(AND(BW51&lt;&gt;"",BX51=""),N(BY51),0)+IF(AND(CC51&lt;&gt;"",CD51=""),N(CE51),0)+IF(AND(CI51&lt;&gt;"",CJ51=""),N(CK51),0)+IF(AND(CO51&lt;&gt;"",CP51=""),N(CQ51),0)</f>
        <v/>
      </c>
      <c r="DB51" s="48">
        <f>ROUND(IF(BQ51&lt;&gt;"",N(BS51)*MAX(0,((IF(BR51="",TODAY(),BR51))-BQ51)/7),0)+IF(BW51&lt;&gt;"",N(BY51)*MAX(0,((IF(BX51="",TODAY(),BX51))-BW51)/7),0)+IF(CC51&lt;&gt;"",N(CE51)*MAX(0,((IF(CD51="",TODAY(),CD51))-CC51)/7),0)+IF(CI51&lt;&gt;"",N(CK51)*MAX(0,((IF(CJ51="",TODAY(),CJ51))-CI51)/7),0)+IF(CO51&lt;&gt;"",N(CQ51)*MAX(0,((IF(CP51="",TODAY(),CP51))-CO51)/7),0),1)</f>
        <v/>
      </c>
      <c r="DC51" s="48">
        <f>IF(OR(TRIM(X51)="",TRIM(X51)="NA;",TRIM(X51)="NA"),0,1)</f>
        <v/>
      </c>
      <c r="DD51" s="48">
        <f>IF(OR(TRIM(Y51)="",TRIM(Y51)="NA;",TRIM(Y51)="NA"),0,1)</f>
        <v/>
      </c>
      <c r="DE51" s="48">
        <f>IF(OR(TRIM(Z51)="",TRIM(Z51)="NA;",TRIM(Z51)="NA"),0,1)</f>
        <v/>
      </c>
      <c r="DF51" s="48">
        <f>IF(OR(TRIM(AA51)="",TRIM(AA51)="NA;",TRIM(AA51)="NA"),0,1)</f>
        <v/>
      </c>
      <c r="DG51" s="48">
        <f>IF(OR(TRIM(AB51)="",TRIM(AB51)="NA;",TRIM(AB51)="NA"),0,1)</f>
        <v/>
      </c>
      <c r="DH51" s="48">
        <f>IF(OR(TRIM(AC51)="",TRIM(AC51)="NA;",TRIM(AC51)="NA"),0,1)</f>
        <v/>
      </c>
      <c r="DI51" s="48">
        <f>IF(OR(TRIM(AD51)="",TRIM(AD51)="NA;",TRIM(AD51)="NA"),0,1)</f>
        <v/>
      </c>
      <c r="DJ51" s="48">
        <f>TRIM(IF(DC51=1,"Mon ","")&amp;IF(DD51=1,"Tue ","")&amp;IF(DE51=1,"Wed ","")&amp;IF(DF51=1,"Thu ","")&amp;IF(DG51=1,"Fri ","")&amp;IF(DH51=1,"Sat ","")&amp;IF(DI51=1,"Sun ",""))</f>
        <v/>
      </c>
    </row>
    <row r="52">
      <c r="A52" s="48" t="inlineStr">
        <is>
          <t>T-O-00050</t>
        </is>
      </c>
      <c r="B52" s="48" t="inlineStr">
        <is>
          <t>Chloe Drobushar</t>
        </is>
      </c>
      <c r="C52" s="48" t="inlineStr">
        <is>
          <t>chloe.drobushar50@example.com</t>
        </is>
      </c>
      <c r="D52" s="48" t="inlineStr">
        <is>
          <t>+61 460 271 990</t>
        </is>
      </c>
      <c r="E52" s="48" t="inlineStr">
        <is>
          <t>Dmytro Ali</t>
        </is>
      </c>
      <c r="F52" s="48" t="inlineStr">
        <is>
          <t>+61 466 212 574</t>
        </is>
      </c>
      <c r="G52" s="48" t="inlineStr">
        <is>
          <t>Sibling</t>
        </is>
      </c>
      <c r="H52" s="48" t="inlineStr">
        <is>
          <t>Tutor</t>
        </is>
      </c>
      <c r="I52" s="49" t="n">
        <v>45592</v>
      </c>
      <c r="J52" s="48" t="inlineStr">
        <is>
          <t>NADM-UNP</t>
        </is>
      </c>
      <c r="K52" s="48">
        <f>IFERROR(VLOOKUP(J52,'(A) Introduction'!$B$35:$C$45,2,FALSE),"")</f>
        <v/>
      </c>
      <c r="L52" s="48" t="inlineStr">
        <is>
          <t>No</t>
        </is>
      </c>
      <c r="M52" s="48" t="inlineStr"/>
      <c r="N52" s="48" t="inlineStr"/>
      <c r="O52" s="48" t="n">
        <v>3</v>
      </c>
      <c r="P52" s="48">
        <f>IF($H52="Tutor",((BQ52&lt;&gt;"")*(BR52=""))+((BW52&lt;&gt;"")*(BX52=""))+((CC52&lt;&gt;"")*(CD52=""))+((CI52&lt;&gt;"")*(CJ52=""))+((CO52&lt;&gt;"")*(CP52="")),SUMPRODUCT(--($BO$3:$BO$202=$A52),--($BR$3:$BR$202=""))+SUMPRODUCT(--($BU$3:$BU$202=$A52),--($BX$3:$BX$202=""))+SUMPRODUCT(--($CA$3:$CA$202=$A52),--($CD$3:$CD$202=""))+SUMPRODUCT(--($CG$3:$CG$202=$A52),--($CJ$3:$CJ$202=""))+SUMPRODUCT(--($CM$3:$CM$202=$A52),--($CP$3:$CP$202="")))</f>
        <v/>
      </c>
      <c r="Q52" s="48">
        <f>IF($H52="Tutor",(BQ52&lt;&gt;"")+(BW52&lt;&gt;"")+(CC52&lt;&gt;"")+(CI52&lt;&gt;"")+(CO52&lt;&gt;""),SUMPRODUCT(--($BO$3:$BO$202=$A52))+SUMPRODUCT(--($BU$3:$BU$202=$A52))+SUMPRODUCT(--($CA$3:$CA$202=$A52))+SUMPRODUCT(--($CG$3:$CG$202=$A52))+SUMPRODUCT(--($CM$3:$CM$202=$A52)))</f>
        <v/>
      </c>
      <c r="R52" s="48">
        <f>IF($H52="Tutor",TRIM(IF(AND(BQ52&lt;&gt;"",BR52=""),BP52&amp;"; ","")&amp;IF(AND(BW52&lt;&gt;"",BX52=""),BV52&amp;"; ","")&amp;IF(AND(CC52&lt;&gt;"",CD52=""),CB52&amp;"; ","")&amp;IF(AND(CI52&lt;&gt;"",CJ52=""),CH52&amp;"; ","")&amp;IF(AND(CO52&lt;&gt;"",CP52=""),CN52&amp;"; ","")),IFERROR(INDEX($A$3:$B$202,(SUMPRODUCT(($BO$3:$BO$202=$A52)*($BR$3:$BR$202="")*ROW($BO$3:$BO$202))+SUMPRODUCT(($BU$3:$BU$202=$A52)*($BX$3:$BX$202="")*ROW($BU$3:$BU$202))+SUMPRODUCT(($CA$3:$CA$202=$A52)*($CD$3:$CD$202="")*ROW($CA$3:$CA$202))+SUMPRODUCT(($CG$3:$CG$202=$A52)*($CJ$3:$CJ$202="")*ROW($CG$3:$CG$202))+SUMPRODUCT(($CM$3:$CM$202=$A52)*($CP$3:$CP$202="")*ROW($CM$3:$CM$202)))-2,2),""))</f>
        <v/>
      </c>
      <c r="S52" s="48" t="inlineStr">
        <is>
          <t>NA</t>
        </is>
      </c>
      <c r="T52" s="48" t="inlineStr"/>
      <c r="U52" s="48" t="inlineStr"/>
      <c r="V52" s="48" t="inlineStr"/>
      <c r="W52" s="48" t="inlineStr">
        <is>
          <t>AEST (UTC+10)</t>
        </is>
      </c>
      <c r="X52" s="48" t="inlineStr">
        <is>
          <t>NA;</t>
        </is>
      </c>
      <c r="Y52" s="48" t="inlineStr">
        <is>
          <t>6pm-9pm;</t>
        </is>
      </c>
      <c r="Z52" s="48" t="inlineStr">
        <is>
          <t>9am-12pm;</t>
        </is>
      </c>
      <c r="AA52" s="48" t="inlineStr">
        <is>
          <t>9am-12pm;12pm-3pm;3pm-6pm;</t>
        </is>
      </c>
      <c r="AB52" s="48" t="inlineStr">
        <is>
          <t>12pm-3pm;6pm-9pm;</t>
        </is>
      </c>
      <c r="AC52" s="48" t="inlineStr">
        <is>
          <t>9am-12pm;</t>
        </is>
      </c>
      <c r="AD52" s="48" t="inlineStr">
        <is>
          <t>12pm-3pm;</t>
        </is>
      </c>
      <c r="AE52" s="48" t="inlineStr">
        <is>
          <t>Online</t>
        </is>
      </c>
      <c r="AF52" s="48" t="inlineStr">
        <is>
          <t>NA - Tutor</t>
        </is>
      </c>
      <c r="AG52" s="48" t="inlineStr">
        <is>
          <t>Australia</t>
        </is>
      </c>
      <c r="AH52" s="48" t="inlineStr">
        <is>
          <t>South Australia</t>
        </is>
      </c>
      <c r="AI52" s="48" t="inlineStr">
        <is>
          <t>Salisbury</t>
        </is>
      </c>
      <c r="AJ52" s="48" t="inlineStr">
        <is>
          <t>5108</t>
        </is>
      </c>
      <c r="AK52" s="49" t="n">
        <v>32027</v>
      </c>
      <c r="AL52" s="48" t="inlineStr">
        <is>
          <t>Other</t>
        </is>
      </c>
      <c r="AM52" s="48" t="inlineStr">
        <is>
          <t>NA</t>
        </is>
      </c>
      <c r="AN52" s="48" t="inlineStr">
        <is>
          <t>NA - Tutor</t>
        </is>
      </c>
      <c r="AO52" s="48" t="inlineStr">
        <is>
          <t>Low</t>
        </is>
      </c>
      <c r="AP52" s="48" t="inlineStr">
        <is>
          <t>Australia; Russia</t>
        </is>
      </c>
      <c r="AQ52" s="48" t="inlineStr">
        <is>
          <t>NA</t>
        </is>
      </c>
      <c r="AR52" s="48" t="inlineStr">
        <is>
          <t>English (C2)</t>
        </is>
      </c>
      <c r="AS52" s="48" t="inlineStr">
        <is>
          <t>Hindu</t>
        </is>
      </c>
      <c r="AT52" s="48" t="inlineStr">
        <is>
          <t>Childcare &amp; Aged Care</t>
        </is>
      </c>
      <c r="AU52" s="48" t="inlineStr">
        <is>
          <t>Cleaner</t>
        </is>
      </c>
      <c r="AV52" s="48" t="inlineStr">
        <is>
          <t>NA - Tutor</t>
        </is>
      </c>
      <c r="AW52" s="48" t="inlineStr">
        <is>
          <t>Reading; Politics; Music</t>
        </is>
      </c>
      <c r="AX52" s="48" t="inlineStr">
        <is>
          <t>NA - Tutor</t>
        </is>
      </c>
      <c r="AY52" s="48" t="inlineStr">
        <is>
          <t>Yes</t>
        </is>
      </c>
      <c r="AZ52" s="48" t="inlineStr">
        <is>
          <t>NA - Partner Organisation Verified</t>
        </is>
      </c>
      <c r="BA52" s="48" t="inlineStr">
        <is>
          <t>Hannah Taylor</t>
        </is>
      </c>
      <c r="BB52" s="48" t="inlineStr">
        <is>
          <t>Friend</t>
        </is>
      </c>
      <c r="BC52" s="48" t="inlineStr">
        <is>
          <t>mariam.ahmed550@example.com</t>
        </is>
      </c>
      <c r="BD52" s="48" t="inlineStr">
        <is>
          <t>Pending</t>
        </is>
      </c>
      <c r="BE52" s="48" t="inlineStr"/>
      <c r="BF52" s="48" t="inlineStr"/>
      <c r="BG52" s="48" t="inlineStr">
        <is>
          <t>No</t>
        </is>
      </c>
      <c r="BH52" s="48" t="inlineStr">
        <is>
          <t>Adults Only</t>
        </is>
      </c>
      <c r="BI52" s="48" t="inlineStr">
        <is>
          <t>Supporting Asylum Seekers Sydney</t>
        </is>
      </c>
      <c r="BJ52" s="48" t="inlineStr">
        <is>
          <t>ZULMAN Levi</t>
        </is>
      </c>
      <c r="BK52" s="48" t="inlineStr">
        <is>
          <t>ZULMAN Levi</t>
        </is>
      </c>
      <c r="BL52" s="48" t="inlineStr">
        <is>
          <t>Synthetic test record.</t>
        </is>
      </c>
      <c r="BM52" s="48" t="inlineStr"/>
      <c r="BN52" s="48">
        <f>TRIM(IF(AND($H52="Student",$J52="ADM-ACT-MAT-CNE"),"Invalid: Student cannot be CNE. ","")&amp;IF(AND($H52="Student",ISNUMBER($O52)),"Check: capacity set for a Student. ","")&amp;IF(AND(LEFT($J52,11)="ADM-ACT-MAT",$P52=0),"Check: matched status but 0 active pairings. ","")&amp;IF(AND($H52="Tutor",ISNUMBER($O52),$P52&gt;$O52),"Check: pairings exceed capacity. ","")&amp;IF(AND($BH52="Everyone",NOT(AND($BD52="Yes",$BG52="Yes"))),"Check: approved to tutor children but WWCC not provided/confirmed. ","")&amp;IF(AND($P52&gt;0,NOT(AND(OR(LEFT($AY52,3)="Yes",LEFT($AY52,2)="NA"),OR(LEFT($AZ52,3)="Yes",LEFT($AZ52,2)="NA")))),"Matched but vetting incomplete (interview/reference). ","")&amp;IF(COUNTIF($B$3:$B$600,$B52)&gt;1,"Duplicate participant name. ",""))</f>
        <v/>
      </c>
      <c r="BO52" s="48" t="inlineStr"/>
      <c r="BP52" s="48" t="inlineStr"/>
      <c r="BQ52" s="48" t="inlineStr"/>
      <c r="BR52" s="48" t="inlineStr"/>
      <c r="BS52" s="48" t="inlineStr"/>
      <c r="BT52" s="48" t="inlineStr"/>
      <c r="BU52" s="48" t="inlineStr"/>
      <c r="BV52" s="48" t="inlineStr"/>
      <c r="BW52" s="48" t="inlineStr"/>
      <c r="BX52" s="48" t="inlineStr"/>
      <c r="BY52" s="48" t="inlineStr"/>
      <c r="BZ52" s="48" t="inlineStr"/>
      <c r="CA52" s="48" t="inlineStr"/>
      <c r="CB52" s="48" t="inlineStr"/>
      <c r="CC52" s="48" t="inlineStr"/>
      <c r="CD52" s="48" t="inlineStr"/>
      <c r="CE52" s="48" t="inlineStr"/>
      <c r="CF52" s="48" t="inlineStr"/>
      <c r="CG52" s="48" t="inlineStr"/>
      <c r="CH52" s="48" t="inlineStr"/>
      <c r="CI52" s="48" t="inlineStr"/>
      <c r="CJ52" s="48" t="inlineStr"/>
      <c r="CK52" s="48" t="inlineStr"/>
      <c r="CL52" s="48" t="inlineStr"/>
      <c r="CM52" s="48" t="inlineStr"/>
      <c r="CN52" s="48" t="inlineStr"/>
      <c r="CO52" s="48" t="inlineStr"/>
      <c r="CP52" s="48" t="inlineStr"/>
      <c r="CQ52" s="48" t="inlineStr"/>
      <c r="CR52" s="48" t="inlineStr"/>
      <c r="CS52" s="48">
        <f>IF(LEFT($J52,3)="ERR",0,1)</f>
        <v/>
      </c>
      <c r="CT52" s="48">
        <f>IF(LEFT($J52,3)="ADM",1,0)</f>
        <v/>
      </c>
      <c r="CU52" s="48">
        <f>IF(OR($J52="ADM-ACT-MAT-CNE",$J52="ADM-ACT-MAT-CE",$J52="ADM-INACT-M&amp;T"),1,0)</f>
        <v/>
      </c>
      <c r="CV52" s="48">
        <f>IF(AND(CU52=1,ISNUMBER(M52),ISNUMBER(I52)),M52-I52,"")</f>
        <v/>
      </c>
      <c r="CW52" s="48">
        <f>IF(ISNUMBER(I52),TODAY()-I52,"")</f>
        <v/>
      </c>
      <c r="CX52" s="48">
        <f>IF(ISNUMBER(I52),DATE(YEAR(I52),MONTH(I52),1),"")</f>
        <v/>
      </c>
      <c r="CY52" s="48">
        <f>IFERROR(DATEDIF(AK52,TODAY(),"y"),"")</f>
        <v/>
      </c>
      <c r="CZ52" s="48">
        <f>IF(CY52="","",IF(CY52&lt;28,"18-27",IF(CY52&lt;38,"28-37",IF(CY52&lt;48,"38-47",IF(CY52&lt;58,"48-57",IF(CY52&lt;68,"58-67",IF(CY52&lt;78,"68-77","78+")))))) </f>
        <v/>
      </c>
      <c r="DA52" s="48">
        <f>IF(AND(BQ52&lt;&gt;"",BR52=""),N(BS52),0)+IF(AND(BW52&lt;&gt;"",BX52=""),N(BY52),0)+IF(AND(CC52&lt;&gt;"",CD52=""),N(CE52),0)+IF(AND(CI52&lt;&gt;"",CJ52=""),N(CK52),0)+IF(AND(CO52&lt;&gt;"",CP52=""),N(CQ52),0)</f>
        <v/>
      </c>
      <c r="DB52" s="48">
        <f>ROUND(IF(BQ52&lt;&gt;"",N(BS52)*MAX(0,((IF(BR52="",TODAY(),BR52))-BQ52)/7),0)+IF(BW52&lt;&gt;"",N(BY52)*MAX(0,((IF(BX52="",TODAY(),BX52))-BW52)/7),0)+IF(CC52&lt;&gt;"",N(CE52)*MAX(0,((IF(CD52="",TODAY(),CD52))-CC52)/7),0)+IF(CI52&lt;&gt;"",N(CK52)*MAX(0,((IF(CJ52="",TODAY(),CJ52))-CI52)/7),0)+IF(CO52&lt;&gt;"",N(CQ52)*MAX(0,((IF(CP52="",TODAY(),CP52))-CO52)/7),0),1)</f>
        <v/>
      </c>
      <c r="DC52" s="48">
        <f>IF(OR(TRIM(X52)="",TRIM(X52)="NA;",TRIM(X52)="NA"),0,1)</f>
        <v/>
      </c>
      <c r="DD52" s="48">
        <f>IF(OR(TRIM(Y52)="",TRIM(Y52)="NA;",TRIM(Y52)="NA"),0,1)</f>
        <v/>
      </c>
      <c r="DE52" s="48">
        <f>IF(OR(TRIM(Z52)="",TRIM(Z52)="NA;",TRIM(Z52)="NA"),0,1)</f>
        <v/>
      </c>
      <c r="DF52" s="48">
        <f>IF(OR(TRIM(AA52)="",TRIM(AA52)="NA;",TRIM(AA52)="NA"),0,1)</f>
        <v/>
      </c>
      <c r="DG52" s="48">
        <f>IF(OR(TRIM(AB52)="",TRIM(AB52)="NA;",TRIM(AB52)="NA"),0,1)</f>
        <v/>
      </c>
      <c r="DH52" s="48">
        <f>IF(OR(TRIM(AC52)="",TRIM(AC52)="NA;",TRIM(AC52)="NA"),0,1)</f>
        <v/>
      </c>
      <c r="DI52" s="48">
        <f>IF(OR(TRIM(AD52)="",TRIM(AD52)="NA;",TRIM(AD52)="NA"),0,1)</f>
        <v/>
      </c>
      <c r="DJ52" s="48">
        <f>TRIM(IF(DC52=1,"Mon ","")&amp;IF(DD52=1,"Tue ","")&amp;IF(DE52=1,"Wed ","")&amp;IF(DF52=1,"Thu ","")&amp;IF(DG52=1,"Fri ","")&amp;IF(DH52=1,"Sat ","")&amp;IF(DI52=1,"Sun ",""))</f>
        <v/>
      </c>
    </row>
    <row r="53">
      <c r="A53" s="48" t="inlineStr">
        <is>
          <t>T-N-00001</t>
        </is>
      </c>
      <c r="B53" s="48" t="inlineStr">
        <is>
          <t>Rania Hall</t>
        </is>
      </c>
      <c r="C53" s="48" t="inlineStr">
        <is>
          <t>rania.hall51@example.com</t>
        </is>
      </c>
      <c r="D53" s="48" t="inlineStr">
        <is>
          <t>+61 469 362 692</t>
        </is>
      </c>
      <c r="E53" s="48" t="inlineStr">
        <is>
          <t>Sara Petrov</t>
        </is>
      </c>
      <c r="F53" s="48" t="inlineStr">
        <is>
          <t>+61 437 043 294</t>
        </is>
      </c>
      <c r="G53" s="48" t="inlineStr">
        <is>
          <t>Caseworker</t>
        </is>
      </c>
      <c r="H53" s="48" t="inlineStr">
        <is>
          <t>Tutor</t>
        </is>
      </c>
      <c r="I53" s="49" t="n">
        <v>45596</v>
      </c>
      <c r="J53" s="48" t="inlineStr">
        <is>
          <t>ADM-ACT-MAT-CE</t>
        </is>
      </c>
      <c r="K53" s="48">
        <f>IFERROR(VLOOKUP(J53,'(A) Introduction'!$B$35:$C$45,2,FALSE),"")</f>
        <v/>
      </c>
      <c r="L53" s="48" t="inlineStr">
        <is>
          <t>No</t>
        </is>
      </c>
      <c r="M53" s="48" t="inlineStr"/>
      <c r="N53" s="48" t="inlineStr"/>
      <c r="O53" s="48" t="n">
        <v>1</v>
      </c>
      <c r="P53" s="48">
        <f>IF($H53="Tutor",((BQ53&lt;&gt;"")*(BR53=""))+((BW53&lt;&gt;"")*(BX53=""))+((CC53&lt;&gt;"")*(CD53=""))+((CI53&lt;&gt;"")*(CJ53=""))+((CO53&lt;&gt;"")*(CP53="")),SUMPRODUCT(--($BO$3:$BO$202=$A53),--($BR$3:$BR$202=""))+SUMPRODUCT(--($BU$3:$BU$202=$A53),--($BX$3:$BX$202=""))+SUMPRODUCT(--($CA$3:$CA$202=$A53),--($CD$3:$CD$202=""))+SUMPRODUCT(--($CG$3:$CG$202=$A53),--($CJ$3:$CJ$202=""))+SUMPRODUCT(--($CM$3:$CM$202=$A53),--($CP$3:$CP$202="")))</f>
        <v/>
      </c>
      <c r="Q53" s="48">
        <f>IF($H53="Tutor",(BQ53&lt;&gt;"")+(BW53&lt;&gt;"")+(CC53&lt;&gt;"")+(CI53&lt;&gt;"")+(CO53&lt;&gt;""),SUMPRODUCT(--($BO$3:$BO$202=$A53))+SUMPRODUCT(--($BU$3:$BU$202=$A53))+SUMPRODUCT(--($CA$3:$CA$202=$A53))+SUMPRODUCT(--($CG$3:$CG$202=$A53))+SUMPRODUCT(--($CM$3:$CM$202=$A53)))</f>
        <v/>
      </c>
      <c r="R53" s="48">
        <f>IF($H53="Tutor",TRIM(IF(AND(BQ53&lt;&gt;"",BR53=""),BP53&amp;"; ","")&amp;IF(AND(BW53&lt;&gt;"",BX53=""),BV53&amp;"; ","")&amp;IF(AND(CC53&lt;&gt;"",CD53=""),CB53&amp;"; ","")&amp;IF(AND(CI53&lt;&gt;"",CJ53=""),CH53&amp;"; ","")&amp;IF(AND(CO53&lt;&gt;"",CP53=""),CN53&amp;"; ","")),IFERROR(INDEX($A$3:$B$202,(SUMPRODUCT(($BO$3:$BO$202=$A53)*($BR$3:$BR$202="")*ROW($BO$3:$BO$202))+SUMPRODUCT(($BU$3:$BU$202=$A53)*($BX$3:$BX$202="")*ROW($BU$3:$BU$202))+SUMPRODUCT(($CA$3:$CA$202=$A53)*($CD$3:$CD$202="")*ROW($CA$3:$CA$202))+SUMPRODUCT(($CG$3:$CG$202=$A53)*($CJ$3:$CJ$202="")*ROW($CG$3:$CG$202))+SUMPRODUCT(($CM$3:$CM$202=$A53)*($CP$3:$CP$202="")*ROW($CM$3:$CM$202)))-2,2),""))</f>
        <v/>
      </c>
      <c r="S53" s="48" t="inlineStr">
        <is>
          <t>NA</t>
        </is>
      </c>
      <c r="T53" s="48" t="inlineStr"/>
      <c r="U53" s="48" t="inlineStr"/>
      <c r="V53" s="49" t="n">
        <v>45754</v>
      </c>
      <c r="W53" s="48" t="inlineStr">
        <is>
          <t>AEDT (UTC+11)</t>
        </is>
      </c>
      <c r="X53" s="48" t="inlineStr">
        <is>
          <t>12pm-3pm;</t>
        </is>
      </c>
      <c r="Y53" s="48" t="inlineStr">
        <is>
          <t>12pm-3pm;</t>
        </is>
      </c>
      <c r="Z53" s="48" t="inlineStr">
        <is>
          <t>3pm-6pm;</t>
        </is>
      </c>
      <c r="AA53" s="48" t="inlineStr">
        <is>
          <t>9am-12pm;12pm-3pm;3pm-6pm;</t>
        </is>
      </c>
      <c r="AB53" s="48" t="inlineStr">
        <is>
          <t>3pm-6pm;</t>
        </is>
      </c>
      <c r="AC53" s="48" t="inlineStr">
        <is>
          <t>12pm-3pm;</t>
        </is>
      </c>
      <c r="AD53" s="48" t="inlineStr">
        <is>
          <t>3pm-6pm;</t>
        </is>
      </c>
      <c r="AE53" s="48" t="inlineStr">
        <is>
          <t>In-Person</t>
        </is>
      </c>
      <c r="AF53" s="48" t="inlineStr">
        <is>
          <t>NA - Tutor</t>
        </is>
      </c>
      <c r="AG53" s="48" t="inlineStr">
        <is>
          <t>Australia</t>
        </is>
      </c>
      <c r="AH53" s="48" t="inlineStr">
        <is>
          <t>New South Wales</t>
        </is>
      </c>
      <c r="AI53" s="48" t="inlineStr">
        <is>
          <t>Fairfield</t>
        </is>
      </c>
      <c r="AJ53" s="48" t="inlineStr">
        <is>
          <t>2165</t>
        </is>
      </c>
      <c r="AK53" s="49" t="n">
        <v>34196</v>
      </c>
      <c r="AL53" s="48" t="inlineStr">
        <is>
          <t>Female</t>
        </is>
      </c>
      <c r="AM53" s="48" t="inlineStr">
        <is>
          <t>NA</t>
        </is>
      </c>
      <c r="AN53" s="48" t="inlineStr">
        <is>
          <t>NA - Tutor</t>
        </is>
      </c>
      <c r="AO53" s="48" t="inlineStr">
        <is>
          <t>Outstanding</t>
        </is>
      </c>
      <c r="AP53" s="48" t="inlineStr">
        <is>
          <t>India</t>
        </is>
      </c>
      <c r="AQ53" s="48" t="inlineStr">
        <is>
          <t>NA</t>
        </is>
      </c>
      <c r="AR53" s="48" t="inlineStr">
        <is>
          <t>English (C2)</t>
        </is>
      </c>
      <c r="AS53" s="48" t="inlineStr">
        <is>
          <t>NA</t>
        </is>
      </c>
      <c r="AT53" s="48" t="inlineStr">
        <is>
          <t>Hospitality &amp; Retail</t>
        </is>
      </c>
      <c r="AU53" s="48" t="inlineStr">
        <is>
          <t>Retail</t>
        </is>
      </c>
      <c r="AV53" s="48" t="inlineStr">
        <is>
          <t>NA - Tutor</t>
        </is>
      </c>
      <c r="AW53" s="48" t="inlineStr">
        <is>
          <t>Gardening; Cooking; Walking</t>
        </is>
      </c>
      <c r="AX53" s="48" t="inlineStr">
        <is>
          <t>NA - Tutor</t>
        </is>
      </c>
      <c r="AY53" s="48" t="inlineStr">
        <is>
          <t>NA - Partner Organisation Verified</t>
        </is>
      </c>
      <c r="AZ53" s="48" t="inlineStr">
        <is>
          <t>No</t>
        </is>
      </c>
      <c r="BA53" s="48" t="inlineStr">
        <is>
          <t>Jose Yang</t>
        </is>
      </c>
      <c r="BB53" s="48" t="inlineStr">
        <is>
          <t>Friend</t>
        </is>
      </c>
      <c r="BC53" s="48" t="inlineStr">
        <is>
          <t>james.stanley551@example.com</t>
        </is>
      </c>
      <c r="BD53" s="48" t="inlineStr">
        <is>
          <t>Yes</t>
        </is>
      </c>
      <c r="BE53" s="48" t="inlineStr">
        <is>
          <t>WWC9004743V</t>
        </is>
      </c>
      <c r="BF53" s="49" t="n">
        <v>46852</v>
      </c>
      <c r="BG53" s="48" t="inlineStr">
        <is>
          <t>No</t>
        </is>
      </c>
      <c r="BH53" s="48" t="inlineStr">
        <is>
          <t>Adults Only</t>
        </is>
      </c>
      <c r="BI53" s="48" t="inlineStr">
        <is>
          <t>University of Technology Sydney (including the Brennan Justice Program)</t>
        </is>
      </c>
      <c r="BJ53" s="48" t="inlineStr">
        <is>
          <t>MCCRORIE John</t>
        </is>
      </c>
      <c r="BK53" s="48" t="inlineStr">
        <is>
          <t>MCCRORIE John</t>
        </is>
      </c>
      <c r="BL53" s="48" t="inlineStr">
        <is>
          <t>Synthetic test record.</t>
        </is>
      </c>
      <c r="BM53" s="48" t="inlineStr"/>
      <c r="BN53" s="48">
        <f>TRIM(IF(AND($H53="Student",$J53="ADM-ACT-MAT-CNE"),"Invalid: Student cannot be CNE. ","")&amp;IF(AND($H53="Student",ISNUMBER($O53)),"Check: capacity set for a Student. ","")&amp;IF(AND(LEFT($J53,11)="ADM-ACT-MAT",$P53=0),"Check: matched status but 0 active pairings. ","")&amp;IF(AND($H53="Tutor",ISNUMBER($O53),$P53&gt;$O53),"Check: pairings exceed capacity. ","")&amp;IF(AND($BH53="Everyone",NOT(AND($BD53="Yes",$BG53="Yes"))),"Check: approved to tutor children but WWCC not provided/confirmed. ","")&amp;IF(AND($P53&gt;0,NOT(AND(OR(LEFT($AY53,3)="Yes",LEFT($AY53,2)="NA"),OR(LEFT($AZ53,3)="Yes",LEFT($AZ53,2)="NA")))),"Matched but vetting incomplete (interview/reference). ","")&amp;IF(COUNTIF($B$3:$B$600,$B53)&gt;1,"Duplicate participant name. ",""))</f>
        <v/>
      </c>
      <c r="BO53" s="48" t="inlineStr">
        <is>
          <t>S-O-00014</t>
        </is>
      </c>
      <c r="BP53" s="48">
        <f>IFERROR(VLOOKUP(BO53,$A:$B,2,FALSE),"")</f>
        <v/>
      </c>
      <c r="BQ53" s="49" t="n">
        <v>45539</v>
      </c>
      <c r="BR53" s="48" t="inlineStr"/>
      <c r="BS53" s="48" t="n">
        <v>2</v>
      </c>
      <c r="BT53" s="48" t="inlineStr">
        <is>
          <t>MCCRORIE John</t>
        </is>
      </c>
      <c r="BU53" s="48" t="inlineStr"/>
      <c r="BV53" s="48" t="inlineStr"/>
      <c r="BW53" s="48" t="inlineStr"/>
      <c r="BX53" s="48" t="inlineStr"/>
      <c r="BY53" s="48" t="inlineStr"/>
      <c r="BZ53" s="48" t="inlineStr"/>
      <c r="CA53" s="48" t="inlineStr"/>
      <c r="CB53" s="48" t="inlineStr"/>
      <c r="CC53" s="48" t="inlineStr"/>
      <c r="CD53" s="48" t="inlineStr"/>
      <c r="CE53" s="48" t="inlineStr"/>
      <c r="CF53" s="48" t="inlineStr"/>
      <c r="CG53" s="48" t="inlineStr"/>
      <c r="CH53" s="48" t="inlineStr"/>
      <c r="CI53" s="48" t="inlineStr"/>
      <c r="CJ53" s="48" t="inlineStr"/>
      <c r="CK53" s="48" t="inlineStr"/>
      <c r="CL53" s="48" t="inlineStr"/>
      <c r="CM53" s="48" t="inlineStr"/>
      <c r="CN53" s="48" t="inlineStr"/>
      <c r="CO53" s="48" t="inlineStr"/>
      <c r="CP53" s="48" t="inlineStr"/>
      <c r="CQ53" s="48" t="inlineStr"/>
      <c r="CR53" s="48" t="inlineStr"/>
      <c r="CS53" s="48">
        <f>IF(LEFT($J53,3)="ERR",0,1)</f>
        <v/>
      </c>
      <c r="CT53" s="48">
        <f>IF(LEFT($J53,3)="ADM",1,0)</f>
        <v/>
      </c>
      <c r="CU53" s="48">
        <f>IF(OR($J53="ADM-ACT-MAT-CNE",$J53="ADM-ACT-MAT-CE",$J53="ADM-INACT-M&amp;T"),1,0)</f>
        <v/>
      </c>
      <c r="CV53" s="48">
        <f>IF(AND(CU53=1,ISNUMBER(M53),ISNUMBER(I53)),M53-I53,"")</f>
        <v/>
      </c>
      <c r="CW53" s="48">
        <f>IF(ISNUMBER(I53),TODAY()-I53,"")</f>
        <v/>
      </c>
      <c r="CX53" s="48">
        <f>IF(ISNUMBER(I53),DATE(YEAR(I53),MONTH(I53),1),"")</f>
        <v/>
      </c>
      <c r="CY53" s="48">
        <f>IFERROR(DATEDIF(AK53,TODAY(),"y"),"")</f>
        <v/>
      </c>
      <c r="CZ53" s="48">
        <f>IF(CY53="","",IF(CY53&lt;28,"18-27",IF(CY53&lt;38,"28-37",IF(CY53&lt;48,"38-47",IF(CY53&lt;58,"48-57",IF(CY53&lt;68,"58-67",IF(CY53&lt;78,"68-77","78+")))))) </f>
        <v/>
      </c>
      <c r="DA53" s="48">
        <f>IF(AND(BQ53&lt;&gt;"",BR53=""),N(BS53),0)+IF(AND(BW53&lt;&gt;"",BX53=""),N(BY53),0)+IF(AND(CC53&lt;&gt;"",CD53=""),N(CE53),0)+IF(AND(CI53&lt;&gt;"",CJ53=""),N(CK53),0)+IF(AND(CO53&lt;&gt;"",CP53=""),N(CQ53),0)</f>
        <v/>
      </c>
      <c r="DB53" s="48">
        <f>ROUND(IF(BQ53&lt;&gt;"",N(BS53)*MAX(0,((IF(BR53="",TODAY(),BR53))-BQ53)/7),0)+IF(BW53&lt;&gt;"",N(BY53)*MAX(0,((IF(BX53="",TODAY(),BX53))-BW53)/7),0)+IF(CC53&lt;&gt;"",N(CE53)*MAX(0,((IF(CD53="",TODAY(),CD53))-CC53)/7),0)+IF(CI53&lt;&gt;"",N(CK53)*MAX(0,((IF(CJ53="",TODAY(),CJ53))-CI53)/7),0)+IF(CO53&lt;&gt;"",N(CQ53)*MAX(0,((IF(CP53="",TODAY(),CP53))-CO53)/7),0),1)</f>
        <v/>
      </c>
      <c r="DC53" s="48">
        <f>IF(OR(TRIM(X53)="",TRIM(X53)="NA;",TRIM(X53)="NA"),0,1)</f>
        <v/>
      </c>
      <c r="DD53" s="48">
        <f>IF(OR(TRIM(Y53)="",TRIM(Y53)="NA;",TRIM(Y53)="NA"),0,1)</f>
        <v/>
      </c>
      <c r="DE53" s="48">
        <f>IF(OR(TRIM(Z53)="",TRIM(Z53)="NA;",TRIM(Z53)="NA"),0,1)</f>
        <v/>
      </c>
      <c r="DF53" s="48">
        <f>IF(OR(TRIM(AA53)="",TRIM(AA53)="NA;",TRIM(AA53)="NA"),0,1)</f>
        <v/>
      </c>
      <c r="DG53" s="48">
        <f>IF(OR(TRIM(AB53)="",TRIM(AB53)="NA;",TRIM(AB53)="NA"),0,1)</f>
        <v/>
      </c>
      <c r="DH53" s="48">
        <f>IF(OR(TRIM(AC53)="",TRIM(AC53)="NA;",TRIM(AC53)="NA"),0,1)</f>
        <v/>
      </c>
      <c r="DI53" s="48">
        <f>IF(OR(TRIM(AD53)="",TRIM(AD53)="NA;",TRIM(AD53)="NA"),0,1)</f>
        <v/>
      </c>
      <c r="DJ53" s="48">
        <f>TRIM(IF(DC53=1,"Mon ","")&amp;IF(DD53=1,"Tue ","")&amp;IF(DE53=1,"Wed ","")&amp;IF(DF53=1,"Thu ","")&amp;IF(DG53=1,"Fri ","")&amp;IF(DH53=1,"Sat ","")&amp;IF(DI53=1,"Sun ",""))</f>
        <v/>
      </c>
    </row>
    <row r="54">
      <c r="A54" s="48" t="inlineStr">
        <is>
          <t>T-N-00002</t>
        </is>
      </c>
      <c r="B54" s="48" t="inlineStr">
        <is>
          <t>Sam Taylor</t>
        </is>
      </c>
      <c r="C54" s="48" t="inlineStr">
        <is>
          <t>sam.taylor52@example.com</t>
        </is>
      </c>
      <c r="D54" s="48" t="inlineStr">
        <is>
          <t>+61 425 847 551</t>
        </is>
      </c>
      <c r="E54" s="48" t="inlineStr">
        <is>
          <t>Elena Harris</t>
        </is>
      </c>
      <c r="F54" s="48" t="inlineStr">
        <is>
          <t>+61 441 292 661</t>
        </is>
      </c>
      <c r="G54" s="48" t="inlineStr">
        <is>
          <t>Spouse</t>
        </is>
      </c>
      <c r="H54" s="48" t="inlineStr">
        <is>
          <t>Tutor</t>
        </is>
      </c>
      <c r="I54" s="49" t="n">
        <v>45619</v>
      </c>
      <c r="J54" s="48" t="inlineStr">
        <is>
          <t>ADM-ACT-UNMAT</t>
        </is>
      </c>
      <c r="K54" s="48">
        <f>IFERROR(VLOOKUP(J54,'(A) Introduction'!$B$35:$C$45,2,FALSE),"")</f>
        <v/>
      </c>
      <c r="L54" s="48" t="inlineStr">
        <is>
          <t>No</t>
        </is>
      </c>
      <c r="M54" s="48" t="inlineStr"/>
      <c r="N54" s="48" t="inlineStr"/>
      <c r="O54" s="48" t="n">
        <v>2</v>
      </c>
      <c r="P54" s="48">
        <f>IF($H54="Tutor",((BQ54&lt;&gt;"")*(BR54=""))+((BW54&lt;&gt;"")*(BX54=""))+((CC54&lt;&gt;"")*(CD54=""))+((CI54&lt;&gt;"")*(CJ54=""))+((CO54&lt;&gt;"")*(CP54="")),SUMPRODUCT(--($BO$3:$BO$202=$A54),--($BR$3:$BR$202=""))+SUMPRODUCT(--($BU$3:$BU$202=$A54),--($BX$3:$BX$202=""))+SUMPRODUCT(--($CA$3:$CA$202=$A54),--($CD$3:$CD$202=""))+SUMPRODUCT(--($CG$3:$CG$202=$A54),--($CJ$3:$CJ$202=""))+SUMPRODUCT(--($CM$3:$CM$202=$A54),--($CP$3:$CP$202="")))</f>
        <v/>
      </c>
      <c r="Q54" s="48">
        <f>IF($H54="Tutor",(BQ54&lt;&gt;"")+(BW54&lt;&gt;"")+(CC54&lt;&gt;"")+(CI54&lt;&gt;"")+(CO54&lt;&gt;""),SUMPRODUCT(--($BO$3:$BO$202=$A54))+SUMPRODUCT(--($BU$3:$BU$202=$A54))+SUMPRODUCT(--($CA$3:$CA$202=$A54))+SUMPRODUCT(--($CG$3:$CG$202=$A54))+SUMPRODUCT(--($CM$3:$CM$202=$A54)))</f>
        <v/>
      </c>
      <c r="R54" s="48">
        <f>IF($H54="Tutor",TRIM(IF(AND(BQ54&lt;&gt;"",BR54=""),BP54&amp;"; ","")&amp;IF(AND(BW54&lt;&gt;"",BX54=""),BV54&amp;"; ","")&amp;IF(AND(CC54&lt;&gt;"",CD54=""),CB54&amp;"; ","")&amp;IF(AND(CI54&lt;&gt;"",CJ54=""),CH54&amp;"; ","")&amp;IF(AND(CO54&lt;&gt;"",CP54=""),CN54&amp;"; ","")),IFERROR(INDEX($A$3:$B$202,(SUMPRODUCT(($BO$3:$BO$202=$A54)*($BR$3:$BR$202="")*ROW($BO$3:$BO$202))+SUMPRODUCT(($BU$3:$BU$202=$A54)*($BX$3:$BX$202="")*ROW($BU$3:$BU$202))+SUMPRODUCT(($CA$3:$CA$202=$A54)*($CD$3:$CD$202="")*ROW($CA$3:$CA$202))+SUMPRODUCT(($CG$3:$CG$202=$A54)*($CJ$3:$CJ$202="")*ROW($CG$3:$CG$202))+SUMPRODUCT(($CM$3:$CM$202=$A54)*($CP$3:$CP$202="")*ROW($CM$3:$CM$202)))-2,2),""))</f>
        <v/>
      </c>
      <c r="S54" s="48" t="inlineStr">
        <is>
          <t>NA</t>
        </is>
      </c>
      <c r="T54" s="48" t="inlineStr"/>
      <c r="U54" s="48" t="inlineStr"/>
      <c r="V54" s="49" t="n">
        <v>45750</v>
      </c>
      <c r="W54" s="48" t="inlineStr">
        <is>
          <t>ACDT (UTC+10:30)</t>
        </is>
      </c>
      <c r="X54" s="48" t="inlineStr">
        <is>
          <t>3pm-6pm;</t>
        </is>
      </c>
      <c r="Y54" s="48" t="inlineStr">
        <is>
          <t>9am-12pm;</t>
        </is>
      </c>
      <c r="Z54" s="48" t="inlineStr">
        <is>
          <t>6pm-9pm;</t>
        </is>
      </c>
      <c r="AA54" s="48" t="inlineStr">
        <is>
          <t>12pm-3pm;</t>
        </is>
      </c>
      <c r="AB54" s="48" t="inlineStr">
        <is>
          <t>12pm-3pm;</t>
        </is>
      </c>
      <c r="AC54" s="48" t="inlineStr">
        <is>
          <t>NA;</t>
        </is>
      </c>
      <c r="AD54" s="48" t="inlineStr">
        <is>
          <t>9am-12pm;12pm-3pm;3pm-6pm;</t>
        </is>
      </c>
      <c r="AE54" s="48" t="inlineStr">
        <is>
          <t>Online</t>
        </is>
      </c>
      <c r="AF54" s="48" t="inlineStr">
        <is>
          <t>NA - Tutor</t>
        </is>
      </c>
      <c r="AG54" s="48" t="inlineStr">
        <is>
          <t>Australia</t>
        </is>
      </c>
      <c r="AH54" s="48" t="inlineStr">
        <is>
          <t>New South Wales</t>
        </is>
      </c>
      <c r="AI54" s="48" t="inlineStr">
        <is>
          <t>Campsie</t>
        </is>
      </c>
      <c r="AJ54" s="48" t="inlineStr">
        <is>
          <t>2194</t>
        </is>
      </c>
      <c r="AK54" s="49" t="n">
        <v>33099</v>
      </c>
      <c r="AL54" s="48" t="inlineStr">
        <is>
          <t>Female</t>
        </is>
      </c>
      <c r="AM54" s="48" t="inlineStr">
        <is>
          <t>NA</t>
        </is>
      </c>
      <c r="AN54" s="48" t="inlineStr">
        <is>
          <t>NA - Tutor</t>
        </is>
      </c>
      <c r="AO54" s="48" t="inlineStr">
        <is>
          <t>Low</t>
        </is>
      </c>
      <c r="AP54" s="48" t="inlineStr">
        <is>
          <t>Australia</t>
        </is>
      </c>
      <c r="AQ54" s="48" t="inlineStr">
        <is>
          <t>NA</t>
        </is>
      </c>
      <c r="AR54" s="48" t="inlineStr">
        <is>
          <t>English (C2)</t>
        </is>
      </c>
      <c r="AS54" s="48" t="inlineStr">
        <is>
          <t>NA</t>
        </is>
      </c>
      <c r="AT54" s="48" t="inlineStr">
        <is>
          <t>Business &amp; Finance</t>
        </is>
      </c>
      <c r="AU54" s="48" t="inlineStr">
        <is>
          <t>Nurse</t>
        </is>
      </c>
      <c r="AV54" s="48" t="inlineStr">
        <is>
          <t>NA - Tutor</t>
        </is>
      </c>
      <c r="AW54" s="48" t="inlineStr">
        <is>
          <t>Cooking; Reading; Music</t>
        </is>
      </c>
      <c r="AX54" s="48" t="inlineStr">
        <is>
          <t>NA - Tutor</t>
        </is>
      </c>
      <c r="AY54" s="48" t="inlineStr">
        <is>
          <t>No</t>
        </is>
      </c>
      <c r="AZ54" s="48" t="inlineStr">
        <is>
          <t>Yes</t>
        </is>
      </c>
      <c r="BA54" s="48" t="inlineStr">
        <is>
          <t>Luke Garcia</t>
        </is>
      </c>
      <c r="BB54" s="48" t="inlineStr">
        <is>
          <t>Manager</t>
        </is>
      </c>
      <c r="BC54" s="48" t="inlineStr">
        <is>
          <t>aisha.mosquera552@example.com</t>
        </is>
      </c>
      <c r="BD54" s="48" t="inlineStr">
        <is>
          <t>Yes</t>
        </is>
      </c>
      <c r="BE54" s="48" t="inlineStr">
        <is>
          <t>WWC9165848V</t>
        </is>
      </c>
      <c r="BF54" s="49" t="n">
        <v>46761</v>
      </c>
      <c r="BG54" s="48" t="inlineStr">
        <is>
          <t>No</t>
        </is>
      </c>
      <c r="BH54" s="48" t="inlineStr">
        <is>
          <t>Adults Only</t>
        </is>
      </c>
      <c r="BI54" s="48" t="inlineStr">
        <is>
          <t>Supporting Asylum Seekers Sydney</t>
        </is>
      </c>
      <c r="BJ54" s="48" t="inlineStr">
        <is>
          <t>NUICH Curtis</t>
        </is>
      </c>
      <c r="BK54" s="48" t="inlineStr">
        <is>
          <t>THET Moh Moh</t>
        </is>
      </c>
      <c r="BL54" s="48" t="inlineStr">
        <is>
          <t>Synthetic test record.</t>
        </is>
      </c>
      <c r="BM54" s="48" t="inlineStr"/>
      <c r="BN54" s="48">
        <f>TRIM(IF(AND($H54="Student",$J54="ADM-ACT-MAT-CNE"),"Invalid: Student cannot be CNE. ","")&amp;IF(AND($H54="Student",ISNUMBER($O54)),"Check: capacity set for a Student. ","")&amp;IF(AND(LEFT($J54,11)="ADM-ACT-MAT",$P54=0),"Check: matched status but 0 active pairings. ","")&amp;IF(AND($H54="Tutor",ISNUMBER($O54),$P54&gt;$O54),"Check: pairings exceed capacity. ","")&amp;IF(AND($BH54="Everyone",NOT(AND($BD54="Yes",$BG54="Yes"))),"Check: approved to tutor children but WWCC not provided/confirmed. ","")&amp;IF(AND($P54&gt;0,NOT(AND(OR(LEFT($AY54,3)="Yes",LEFT($AY54,2)="NA"),OR(LEFT($AZ54,3)="Yes",LEFT($AZ54,2)="NA")))),"Matched but vetting incomplete (interview/reference). ","")&amp;IF(COUNTIF($B$3:$B$600,$B54)&gt;1,"Duplicate participant name. ",""))</f>
        <v/>
      </c>
      <c r="BO54" s="48" t="inlineStr"/>
      <c r="BP54" s="48" t="inlineStr"/>
      <c r="BQ54" s="48" t="inlineStr"/>
      <c r="BR54" s="48" t="inlineStr"/>
      <c r="BS54" s="48" t="inlineStr"/>
      <c r="BT54" s="48" t="inlineStr"/>
      <c r="BU54" s="48" t="inlineStr"/>
      <c r="BV54" s="48" t="inlineStr"/>
      <c r="BW54" s="48" t="inlineStr"/>
      <c r="BX54" s="48" t="inlineStr"/>
      <c r="BY54" s="48" t="inlineStr"/>
      <c r="BZ54" s="48" t="inlineStr"/>
      <c r="CA54" s="48" t="inlineStr"/>
      <c r="CB54" s="48" t="inlineStr"/>
      <c r="CC54" s="48" t="inlineStr"/>
      <c r="CD54" s="48" t="inlineStr"/>
      <c r="CE54" s="48" t="inlineStr"/>
      <c r="CF54" s="48" t="inlineStr"/>
      <c r="CG54" s="48" t="inlineStr"/>
      <c r="CH54" s="48" t="inlineStr"/>
      <c r="CI54" s="48" t="inlineStr"/>
      <c r="CJ54" s="48" t="inlineStr"/>
      <c r="CK54" s="48" t="inlineStr"/>
      <c r="CL54" s="48" t="inlineStr"/>
      <c r="CM54" s="48" t="inlineStr"/>
      <c r="CN54" s="48" t="inlineStr"/>
      <c r="CO54" s="48" t="inlineStr"/>
      <c r="CP54" s="48" t="inlineStr"/>
      <c r="CQ54" s="48" t="inlineStr"/>
      <c r="CR54" s="48" t="inlineStr"/>
      <c r="CS54" s="48">
        <f>IF(LEFT($J54,3)="ERR",0,1)</f>
        <v/>
      </c>
      <c r="CT54" s="48">
        <f>IF(LEFT($J54,3)="ADM",1,0)</f>
        <v/>
      </c>
      <c r="CU54" s="48">
        <f>IF(OR($J54="ADM-ACT-MAT-CNE",$J54="ADM-ACT-MAT-CE",$J54="ADM-INACT-M&amp;T"),1,0)</f>
        <v/>
      </c>
      <c r="CV54" s="48">
        <f>IF(AND(CU54=1,ISNUMBER(M54),ISNUMBER(I54)),M54-I54,"")</f>
        <v/>
      </c>
      <c r="CW54" s="48">
        <f>IF(ISNUMBER(I54),TODAY()-I54,"")</f>
        <v/>
      </c>
      <c r="CX54" s="48">
        <f>IF(ISNUMBER(I54),DATE(YEAR(I54),MONTH(I54),1),"")</f>
        <v/>
      </c>
      <c r="CY54" s="48">
        <f>IFERROR(DATEDIF(AK54,TODAY(),"y"),"")</f>
        <v/>
      </c>
      <c r="CZ54" s="48">
        <f>IF(CY54="","",IF(CY54&lt;28,"18-27",IF(CY54&lt;38,"28-37",IF(CY54&lt;48,"38-47",IF(CY54&lt;58,"48-57",IF(CY54&lt;68,"58-67",IF(CY54&lt;78,"68-77","78+")))))) </f>
        <v/>
      </c>
      <c r="DA54" s="48">
        <f>IF(AND(BQ54&lt;&gt;"",BR54=""),N(BS54),0)+IF(AND(BW54&lt;&gt;"",BX54=""),N(BY54),0)+IF(AND(CC54&lt;&gt;"",CD54=""),N(CE54),0)+IF(AND(CI54&lt;&gt;"",CJ54=""),N(CK54),0)+IF(AND(CO54&lt;&gt;"",CP54=""),N(CQ54),0)</f>
        <v/>
      </c>
      <c r="DB54" s="48">
        <f>ROUND(IF(BQ54&lt;&gt;"",N(BS54)*MAX(0,((IF(BR54="",TODAY(),BR54))-BQ54)/7),0)+IF(BW54&lt;&gt;"",N(BY54)*MAX(0,((IF(BX54="",TODAY(),BX54))-BW54)/7),0)+IF(CC54&lt;&gt;"",N(CE54)*MAX(0,((IF(CD54="",TODAY(),CD54))-CC54)/7),0)+IF(CI54&lt;&gt;"",N(CK54)*MAX(0,((IF(CJ54="",TODAY(),CJ54))-CI54)/7),0)+IF(CO54&lt;&gt;"",N(CQ54)*MAX(0,((IF(CP54="",TODAY(),CP54))-CO54)/7),0),1)</f>
        <v/>
      </c>
      <c r="DC54" s="48">
        <f>IF(OR(TRIM(X54)="",TRIM(X54)="NA;",TRIM(X54)="NA"),0,1)</f>
        <v/>
      </c>
      <c r="DD54" s="48">
        <f>IF(OR(TRIM(Y54)="",TRIM(Y54)="NA;",TRIM(Y54)="NA"),0,1)</f>
        <v/>
      </c>
      <c r="DE54" s="48">
        <f>IF(OR(TRIM(Z54)="",TRIM(Z54)="NA;",TRIM(Z54)="NA"),0,1)</f>
        <v/>
      </c>
      <c r="DF54" s="48">
        <f>IF(OR(TRIM(AA54)="",TRIM(AA54)="NA;",TRIM(AA54)="NA"),0,1)</f>
        <v/>
      </c>
      <c r="DG54" s="48">
        <f>IF(OR(TRIM(AB54)="",TRIM(AB54)="NA;",TRIM(AB54)="NA"),0,1)</f>
        <v/>
      </c>
      <c r="DH54" s="48">
        <f>IF(OR(TRIM(AC54)="",TRIM(AC54)="NA;",TRIM(AC54)="NA"),0,1)</f>
        <v/>
      </c>
      <c r="DI54" s="48">
        <f>IF(OR(TRIM(AD54)="",TRIM(AD54)="NA;",TRIM(AD54)="NA"),0,1)</f>
        <v/>
      </c>
      <c r="DJ54" s="48">
        <f>TRIM(IF(DC54=1,"Mon ","")&amp;IF(DD54=1,"Tue ","")&amp;IF(DE54=1,"Wed ","")&amp;IF(DF54=1,"Thu ","")&amp;IF(DG54=1,"Fri ","")&amp;IF(DH54=1,"Sat ","")&amp;IF(DI54=1,"Sun ",""))</f>
        <v/>
      </c>
    </row>
    <row r="55">
      <c r="A55" s="48" t="inlineStr">
        <is>
          <t>T-N-00003</t>
        </is>
      </c>
      <c r="B55" s="48" t="inlineStr">
        <is>
          <t>Yusuf Levi</t>
        </is>
      </c>
      <c r="C55" s="48" t="inlineStr">
        <is>
          <t>yusuf.levi53@example.com</t>
        </is>
      </c>
      <c r="D55" s="48" t="inlineStr">
        <is>
          <t>+61 404 856 406</t>
        </is>
      </c>
      <c r="E55" s="48" t="inlineStr">
        <is>
          <t>Yusuf Hadaya</t>
        </is>
      </c>
      <c r="F55" s="48" t="inlineStr">
        <is>
          <t>+61 494 345 809</t>
        </is>
      </c>
      <c r="G55" s="48" t="inlineStr">
        <is>
          <t>Sibling</t>
        </is>
      </c>
      <c r="H55" s="48" t="inlineStr">
        <is>
          <t>Tutor</t>
        </is>
      </c>
      <c r="I55" s="49" t="n">
        <v>45628</v>
      </c>
      <c r="J55" s="48" t="inlineStr">
        <is>
          <t>ADM-ACT-MAT-CE</t>
        </is>
      </c>
      <c r="K55" s="48">
        <f>IFERROR(VLOOKUP(J55,'(A) Introduction'!$B$35:$C$45,2,FALSE),"")</f>
        <v/>
      </c>
      <c r="L55" s="48" t="inlineStr">
        <is>
          <t>No</t>
        </is>
      </c>
      <c r="M55" s="48" t="inlineStr"/>
      <c r="N55" s="48" t="inlineStr"/>
      <c r="O55" s="48" t="n">
        <v>2</v>
      </c>
      <c r="P55" s="48">
        <f>IF($H55="Tutor",((BQ55&lt;&gt;"")*(BR55=""))+((BW55&lt;&gt;"")*(BX55=""))+((CC55&lt;&gt;"")*(CD55=""))+((CI55&lt;&gt;"")*(CJ55=""))+((CO55&lt;&gt;"")*(CP55="")),SUMPRODUCT(--($BO$3:$BO$202=$A55),--($BR$3:$BR$202=""))+SUMPRODUCT(--($BU$3:$BU$202=$A55),--($BX$3:$BX$202=""))+SUMPRODUCT(--($CA$3:$CA$202=$A55),--($CD$3:$CD$202=""))+SUMPRODUCT(--($CG$3:$CG$202=$A55),--($CJ$3:$CJ$202=""))+SUMPRODUCT(--($CM$3:$CM$202=$A55),--($CP$3:$CP$202="")))</f>
        <v/>
      </c>
      <c r="Q55" s="48">
        <f>IF($H55="Tutor",(BQ55&lt;&gt;"")+(BW55&lt;&gt;"")+(CC55&lt;&gt;"")+(CI55&lt;&gt;"")+(CO55&lt;&gt;""),SUMPRODUCT(--($BO$3:$BO$202=$A55))+SUMPRODUCT(--($BU$3:$BU$202=$A55))+SUMPRODUCT(--($CA$3:$CA$202=$A55))+SUMPRODUCT(--($CG$3:$CG$202=$A55))+SUMPRODUCT(--($CM$3:$CM$202=$A55)))</f>
        <v/>
      </c>
      <c r="R55" s="48">
        <f>IF($H55="Tutor",TRIM(IF(AND(BQ55&lt;&gt;"",BR55=""),BP55&amp;"; ","")&amp;IF(AND(BW55&lt;&gt;"",BX55=""),BV55&amp;"; ","")&amp;IF(AND(CC55&lt;&gt;"",CD55=""),CB55&amp;"; ","")&amp;IF(AND(CI55&lt;&gt;"",CJ55=""),CH55&amp;"; ","")&amp;IF(AND(CO55&lt;&gt;"",CP55=""),CN55&amp;"; ","")),IFERROR(INDEX($A$3:$B$202,(SUMPRODUCT(($BO$3:$BO$202=$A55)*($BR$3:$BR$202="")*ROW($BO$3:$BO$202))+SUMPRODUCT(($BU$3:$BU$202=$A55)*($BX$3:$BX$202="")*ROW($BU$3:$BU$202))+SUMPRODUCT(($CA$3:$CA$202=$A55)*($CD$3:$CD$202="")*ROW($CA$3:$CA$202))+SUMPRODUCT(($CG$3:$CG$202=$A55)*($CJ$3:$CJ$202="")*ROW($CG$3:$CG$202))+SUMPRODUCT(($CM$3:$CM$202=$A55)*($CP$3:$CP$202="")*ROW($CM$3:$CM$202)))-2,2),""))</f>
        <v/>
      </c>
      <c r="S55" s="48" t="inlineStr">
        <is>
          <t>Provided</t>
        </is>
      </c>
      <c r="T55" s="48" t="inlineStr"/>
      <c r="U55" s="48" t="inlineStr"/>
      <c r="V55" s="49" t="n">
        <v>45998</v>
      </c>
      <c r="W55" s="48" t="inlineStr">
        <is>
          <t>ACDT (UTC+10:30)</t>
        </is>
      </c>
      <c r="X55" s="48" t="inlineStr">
        <is>
          <t>3pm-6pm;</t>
        </is>
      </c>
      <c r="Y55" s="48" t="inlineStr">
        <is>
          <t>NA;</t>
        </is>
      </c>
      <c r="Z55" s="48" t="inlineStr">
        <is>
          <t>NA;</t>
        </is>
      </c>
      <c r="AA55" s="48" t="inlineStr">
        <is>
          <t>3pm-6pm;</t>
        </is>
      </c>
      <c r="AB55" s="48" t="inlineStr">
        <is>
          <t>6pm-9pm;</t>
        </is>
      </c>
      <c r="AC55" s="48" t="inlineStr">
        <is>
          <t>6am-9am;9am-12pm;</t>
        </is>
      </c>
      <c r="AD55" s="48" t="inlineStr">
        <is>
          <t>3pm-6pm;</t>
        </is>
      </c>
      <c r="AE55" s="48" t="inlineStr">
        <is>
          <t>In-Person</t>
        </is>
      </c>
      <c r="AF55" s="48" t="inlineStr">
        <is>
          <t>NA - Tutor</t>
        </is>
      </c>
      <c r="AG55" s="48" t="inlineStr">
        <is>
          <t>Australia</t>
        </is>
      </c>
      <c r="AH55" s="48" t="inlineStr">
        <is>
          <t>New South Wales</t>
        </is>
      </c>
      <c r="AI55" s="48" t="inlineStr">
        <is>
          <t>Greenacre</t>
        </is>
      </c>
      <c r="AJ55" s="48" t="inlineStr">
        <is>
          <t>2190</t>
        </is>
      </c>
      <c r="AK55" s="49" t="n">
        <v>33154</v>
      </c>
      <c r="AL55" s="48" t="inlineStr">
        <is>
          <t>Other</t>
        </is>
      </c>
      <c r="AM55" s="48" t="inlineStr">
        <is>
          <t>NA</t>
        </is>
      </c>
      <c r="AN55" s="48" t="inlineStr">
        <is>
          <t>NA - Tutor</t>
        </is>
      </c>
      <c r="AO55" s="48" t="inlineStr">
        <is>
          <t>Outstanding</t>
        </is>
      </c>
      <c r="AP55" s="48" t="inlineStr">
        <is>
          <t>Australia</t>
        </is>
      </c>
      <c r="AQ55" s="48" t="inlineStr">
        <is>
          <t>NA</t>
        </is>
      </c>
      <c r="AR55" s="48" t="inlineStr">
        <is>
          <t>English (C2)</t>
        </is>
      </c>
      <c r="AS55" s="48" t="inlineStr">
        <is>
          <t>NA</t>
        </is>
      </c>
      <c r="AT55" s="48" t="inlineStr">
        <is>
          <t>Health &amp; Medicine</t>
        </is>
      </c>
      <c r="AU55" s="48" t="inlineStr">
        <is>
          <t>Student</t>
        </is>
      </c>
      <c r="AV55" s="48" t="inlineStr">
        <is>
          <t>NA - Tutor</t>
        </is>
      </c>
      <c r="AW55" s="48" t="inlineStr">
        <is>
          <t>Gardening; Cooking; Walking</t>
        </is>
      </c>
      <c r="AX55" s="48" t="inlineStr">
        <is>
          <t>NA - Tutor</t>
        </is>
      </c>
      <c r="AY55" s="48" t="inlineStr">
        <is>
          <t>Yes</t>
        </is>
      </c>
      <c r="AZ55" s="48" t="inlineStr">
        <is>
          <t>No</t>
        </is>
      </c>
      <c r="BA55" s="48" t="inlineStr">
        <is>
          <t>Grace Yusuf</t>
        </is>
      </c>
      <c r="BB55" s="48" t="inlineStr">
        <is>
          <t>Manager</t>
        </is>
      </c>
      <c r="BC55" s="48" t="inlineStr">
        <is>
          <t>tom.cohen553@example.com</t>
        </is>
      </c>
      <c r="BD55" s="48" t="inlineStr">
        <is>
          <t>Yes</t>
        </is>
      </c>
      <c r="BE55" s="48" t="inlineStr">
        <is>
          <t>WWC7626953V</t>
        </is>
      </c>
      <c r="BF55" s="49" t="n">
        <v>46202</v>
      </c>
      <c r="BG55" s="48" t="inlineStr">
        <is>
          <t>No</t>
        </is>
      </c>
      <c r="BH55" s="48" t="inlineStr">
        <is>
          <t>Adults Only</t>
        </is>
      </c>
      <c r="BI55" s="48" t="inlineStr">
        <is>
          <t>Tasmania University (including the Law Society)</t>
        </is>
      </c>
      <c r="BJ55" s="48" t="inlineStr">
        <is>
          <t>KNIJNIK Marina</t>
        </is>
      </c>
      <c r="BK55" s="48" t="inlineStr">
        <is>
          <t>ZULMAN Levi</t>
        </is>
      </c>
      <c r="BL55" s="48" t="inlineStr">
        <is>
          <t>Synthetic test record.</t>
        </is>
      </c>
      <c r="BM55" s="48" t="inlineStr"/>
      <c r="BN55" s="48">
        <f>TRIM(IF(AND($H55="Student",$J55="ADM-ACT-MAT-CNE"),"Invalid: Student cannot be CNE. ","")&amp;IF(AND($H55="Student",ISNUMBER($O55)),"Check: capacity set for a Student. ","")&amp;IF(AND(LEFT($J55,11)="ADM-ACT-MAT",$P55=0),"Check: matched status but 0 active pairings. ","")&amp;IF(AND($H55="Tutor",ISNUMBER($O55),$P55&gt;$O55),"Check: pairings exceed capacity. ","")&amp;IF(AND($BH55="Everyone",NOT(AND($BD55="Yes",$BG55="Yes"))),"Check: approved to tutor children but WWCC not provided/confirmed. ","")&amp;IF(AND($P55&gt;0,NOT(AND(OR(LEFT($AY55,3)="Yes",LEFT($AY55,2)="NA"),OR(LEFT($AZ55,3)="Yes",LEFT($AZ55,2)="NA")))),"Matched but vetting incomplete (interview/reference). ","")&amp;IF(COUNTIF($B$3:$B$600,$B55)&gt;1,"Duplicate participant name. ",""))</f>
        <v/>
      </c>
      <c r="BO55" s="48" t="inlineStr">
        <is>
          <t>S-N-00050</t>
        </is>
      </c>
      <c r="BP55" s="48">
        <f>IFERROR(VLOOKUP(BO55,$A:$B,2,FALSE),"")</f>
        <v/>
      </c>
      <c r="BQ55" s="49" t="n">
        <v>46082</v>
      </c>
      <c r="BR55" s="48" t="inlineStr"/>
      <c r="BS55" s="48" t="n">
        <v>1</v>
      </c>
      <c r="BT55" s="48" t="inlineStr">
        <is>
          <t>MCCRORIE John</t>
        </is>
      </c>
      <c r="BU55" s="48" t="inlineStr">
        <is>
          <t>S-O-00002</t>
        </is>
      </c>
      <c r="BV55" s="48">
        <f>IFERROR(VLOOKUP(BU55,$A:$B,2,FALSE),"")</f>
        <v/>
      </c>
      <c r="BW55" s="49" t="n">
        <v>45356</v>
      </c>
      <c r="BX55" s="48" t="inlineStr"/>
      <c r="BY55" s="48" t="n">
        <v>1</v>
      </c>
      <c r="BZ55" s="48" t="inlineStr">
        <is>
          <t>CROCK Mary</t>
        </is>
      </c>
      <c r="CA55" s="48" t="inlineStr"/>
      <c r="CB55" s="48" t="inlineStr"/>
      <c r="CC55" s="48" t="inlineStr"/>
      <c r="CD55" s="48" t="inlineStr"/>
      <c r="CE55" s="48" t="inlineStr"/>
      <c r="CF55" s="48" t="inlineStr"/>
      <c r="CG55" s="48" t="inlineStr"/>
      <c r="CH55" s="48" t="inlineStr"/>
      <c r="CI55" s="48" t="inlineStr"/>
      <c r="CJ55" s="48" t="inlineStr"/>
      <c r="CK55" s="48" t="inlineStr"/>
      <c r="CL55" s="48" t="inlineStr"/>
      <c r="CM55" s="48" t="inlineStr"/>
      <c r="CN55" s="48" t="inlineStr"/>
      <c r="CO55" s="48" t="inlineStr"/>
      <c r="CP55" s="48" t="inlineStr"/>
      <c r="CQ55" s="48" t="inlineStr"/>
      <c r="CR55" s="48" t="inlineStr"/>
      <c r="CS55" s="48">
        <f>IF(LEFT($J55,3)="ERR",0,1)</f>
        <v/>
      </c>
      <c r="CT55" s="48">
        <f>IF(LEFT($J55,3)="ADM",1,0)</f>
        <v/>
      </c>
      <c r="CU55" s="48">
        <f>IF(OR($J55="ADM-ACT-MAT-CNE",$J55="ADM-ACT-MAT-CE",$J55="ADM-INACT-M&amp;T"),1,0)</f>
        <v/>
      </c>
      <c r="CV55" s="48">
        <f>IF(AND(CU55=1,ISNUMBER(M55),ISNUMBER(I55)),M55-I55,"")</f>
        <v/>
      </c>
      <c r="CW55" s="48">
        <f>IF(ISNUMBER(I55),TODAY()-I55,"")</f>
        <v/>
      </c>
      <c r="CX55" s="48">
        <f>IF(ISNUMBER(I55),DATE(YEAR(I55),MONTH(I55),1),"")</f>
        <v/>
      </c>
      <c r="CY55" s="48">
        <f>IFERROR(DATEDIF(AK55,TODAY(),"y"),"")</f>
        <v/>
      </c>
      <c r="CZ55" s="48">
        <f>IF(CY55="","",IF(CY55&lt;28,"18-27",IF(CY55&lt;38,"28-37",IF(CY55&lt;48,"38-47",IF(CY55&lt;58,"48-57",IF(CY55&lt;68,"58-67",IF(CY55&lt;78,"68-77","78+")))))) </f>
        <v/>
      </c>
      <c r="DA55" s="48">
        <f>IF(AND(BQ55&lt;&gt;"",BR55=""),N(BS55),0)+IF(AND(BW55&lt;&gt;"",BX55=""),N(BY55),0)+IF(AND(CC55&lt;&gt;"",CD55=""),N(CE55),0)+IF(AND(CI55&lt;&gt;"",CJ55=""),N(CK55),0)+IF(AND(CO55&lt;&gt;"",CP55=""),N(CQ55),0)</f>
        <v/>
      </c>
      <c r="DB55" s="48">
        <f>ROUND(IF(BQ55&lt;&gt;"",N(BS55)*MAX(0,((IF(BR55="",TODAY(),BR55))-BQ55)/7),0)+IF(BW55&lt;&gt;"",N(BY55)*MAX(0,((IF(BX55="",TODAY(),BX55))-BW55)/7),0)+IF(CC55&lt;&gt;"",N(CE55)*MAX(0,((IF(CD55="",TODAY(),CD55))-CC55)/7),0)+IF(CI55&lt;&gt;"",N(CK55)*MAX(0,((IF(CJ55="",TODAY(),CJ55))-CI55)/7),0)+IF(CO55&lt;&gt;"",N(CQ55)*MAX(0,((IF(CP55="",TODAY(),CP55))-CO55)/7),0),1)</f>
        <v/>
      </c>
      <c r="DC55" s="48">
        <f>IF(OR(TRIM(X55)="",TRIM(X55)="NA;",TRIM(X55)="NA"),0,1)</f>
        <v/>
      </c>
      <c r="DD55" s="48">
        <f>IF(OR(TRIM(Y55)="",TRIM(Y55)="NA;",TRIM(Y55)="NA"),0,1)</f>
        <v/>
      </c>
      <c r="DE55" s="48">
        <f>IF(OR(TRIM(Z55)="",TRIM(Z55)="NA;",TRIM(Z55)="NA"),0,1)</f>
        <v/>
      </c>
      <c r="DF55" s="48">
        <f>IF(OR(TRIM(AA55)="",TRIM(AA55)="NA;",TRIM(AA55)="NA"),0,1)</f>
        <v/>
      </c>
      <c r="DG55" s="48">
        <f>IF(OR(TRIM(AB55)="",TRIM(AB55)="NA;",TRIM(AB55)="NA"),0,1)</f>
        <v/>
      </c>
      <c r="DH55" s="48">
        <f>IF(OR(TRIM(AC55)="",TRIM(AC55)="NA;",TRIM(AC55)="NA"),0,1)</f>
        <v/>
      </c>
      <c r="DI55" s="48">
        <f>IF(OR(TRIM(AD55)="",TRIM(AD55)="NA;",TRIM(AD55)="NA"),0,1)</f>
        <v/>
      </c>
      <c r="DJ55" s="48">
        <f>TRIM(IF(DC55=1,"Mon ","")&amp;IF(DD55=1,"Tue ","")&amp;IF(DE55=1,"Wed ","")&amp;IF(DF55=1,"Thu ","")&amp;IF(DG55=1,"Fri ","")&amp;IF(DH55=1,"Sat ","")&amp;IF(DI55=1,"Sun ",""))</f>
        <v/>
      </c>
    </row>
    <row r="56">
      <c r="A56" s="48" t="inlineStr">
        <is>
          <t>T-N-00004</t>
        </is>
      </c>
      <c r="B56" s="48" t="inlineStr">
        <is>
          <t>Nour Lee</t>
        </is>
      </c>
      <c r="C56" s="48" t="inlineStr">
        <is>
          <t>nour.lee54@example.com</t>
        </is>
      </c>
      <c r="D56" s="48" t="inlineStr">
        <is>
          <t>+61 411 410 685</t>
        </is>
      </c>
      <c r="E56" s="48" t="inlineStr">
        <is>
          <t>Mark Lee</t>
        </is>
      </c>
      <c r="F56" s="48" t="inlineStr">
        <is>
          <t>+61 490 788 318</t>
        </is>
      </c>
      <c r="G56" s="48" t="inlineStr">
        <is>
          <t>Caseworker</t>
        </is>
      </c>
      <c r="H56" s="48" t="inlineStr">
        <is>
          <t>Tutor</t>
        </is>
      </c>
      <c r="I56" s="49" t="n">
        <v>45640</v>
      </c>
      <c r="J56" s="48" t="inlineStr">
        <is>
          <t>ADM-ACT-MAT-CNE</t>
        </is>
      </c>
      <c r="K56" s="48">
        <f>IFERROR(VLOOKUP(J56,'(A) Introduction'!$B$35:$C$45,2,FALSE),"")</f>
        <v/>
      </c>
      <c r="L56" s="48" t="inlineStr">
        <is>
          <t>No</t>
        </is>
      </c>
      <c r="M56" s="48" t="inlineStr"/>
      <c r="N56" s="48" t="inlineStr"/>
      <c r="O56" s="48" t="n">
        <v>3</v>
      </c>
      <c r="P56" s="48">
        <f>IF($H56="Tutor",((BQ56&lt;&gt;"")*(BR56=""))+((BW56&lt;&gt;"")*(BX56=""))+((CC56&lt;&gt;"")*(CD56=""))+((CI56&lt;&gt;"")*(CJ56=""))+((CO56&lt;&gt;"")*(CP56="")),SUMPRODUCT(--($BO$3:$BO$202=$A56),--($BR$3:$BR$202=""))+SUMPRODUCT(--($BU$3:$BU$202=$A56),--($BX$3:$BX$202=""))+SUMPRODUCT(--($CA$3:$CA$202=$A56),--($CD$3:$CD$202=""))+SUMPRODUCT(--($CG$3:$CG$202=$A56),--($CJ$3:$CJ$202=""))+SUMPRODUCT(--($CM$3:$CM$202=$A56),--($CP$3:$CP$202="")))</f>
        <v/>
      </c>
      <c r="Q56" s="48">
        <f>IF($H56="Tutor",(BQ56&lt;&gt;"")+(BW56&lt;&gt;"")+(CC56&lt;&gt;"")+(CI56&lt;&gt;"")+(CO56&lt;&gt;""),SUMPRODUCT(--($BO$3:$BO$202=$A56))+SUMPRODUCT(--($BU$3:$BU$202=$A56))+SUMPRODUCT(--($CA$3:$CA$202=$A56))+SUMPRODUCT(--($CG$3:$CG$202=$A56))+SUMPRODUCT(--($CM$3:$CM$202=$A56)))</f>
        <v/>
      </c>
      <c r="R56" s="48">
        <f>IF($H56="Tutor",TRIM(IF(AND(BQ56&lt;&gt;"",BR56=""),BP56&amp;"; ","")&amp;IF(AND(BW56&lt;&gt;"",BX56=""),BV56&amp;"; ","")&amp;IF(AND(CC56&lt;&gt;"",CD56=""),CB56&amp;"; ","")&amp;IF(AND(CI56&lt;&gt;"",CJ56=""),CH56&amp;"; ","")&amp;IF(AND(CO56&lt;&gt;"",CP56=""),CN56&amp;"; ","")),IFERROR(INDEX($A$3:$B$202,(SUMPRODUCT(($BO$3:$BO$202=$A56)*($BR$3:$BR$202="")*ROW($BO$3:$BO$202))+SUMPRODUCT(($BU$3:$BU$202=$A56)*($BX$3:$BX$202="")*ROW($BU$3:$BU$202))+SUMPRODUCT(($CA$3:$CA$202=$A56)*($CD$3:$CD$202="")*ROW($CA$3:$CA$202))+SUMPRODUCT(($CG$3:$CG$202=$A56)*($CJ$3:$CJ$202="")*ROW($CG$3:$CG$202))+SUMPRODUCT(($CM$3:$CM$202=$A56)*($CP$3:$CP$202="")*ROW($CM$3:$CM$202)))-2,2),""))</f>
        <v/>
      </c>
      <c r="S56" s="48" t="inlineStr">
        <is>
          <t>Provided</t>
        </is>
      </c>
      <c r="T56" s="48" t="inlineStr"/>
      <c r="U56" s="48" t="inlineStr"/>
      <c r="V56" s="49" t="n">
        <v>46087</v>
      </c>
      <c r="W56" s="48" t="inlineStr">
        <is>
          <t>AEST (UTC+10)</t>
        </is>
      </c>
      <c r="X56" s="48" t="inlineStr">
        <is>
          <t>6pm-9pm;</t>
        </is>
      </c>
      <c r="Y56" s="48" t="inlineStr">
        <is>
          <t>6am-9am;9am-12pm;</t>
        </is>
      </c>
      <c r="Z56" s="48" t="inlineStr">
        <is>
          <t>12pm-3pm;</t>
        </is>
      </c>
      <c r="AA56" s="48" t="inlineStr">
        <is>
          <t>NA;</t>
        </is>
      </c>
      <c r="AB56" s="48" t="inlineStr">
        <is>
          <t>3pm-6pm;</t>
        </is>
      </c>
      <c r="AC56" s="48" t="inlineStr">
        <is>
          <t>12pm-3pm;6pm-9pm;</t>
        </is>
      </c>
      <c r="AD56" s="48" t="inlineStr">
        <is>
          <t>12pm-3pm;</t>
        </is>
      </c>
      <c r="AE56" s="48" t="inlineStr">
        <is>
          <t>In-Person</t>
        </is>
      </c>
      <c r="AF56" s="48" t="inlineStr">
        <is>
          <t>NA - Tutor</t>
        </is>
      </c>
      <c r="AG56" s="48" t="inlineStr">
        <is>
          <t>Australia</t>
        </is>
      </c>
      <c r="AH56" s="48" t="inlineStr">
        <is>
          <t>New South Wales</t>
        </is>
      </c>
      <c r="AI56" s="48" t="inlineStr">
        <is>
          <t>Fairfield</t>
        </is>
      </c>
      <c r="AJ56" s="48" t="inlineStr">
        <is>
          <t>2165</t>
        </is>
      </c>
      <c r="AK56" s="49" t="n">
        <v>34996</v>
      </c>
      <c r="AL56" s="48" t="inlineStr">
        <is>
          <t>Male</t>
        </is>
      </c>
      <c r="AM56" s="48" t="inlineStr">
        <is>
          <t>NA</t>
        </is>
      </c>
      <c r="AN56" s="48" t="inlineStr">
        <is>
          <t>NA - Tutor</t>
        </is>
      </c>
      <c r="AO56" s="48" t="inlineStr">
        <is>
          <t>High</t>
        </is>
      </c>
      <c r="AP56" s="48" t="inlineStr">
        <is>
          <t>Russia</t>
        </is>
      </c>
      <c r="AQ56" s="48" t="inlineStr">
        <is>
          <t>NA</t>
        </is>
      </c>
      <c r="AR56" s="48" t="inlineStr">
        <is>
          <t>English (C2)</t>
        </is>
      </c>
      <c r="AS56" s="48" t="inlineStr">
        <is>
          <t>Muslim</t>
        </is>
      </c>
      <c r="AT56" s="48" t="inlineStr">
        <is>
          <t>Health &amp; Medicine</t>
        </is>
      </c>
      <c r="AU56" s="48" t="inlineStr">
        <is>
          <t>Community Worker</t>
        </is>
      </c>
      <c r="AV56" s="48" t="inlineStr">
        <is>
          <t>NA - Tutor</t>
        </is>
      </c>
      <c r="AW56" s="48" t="inlineStr">
        <is>
          <t>Reading; Politics; Music</t>
        </is>
      </c>
      <c r="AX56" s="48" t="inlineStr">
        <is>
          <t>NA - Tutor</t>
        </is>
      </c>
      <c r="AY56" s="48" t="inlineStr">
        <is>
          <t>Yes</t>
        </is>
      </c>
      <c r="AZ56" s="48" t="inlineStr">
        <is>
          <t>Yes</t>
        </is>
      </c>
      <c r="BA56" s="48" t="inlineStr">
        <is>
          <t>Hassan Harris</t>
        </is>
      </c>
      <c r="BB56" s="48" t="inlineStr">
        <is>
          <t>Academic Referee</t>
        </is>
      </c>
      <c r="BC56" s="48" t="inlineStr">
        <is>
          <t>tom.lopez554@example.com</t>
        </is>
      </c>
      <c r="BD56" s="48" t="inlineStr">
        <is>
          <t>Pending</t>
        </is>
      </c>
      <c r="BE56" s="48" t="inlineStr"/>
      <c r="BF56" s="48" t="inlineStr"/>
      <c r="BG56" s="48" t="inlineStr">
        <is>
          <t>Yes</t>
        </is>
      </c>
      <c r="BH56" s="48" t="inlineStr">
        <is>
          <t>Adults Only</t>
        </is>
      </c>
      <c r="BI56" s="48" t="inlineStr">
        <is>
          <t>Notice Board</t>
        </is>
      </c>
      <c r="BJ56" s="48" t="inlineStr">
        <is>
          <t>HALLORAN Isobel</t>
        </is>
      </c>
      <c r="BK56" s="48" t="inlineStr">
        <is>
          <t>MCCRORIE John</t>
        </is>
      </c>
      <c r="BL56" s="48" t="inlineStr">
        <is>
          <t>Synthetic test record.</t>
        </is>
      </c>
      <c r="BM56" s="48" t="inlineStr"/>
      <c r="BN56" s="48">
        <f>TRIM(IF(AND($H56="Student",$J56="ADM-ACT-MAT-CNE"),"Invalid: Student cannot be CNE. ","")&amp;IF(AND($H56="Student",ISNUMBER($O56)),"Check: capacity set for a Student. ","")&amp;IF(AND(LEFT($J56,11)="ADM-ACT-MAT",$P56=0),"Check: matched status but 0 active pairings. ","")&amp;IF(AND($H56="Tutor",ISNUMBER($O56),$P56&gt;$O56),"Check: pairings exceed capacity. ","")&amp;IF(AND($BH56="Everyone",NOT(AND($BD56="Yes",$BG56="Yes"))),"Check: approved to tutor children but WWCC not provided/confirmed. ","")&amp;IF(AND($P56&gt;0,NOT(AND(OR(LEFT($AY56,3)="Yes",LEFT($AY56,2)="NA"),OR(LEFT($AZ56,3)="Yes",LEFT($AZ56,2)="NA")))),"Matched but vetting incomplete (interview/reference). ","")&amp;IF(COUNTIF($B$3:$B$600,$B56)&gt;1,"Duplicate participant name. ",""))</f>
        <v/>
      </c>
      <c r="BO56" s="48" t="inlineStr">
        <is>
          <t>S-O-00003</t>
        </is>
      </c>
      <c r="BP56" s="48">
        <f>IFERROR(VLOOKUP(BO56,$A:$B,2,FALSE),"")</f>
        <v/>
      </c>
      <c r="BQ56" s="49" t="n">
        <v>45412</v>
      </c>
      <c r="BR56" s="48" t="inlineStr"/>
      <c r="BS56" s="48" t="n">
        <v>2</v>
      </c>
      <c r="BT56" s="48" t="inlineStr">
        <is>
          <t>THET Moh Moh</t>
        </is>
      </c>
      <c r="BU56" s="48" t="inlineStr"/>
      <c r="BV56" s="48" t="inlineStr"/>
      <c r="BW56" s="48" t="inlineStr"/>
      <c r="BX56" s="48" t="inlineStr"/>
      <c r="BY56" s="48" t="inlineStr"/>
      <c r="BZ56" s="48" t="inlineStr"/>
      <c r="CA56" s="48" t="inlineStr"/>
      <c r="CB56" s="48" t="inlineStr"/>
      <c r="CC56" s="48" t="inlineStr"/>
      <c r="CD56" s="48" t="inlineStr"/>
      <c r="CE56" s="48" t="inlineStr"/>
      <c r="CF56" s="48" t="inlineStr"/>
      <c r="CG56" s="48" t="inlineStr"/>
      <c r="CH56" s="48" t="inlineStr"/>
      <c r="CI56" s="48" t="inlineStr"/>
      <c r="CJ56" s="48" t="inlineStr"/>
      <c r="CK56" s="48" t="inlineStr"/>
      <c r="CL56" s="48" t="inlineStr"/>
      <c r="CM56" s="48" t="inlineStr"/>
      <c r="CN56" s="48" t="inlineStr"/>
      <c r="CO56" s="48" t="inlineStr"/>
      <c r="CP56" s="48" t="inlineStr"/>
      <c r="CQ56" s="48" t="inlineStr"/>
      <c r="CR56" s="48" t="inlineStr"/>
      <c r="CS56" s="48">
        <f>IF(LEFT($J56,3)="ERR",0,1)</f>
        <v/>
      </c>
      <c r="CT56" s="48">
        <f>IF(LEFT($J56,3)="ADM",1,0)</f>
        <v/>
      </c>
      <c r="CU56" s="48">
        <f>IF(OR($J56="ADM-ACT-MAT-CNE",$J56="ADM-ACT-MAT-CE",$J56="ADM-INACT-M&amp;T"),1,0)</f>
        <v/>
      </c>
      <c r="CV56" s="48">
        <f>IF(AND(CU56=1,ISNUMBER(M56),ISNUMBER(I56)),M56-I56,"")</f>
        <v/>
      </c>
      <c r="CW56" s="48">
        <f>IF(ISNUMBER(I56),TODAY()-I56,"")</f>
        <v/>
      </c>
      <c r="CX56" s="48">
        <f>IF(ISNUMBER(I56),DATE(YEAR(I56),MONTH(I56),1),"")</f>
        <v/>
      </c>
      <c r="CY56" s="48">
        <f>IFERROR(DATEDIF(AK56,TODAY(),"y"),"")</f>
        <v/>
      </c>
      <c r="CZ56" s="48">
        <f>IF(CY56="","",IF(CY56&lt;28,"18-27",IF(CY56&lt;38,"28-37",IF(CY56&lt;48,"38-47",IF(CY56&lt;58,"48-57",IF(CY56&lt;68,"58-67",IF(CY56&lt;78,"68-77","78+")))))) </f>
        <v/>
      </c>
      <c r="DA56" s="48">
        <f>IF(AND(BQ56&lt;&gt;"",BR56=""),N(BS56),0)+IF(AND(BW56&lt;&gt;"",BX56=""),N(BY56),0)+IF(AND(CC56&lt;&gt;"",CD56=""),N(CE56),0)+IF(AND(CI56&lt;&gt;"",CJ56=""),N(CK56),0)+IF(AND(CO56&lt;&gt;"",CP56=""),N(CQ56),0)</f>
        <v/>
      </c>
      <c r="DB56" s="48">
        <f>ROUND(IF(BQ56&lt;&gt;"",N(BS56)*MAX(0,((IF(BR56="",TODAY(),BR56))-BQ56)/7),0)+IF(BW56&lt;&gt;"",N(BY56)*MAX(0,((IF(BX56="",TODAY(),BX56))-BW56)/7),0)+IF(CC56&lt;&gt;"",N(CE56)*MAX(0,((IF(CD56="",TODAY(),CD56))-CC56)/7),0)+IF(CI56&lt;&gt;"",N(CK56)*MAX(0,((IF(CJ56="",TODAY(),CJ56))-CI56)/7),0)+IF(CO56&lt;&gt;"",N(CQ56)*MAX(0,((IF(CP56="",TODAY(),CP56))-CO56)/7),0),1)</f>
        <v/>
      </c>
      <c r="DC56" s="48">
        <f>IF(OR(TRIM(X56)="",TRIM(X56)="NA;",TRIM(X56)="NA"),0,1)</f>
        <v/>
      </c>
      <c r="DD56" s="48">
        <f>IF(OR(TRIM(Y56)="",TRIM(Y56)="NA;",TRIM(Y56)="NA"),0,1)</f>
        <v/>
      </c>
      <c r="DE56" s="48">
        <f>IF(OR(TRIM(Z56)="",TRIM(Z56)="NA;",TRIM(Z56)="NA"),0,1)</f>
        <v/>
      </c>
      <c r="DF56" s="48">
        <f>IF(OR(TRIM(AA56)="",TRIM(AA56)="NA;",TRIM(AA56)="NA"),0,1)</f>
        <v/>
      </c>
      <c r="DG56" s="48">
        <f>IF(OR(TRIM(AB56)="",TRIM(AB56)="NA;",TRIM(AB56)="NA"),0,1)</f>
        <v/>
      </c>
      <c r="DH56" s="48">
        <f>IF(OR(TRIM(AC56)="",TRIM(AC56)="NA;",TRIM(AC56)="NA"),0,1)</f>
        <v/>
      </c>
      <c r="DI56" s="48">
        <f>IF(OR(TRIM(AD56)="",TRIM(AD56)="NA;",TRIM(AD56)="NA"),0,1)</f>
        <v/>
      </c>
      <c r="DJ56" s="48">
        <f>TRIM(IF(DC56=1,"Mon ","")&amp;IF(DD56=1,"Tue ","")&amp;IF(DE56=1,"Wed ","")&amp;IF(DF56=1,"Thu ","")&amp;IF(DG56=1,"Fri ","")&amp;IF(DH56=1,"Sat ","")&amp;IF(DI56=1,"Sun ",""))</f>
        <v/>
      </c>
    </row>
    <row r="57">
      <c r="A57" s="48" t="inlineStr">
        <is>
          <t>T-N-00005</t>
        </is>
      </c>
      <c r="B57" s="48" t="inlineStr">
        <is>
          <t>Zara Ali</t>
        </is>
      </c>
      <c r="C57" s="48" t="inlineStr">
        <is>
          <t>zara.ali55@example.com</t>
        </is>
      </c>
      <c r="D57" s="48" t="inlineStr">
        <is>
          <t>+61 419 465 765</t>
        </is>
      </c>
      <c r="E57" s="48" t="inlineStr">
        <is>
          <t>Mark Ibrahim</t>
        </is>
      </c>
      <c r="F57" s="48" t="inlineStr">
        <is>
          <t>+61 491 597 500</t>
        </is>
      </c>
      <c r="G57" s="48" t="inlineStr">
        <is>
          <t>Spouse</t>
        </is>
      </c>
      <c r="H57" s="48" t="inlineStr">
        <is>
          <t>Tutor</t>
        </is>
      </c>
      <c r="I57" s="49" t="n">
        <v>45644</v>
      </c>
      <c r="J57" s="48" t="inlineStr">
        <is>
          <t>ADM-INACT-NOM&amp;T</t>
        </is>
      </c>
      <c r="K57" s="48">
        <f>IFERROR(VLOOKUP(J57,'(A) Introduction'!$B$35:$C$45,2,FALSE),"")</f>
        <v/>
      </c>
      <c r="L57" s="48" t="inlineStr">
        <is>
          <t>No</t>
        </is>
      </c>
      <c r="M57" s="48" t="inlineStr"/>
      <c r="N57" s="48" t="inlineStr"/>
      <c r="O57" s="48" t="n">
        <v>3</v>
      </c>
      <c r="P57" s="48">
        <f>IF($H57="Tutor",((BQ57&lt;&gt;"")*(BR57=""))+((BW57&lt;&gt;"")*(BX57=""))+((CC57&lt;&gt;"")*(CD57=""))+((CI57&lt;&gt;"")*(CJ57=""))+((CO57&lt;&gt;"")*(CP57="")),SUMPRODUCT(--($BO$3:$BO$202=$A57),--($BR$3:$BR$202=""))+SUMPRODUCT(--($BU$3:$BU$202=$A57),--($BX$3:$BX$202=""))+SUMPRODUCT(--($CA$3:$CA$202=$A57),--($CD$3:$CD$202=""))+SUMPRODUCT(--($CG$3:$CG$202=$A57),--($CJ$3:$CJ$202=""))+SUMPRODUCT(--($CM$3:$CM$202=$A57),--($CP$3:$CP$202="")))</f>
        <v/>
      </c>
      <c r="Q57" s="48">
        <f>IF($H57="Tutor",(BQ57&lt;&gt;"")+(BW57&lt;&gt;"")+(CC57&lt;&gt;"")+(CI57&lt;&gt;"")+(CO57&lt;&gt;""),SUMPRODUCT(--($BO$3:$BO$202=$A57))+SUMPRODUCT(--($BU$3:$BU$202=$A57))+SUMPRODUCT(--($CA$3:$CA$202=$A57))+SUMPRODUCT(--($CG$3:$CG$202=$A57))+SUMPRODUCT(--($CM$3:$CM$202=$A57)))</f>
        <v/>
      </c>
      <c r="R57" s="48">
        <f>IF($H57="Tutor",TRIM(IF(AND(BQ57&lt;&gt;"",BR57=""),BP57&amp;"; ","")&amp;IF(AND(BW57&lt;&gt;"",BX57=""),BV57&amp;"; ","")&amp;IF(AND(CC57&lt;&gt;"",CD57=""),CB57&amp;"; ","")&amp;IF(AND(CI57&lt;&gt;"",CJ57=""),CH57&amp;"; ","")&amp;IF(AND(CO57&lt;&gt;"",CP57=""),CN57&amp;"; ","")),IFERROR(INDEX($A$3:$B$202,(SUMPRODUCT(($BO$3:$BO$202=$A57)*($BR$3:$BR$202="")*ROW($BO$3:$BO$202))+SUMPRODUCT(($BU$3:$BU$202=$A57)*($BX$3:$BX$202="")*ROW($BU$3:$BU$202))+SUMPRODUCT(($CA$3:$CA$202=$A57)*($CD$3:$CD$202="")*ROW($CA$3:$CA$202))+SUMPRODUCT(($CG$3:$CG$202=$A57)*($CJ$3:$CJ$202="")*ROW($CG$3:$CG$202))+SUMPRODUCT(($CM$3:$CM$202=$A57)*($CP$3:$CP$202="")*ROW($CM$3:$CM$202)))-2,2),""))</f>
        <v/>
      </c>
      <c r="S57" s="48" t="inlineStr">
        <is>
          <t>Not Provided</t>
        </is>
      </c>
      <c r="T57" s="48" t="inlineStr"/>
      <c r="U57" s="48" t="inlineStr"/>
      <c r="V57" s="49" t="n">
        <v>45622</v>
      </c>
      <c r="W57" s="48" t="inlineStr">
        <is>
          <t>AEDT (UTC+11)</t>
        </is>
      </c>
      <c r="X57" s="48" t="inlineStr">
        <is>
          <t>9am-12pm;12pm-3pm;3pm-6pm;</t>
        </is>
      </c>
      <c r="Y57" s="48" t="inlineStr">
        <is>
          <t>6pm-9pm;</t>
        </is>
      </c>
      <c r="Z57" s="48" t="inlineStr">
        <is>
          <t>9am-12pm;12pm-3pm;3pm-6pm;</t>
        </is>
      </c>
      <c r="AA57" s="48" t="inlineStr">
        <is>
          <t>12pm-3pm;</t>
        </is>
      </c>
      <c r="AB57" s="48" t="inlineStr">
        <is>
          <t>12pm-3pm;</t>
        </is>
      </c>
      <c r="AC57" s="48" t="inlineStr">
        <is>
          <t>6pm-9pm;</t>
        </is>
      </c>
      <c r="AD57" s="48" t="inlineStr">
        <is>
          <t>9am-12pm;12pm-3pm;3pm-6pm;</t>
        </is>
      </c>
      <c r="AE57" s="48" t="inlineStr">
        <is>
          <t>In-Person</t>
        </is>
      </c>
      <c r="AF57" s="48" t="inlineStr">
        <is>
          <t>NA - Tutor</t>
        </is>
      </c>
      <c r="AG57" s="48" t="inlineStr">
        <is>
          <t>Australia</t>
        </is>
      </c>
      <c r="AH57" s="48" t="inlineStr">
        <is>
          <t>Victoria</t>
        </is>
      </c>
      <c r="AI57" s="48" t="inlineStr">
        <is>
          <t>Footscray</t>
        </is>
      </c>
      <c r="AJ57" s="48" t="inlineStr">
        <is>
          <t>3011</t>
        </is>
      </c>
      <c r="AK57" s="49" t="n">
        <v>31300</v>
      </c>
      <c r="AL57" s="48" t="inlineStr">
        <is>
          <t>Other</t>
        </is>
      </c>
      <c r="AM57" s="48" t="inlineStr">
        <is>
          <t>NA</t>
        </is>
      </c>
      <c r="AN57" s="48" t="inlineStr">
        <is>
          <t>NA - Tutor</t>
        </is>
      </c>
      <c r="AO57" s="48" t="inlineStr">
        <is>
          <t>High</t>
        </is>
      </c>
      <c r="AP57" s="48" t="inlineStr">
        <is>
          <t>Australia</t>
        </is>
      </c>
      <c r="AQ57" s="48" t="inlineStr">
        <is>
          <t>NA</t>
        </is>
      </c>
      <c r="AR57" s="48" t="inlineStr">
        <is>
          <t>English (C2)</t>
        </is>
      </c>
      <c r="AS57" s="48" t="inlineStr">
        <is>
          <t>Christian</t>
        </is>
      </c>
      <c r="AT57" s="48" t="inlineStr">
        <is>
          <t>Arts, Media &amp; Design</t>
        </is>
      </c>
      <c r="AU57" s="48" t="inlineStr">
        <is>
          <t>Retail</t>
        </is>
      </c>
      <c r="AV57" s="48" t="inlineStr">
        <is>
          <t>NA - Tutor</t>
        </is>
      </c>
      <c r="AW57" s="48" t="inlineStr">
        <is>
          <t>Football; Cooking; Family</t>
        </is>
      </c>
      <c r="AX57" s="48" t="inlineStr">
        <is>
          <t>NA - Tutor</t>
        </is>
      </c>
      <c r="AY57" s="48" t="inlineStr">
        <is>
          <t>Yes</t>
        </is>
      </c>
      <c r="AZ57" s="48" t="inlineStr">
        <is>
          <t>Yes</t>
        </is>
      </c>
      <c r="BA57" s="48" t="inlineStr">
        <is>
          <t>Camila Smith</t>
        </is>
      </c>
      <c r="BB57" s="48" t="inlineStr">
        <is>
          <t>Colleague</t>
        </is>
      </c>
      <c r="BC57" s="48" t="inlineStr">
        <is>
          <t>rania.ali555@example.com</t>
        </is>
      </c>
      <c r="BD57" s="48" t="inlineStr">
        <is>
          <t>Yes</t>
        </is>
      </c>
      <c r="BE57" s="48" t="inlineStr">
        <is>
          <t>WWC3098653E</t>
        </is>
      </c>
      <c r="BF57" s="49" t="n">
        <v>46051</v>
      </c>
      <c r="BG57" s="48" t="inlineStr">
        <is>
          <t>Yes</t>
        </is>
      </c>
      <c r="BH57" s="48" t="inlineStr">
        <is>
          <t>Everyone</t>
        </is>
      </c>
      <c r="BI57" s="48" t="inlineStr">
        <is>
          <t>University of Sydney (including St. Paul's College)</t>
        </is>
      </c>
      <c r="BJ57" s="48" t="inlineStr">
        <is>
          <t>NUICH Curtis</t>
        </is>
      </c>
      <c r="BK57" s="48" t="inlineStr">
        <is>
          <t>CROCK Mary</t>
        </is>
      </c>
      <c r="BL57" s="48" t="inlineStr">
        <is>
          <t>Synthetic test record.</t>
        </is>
      </c>
      <c r="BM57" s="48" t="inlineStr"/>
      <c r="BN57" s="48">
        <f>TRIM(IF(AND($H57="Student",$J57="ADM-ACT-MAT-CNE"),"Invalid: Student cannot be CNE. ","")&amp;IF(AND($H57="Student",ISNUMBER($O57)),"Check: capacity set for a Student. ","")&amp;IF(AND(LEFT($J57,11)="ADM-ACT-MAT",$P57=0),"Check: matched status but 0 active pairings. ","")&amp;IF(AND($H57="Tutor",ISNUMBER($O57),$P57&gt;$O57),"Check: pairings exceed capacity. ","")&amp;IF(AND($BH57="Everyone",NOT(AND($BD57="Yes",$BG57="Yes"))),"Check: approved to tutor children but WWCC not provided/confirmed. ","")&amp;IF(AND($P57&gt;0,NOT(AND(OR(LEFT($AY57,3)="Yes",LEFT($AY57,2)="NA"),OR(LEFT($AZ57,3)="Yes",LEFT($AZ57,2)="NA")))),"Matched but vetting incomplete (interview/reference). ","")&amp;IF(COUNTIF($B$3:$B$600,$B57)&gt;1,"Duplicate participant name. ",""))</f>
        <v/>
      </c>
      <c r="BO57" s="48" t="inlineStr"/>
      <c r="BP57" s="48" t="inlineStr"/>
      <c r="BQ57" s="48" t="inlineStr"/>
      <c r="BR57" s="48" t="inlineStr"/>
      <c r="BS57" s="48" t="inlineStr"/>
      <c r="BT57" s="48" t="inlineStr"/>
      <c r="BU57" s="48" t="inlineStr"/>
      <c r="BV57" s="48" t="inlineStr"/>
      <c r="BW57" s="48" t="inlineStr"/>
      <c r="BX57" s="48" t="inlineStr"/>
      <c r="BY57" s="48" t="inlineStr"/>
      <c r="BZ57" s="48" t="inlineStr"/>
      <c r="CA57" s="48" t="inlineStr"/>
      <c r="CB57" s="48" t="inlineStr"/>
      <c r="CC57" s="48" t="inlineStr"/>
      <c r="CD57" s="48" t="inlineStr"/>
      <c r="CE57" s="48" t="inlineStr"/>
      <c r="CF57" s="48" t="inlineStr"/>
      <c r="CG57" s="48" t="inlineStr"/>
      <c r="CH57" s="48" t="inlineStr"/>
      <c r="CI57" s="48" t="inlineStr"/>
      <c r="CJ57" s="48" t="inlineStr"/>
      <c r="CK57" s="48" t="inlineStr"/>
      <c r="CL57" s="48" t="inlineStr"/>
      <c r="CM57" s="48" t="inlineStr"/>
      <c r="CN57" s="48" t="inlineStr"/>
      <c r="CO57" s="48" t="inlineStr"/>
      <c r="CP57" s="48" t="inlineStr"/>
      <c r="CQ57" s="48" t="inlineStr"/>
      <c r="CR57" s="48" t="inlineStr"/>
      <c r="CS57" s="48">
        <f>IF(LEFT($J57,3)="ERR",0,1)</f>
        <v/>
      </c>
      <c r="CT57" s="48">
        <f>IF(LEFT($J57,3)="ADM",1,0)</f>
        <v/>
      </c>
      <c r="CU57" s="48">
        <f>IF(OR($J57="ADM-ACT-MAT-CNE",$J57="ADM-ACT-MAT-CE",$J57="ADM-INACT-M&amp;T"),1,0)</f>
        <v/>
      </c>
      <c r="CV57" s="48">
        <f>IF(AND(CU57=1,ISNUMBER(M57),ISNUMBER(I57)),M57-I57,"")</f>
        <v/>
      </c>
      <c r="CW57" s="48">
        <f>IF(ISNUMBER(I57),TODAY()-I57,"")</f>
        <v/>
      </c>
      <c r="CX57" s="48">
        <f>IF(ISNUMBER(I57),DATE(YEAR(I57),MONTH(I57),1),"")</f>
        <v/>
      </c>
      <c r="CY57" s="48">
        <f>IFERROR(DATEDIF(AK57,TODAY(),"y"),"")</f>
        <v/>
      </c>
      <c r="CZ57" s="48">
        <f>IF(CY57="","",IF(CY57&lt;28,"18-27",IF(CY57&lt;38,"28-37",IF(CY57&lt;48,"38-47",IF(CY57&lt;58,"48-57",IF(CY57&lt;68,"58-67",IF(CY57&lt;78,"68-77","78+")))))) </f>
        <v/>
      </c>
      <c r="DA57" s="48">
        <f>IF(AND(BQ57&lt;&gt;"",BR57=""),N(BS57),0)+IF(AND(BW57&lt;&gt;"",BX57=""),N(BY57),0)+IF(AND(CC57&lt;&gt;"",CD57=""),N(CE57),0)+IF(AND(CI57&lt;&gt;"",CJ57=""),N(CK57),0)+IF(AND(CO57&lt;&gt;"",CP57=""),N(CQ57),0)</f>
        <v/>
      </c>
      <c r="DB57" s="48">
        <f>ROUND(IF(BQ57&lt;&gt;"",N(BS57)*MAX(0,((IF(BR57="",TODAY(),BR57))-BQ57)/7),0)+IF(BW57&lt;&gt;"",N(BY57)*MAX(0,((IF(BX57="",TODAY(),BX57))-BW57)/7),0)+IF(CC57&lt;&gt;"",N(CE57)*MAX(0,((IF(CD57="",TODAY(),CD57))-CC57)/7),0)+IF(CI57&lt;&gt;"",N(CK57)*MAX(0,((IF(CJ57="",TODAY(),CJ57))-CI57)/7),0)+IF(CO57&lt;&gt;"",N(CQ57)*MAX(0,((IF(CP57="",TODAY(),CP57))-CO57)/7),0),1)</f>
        <v/>
      </c>
      <c r="DC57" s="48">
        <f>IF(OR(TRIM(X57)="",TRIM(X57)="NA;",TRIM(X57)="NA"),0,1)</f>
        <v/>
      </c>
      <c r="DD57" s="48">
        <f>IF(OR(TRIM(Y57)="",TRIM(Y57)="NA;",TRIM(Y57)="NA"),0,1)</f>
        <v/>
      </c>
      <c r="DE57" s="48">
        <f>IF(OR(TRIM(Z57)="",TRIM(Z57)="NA;",TRIM(Z57)="NA"),0,1)</f>
        <v/>
      </c>
      <c r="DF57" s="48">
        <f>IF(OR(TRIM(AA57)="",TRIM(AA57)="NA;",TRIM(AA57)="NA"),0,1)</f>
        <v/>
      </c>
      <c r="DG57" s="48">
        <f>IF(OR(TRIM(AB57)="",TRIM(AB57)="NA;",TRIM(AB57)="NA"),0,1)</f>
        <v/>
      </c>
      <c r="DH57" s="48">
        <f>IF(OR(TRIM(AC57)="",TRIM(AC57)="NA;",TRIM(AC57)="NA"),0,1)</f>
        <v/>
      </c>
      <c r="DI57" s="48">
        <f>IF(OR(TRIM(AD57)="",TRIM(AD57)="NA;",TRIM(AD57)="NA"),0,1)</f>
        <v/>
      </c>
      <c r="DJ57" s="48">
        <f>TRIM(IF(DC57=1,"Mon ","")&amp;IF(DD57=1,"Tue ","")&amp;IF(DE57=1,"Wed ","")&amp;IF(DF57=1,"Thu ","")&amp;IF(DG57=1,"Fri ","")&amp;IF(DH57=1,"Sat ","")&amp;IF(DI57=1,"Sun ",""))</f>
        <v/>
      </c>
    </row>
    <row r="58">
      <c r="A58" s="48" t="inlineStr">
        <is>
          <t>T-N-00006</t>
        </is>
      </c>
      <c r="B58" s="48" t="inlineStr">
        <is>
          <t>Camila Levi</t>
        </is>
      </c>
      <c r="C58" s="48" t="inlineStr">
        <is>
          <t>camila.levi56@example.com</t>
        </is>
      </c>
      <c r="D58" s="48" t="inlineStr">
        <is>
          <t>+61 472 059 572</t>
        </is>
      </c>
      <c r="E58" s="48" t="inlineStr">
        <is>
          <t>Pedro Morris</t>
        </is>
      </c>
      <c r="F58" s="48" t="inlineStr">
        <is>
          <t>+61 448 459 890</t>
        </is>
      </c>
      <c r="G58" s="48" t="inlineStr">
        <is>
          <t>Adult Child</t>
        </is>
      </c>
      <c r="H58" s="48" t="inlineStr">
        <is>
          <t>Tutor</t>
        </is>
      </c>
      <c r="I58" s="49" t="n">
        <v>45648</v>
      </c>
      <c r="J58" s="48" t="inlineStr">
        <is>
          <t>ADM-ACT-MAT-CNE</t>
        </is>
      </c>
      <c r="K58" s="48">
        <f>IFERROR(VLOOKUP(J58,'(A) Introduction'!$B$35:$C$45,2,FALSE),"")</f>
        <v/>
      </c>
      <c r="L58" s="48" t="inlineStr">
        <is>
          <t>No</t>
        </is>
      </c>
      <c r="M58" s="48" t="inlineStr"/>
      <c r="N58" s="48" t="inlineStr"/>
      <c r="O58" s="48" t="n">
        <v>3</v>
      </c>
      <c r="P58" s="48">
        <f>IF($H58="Tutor",((BQ58&lt;&gt;"")*(BR58=""))+((BW58&lt;&gt;"")*(BX58=""))+((CC58&lt;&gt;"")*(CD58=""))+((CI58&lt;&gt;"")*(CJ58=""))+((CO58&lt;&gt;"")*(CP58="")),SUMPRODUCT(--($BO$3:$BO$202=$A58),--($BR$3:$BR$202=""))+SUMPRODUCT(--($BU$3:$BU$202=$A58),--($BX$3:$BX$202=""))+SUMPRODUCT(--($CA$3:$CA$202=$A58),--($CD$3:$CD$202=""))+SUMPRODUCT(--($CG$3:$CG$202=$A58),--($CJ$3:$CJ$202=""))+SUMPRODUCT(--($CM$3:$CM$202=$A58),--($CP$3:$CP$202="")))</f>
        <v/>
      </c>
      <c r="Q58" s="48">
        <f>IF($H58="Tutor",(BQ58&lt;&gt;"")+(BW58&lt;&gt;"")+(CC58&lt;&gt;"")+(CI58&lt;&gt;"")+(CO58&lt;&gt;""),SUMPRODUCT(--($BO$3:$BO$202=$A58))+SUMPRODUCT(--($BU$3:$BU$202=$A58))+SUMPRODUCT(--($CA$3:$CA$202=$A58))+SUMPRODUCT(--($CG$3:$CG$202=$A58))+SUMPRODUCT(--($CM$3:$CM$202=$A58)))</f>
        <v/>
      </c>
      <c r="R58" s="48">
        <f>IF($H58="Tutor",TRIM(IF(AND(BQ58&lt;&gt;"",BR58=""),BP58&amp;"; ","")&amp;IF(AND(BW58&lt;&gt;"",BX58=""),BV58&amp;"; ","")&amp;IF(AND(CC58&lt;&gt;"",CD58=""),CB58&amp;"; ","")&amp;IF(AND(CI58&lt;&gt;"",CJ58=""),CH58&amp;"; ","")&amp;IF(AND(CO58&lt;&gt;"",CP58=""),CN58&amp;"; ","")),IFERROR(INDEX($A$3:$B$202,(SUMPRODUCT(($BO$3:$BO$202=$A58)*($BR$3:$BR$202="")*ROW($BO$3:$BO$202))+SUMPRODUCT(($BU$3:$BU$202=$A58)*($BX$3:$BX$202="")*ROW($BU$3:$BU$202))+SUMPRODUCT(($CA$3:$CA$202=$A58)*($CD$3:$CD$202="")*ROW($CA$3:$CA$202))+SUMPRODUCT(($CG$3:$CG$202=$A58)*($CJ$3:$CJ$202="")*ROW($CG$3:$CG$202))+SUMPRODUCT(($CM$3:$CM$202=$A58)*($CP$3:$CP$202="")*ROW($CM$3:$CM$202)))-2,2),""))</f>
        <v/>
      </c>
      <c r="S58" s="48" t="inlineStr">
        <is>
          <t>NA</t>
        </is>
      </c>
      <c r="T58" s="48" t="inlineStr"/>
      <c r="U58" s="48" t="inlineStr"/>
      <c r="V58" s="49" t="n">
        <v>45795</v>
      </c>
      <c r="W58" s="48" t="inlineStr">
        <is>
          <t>AWST (UTC+8)</t>
        </is>
      </c>
      <c r="X58" s="48" t="inlineStr">
        <is>
          <t>3pm-6pm;</t>
        </is>
      </c>
      <c r="Y58" s="48" t="inlineStr">
        <is>
          <t>NA;</t>
        </is>
      </c>
      <c r="Z58" s="48" t="inlineStr">
        <is>
          <t>12pm-3pm;6pm-9pm;</t>
        </is>
      </c>
      <c r="AA58" s="48" t="inlineStr">
        <is>
          <t>3pm-6pm;</t>
        </is>
      </c>
      <c r="AB58" s="48" t="inlineStr">
        <is>
          <t>NA;</t>
        </is>
      </c>
      <c r="AC58" s="48" t="inlineStr">
        <is>
          <t>12pm-3pm;</t>
        </is>
      </c>
      <c r="AD58" s="48" t="inlineStr">
        <is>
          <t>6pm-9pm;</t>
        </is>
      </c>
      <c r="AE58" s="48" t="inlineStr">
        <is>
          <t>Online</t>
        </is>
      </c>
      <c r="AF58" s="48" t="inlineStr">
        <is>
          <t>NA - Tutor</t>
        </is>
      </c>
      <c r="AG58" s="48" t="inlineStr">
        <is>
          <t>Australia</t>
        </is>
      </c>
      <c r="AH58" s="48" t="inlineStr">
        <is>
          <t>New South Wales</t>
        </is>
      </c>
      <c r="AI58" s="48" t="inlineStr">
        <is>
          <t>Blacktown</t>
        </is>
      </c>
      <c r="AJ58" s="48" t="inlineStr">
        <is>
          <t>2148</t>
        </is>
      </c>
      <c r="AK58" s="49" t="n">
        <v>29588</v>
      </c>
      <c r="AL58" s="48" t="inlineStr">
        <is>
          <t>Male</t>
        </is>
      </c>
      <c r="AM58" s="48" t="inlineStr">
        <is>
          <t>NA</t>
        </is>
      </c>
      <c r="AN58" s="48" t="inlineStr">
        <is>
          <t>NA - Tutor</t>
        </is>
      </c>
      <c r="AO58" s="48" t="inlineStr">
        <is>
          <t>Low</t>
        </is>
      </c>
      <c r="AP58" s="48" t="inlineStr">
        <is>
          <t>Lebanon</t>
        </is>
      </c>
      <c r="AQ58" s="48" t="inlineStr">
        <is>
          <t>NA</t>
        </is>
      </c>
      <c r="AR58" s="48" t="inlineStr">
        <is>
          <t>English (C2)</t>
        </is>
      </c>
      <c r="AS58" s="48" t="inlineStr">
        <is>
          <t>Muslim</t>
        </is>
      </c>
      <c r="AT58" s="48" t="inlineStr">
        <is>
          <t>Business &amp; Finance</t>
        </is>
      </c>
      <c r="AU58" s="48" t="inlineStr">
        <is>
          <t>Lawyer</t>
        </is>
      </c>
      <c r="AV58" s="48" t="inlineStr">
        <is>
          <t>NA - Tutor</t>
        </is>
      </c>
      <c r="AW58" s="48" t="inlineStr">
        <is>
          <t>Cooking; Reading; Music</t>
        </is>
      </c>
      <c r="AX58" s="48" t="inlineStr">
        <is>
          <t>NA - Tutor</t>
        </is>
      </c>
      <c r="AY58" s="48" t="inlineStr">
        <is>
          <t>NA - Partner Organisation Verified</t>
        </is>
      </c>
      <c r="AZ58" s="48" t="inlineStr">
        <is>
          <t>NA - Partner Organisation Verified</t>
        </is>
      </c>
      <c r="BA58" s="48" t="inlineStr">
        <is>
          <t>Tariq Garcia</t>
        </is>
      </c>
      <c r="BB58" s="48" t="inlineStr">
        <is>
          <t>Manager</t>
        </is>
      </c>
      <c r="BC58" s="48" t="inlineStr">
        <is>
          <t>james.yang556@example.com</t>
        </is>
      </c>
      <c r="BD58" s="48" t="inlineStr">
        <is>
          <t>Yes</t>
        </is>
      </c>
      <c r="BE58" s="48" t="inlineStr">
        <is>
          <t>WWC1266510E</t>
        </is>
      </c>
      <c r="BF58" s="49" t="n">
        <v>46077</v>
      </c>
      <c r="BG58" s="48" t="inlineStr">
        <is>
          <t>No</t>
        </is>
      </c>
      <c r="BH58" s="48" t="inlineStr">
        <is>
          <t>Adults Only</t>
        </is>
      </c>
      <c r="BI58" s="48" t="inlineStr">
        <is>
          <t>Tasmania University (including the Law Society)</t>
        </is>
      </c>
      <c r="BJ58" s="48" t="inlineStr">
        <is>
          <t>ZULMAN Levi</t>
        </is>
      </c>
      <c r="BK58" s="48" t="inlineStr">
        <is>
          <t>THET Moh Moh</t>
        </is>
      </c>
      <c r="BL58" s="48" t="inlineStr">
        <is>
          <t>Synthetic test record.</t>
        </is>
      </c>
      <c r="BM58" s="48" t="inlineStr"/>
      <c r="BN58" s="48">
        <f>TRIM(IF(AND($H58="Student",$J58="ADM-ACT-MAT-CNE"),"Invalid: Student cannot be CNE. ","")&amp;IF(AND($H58="Student",ISNUMBER($O58)),"Check: capacity set for a Student. ","")&amp;IF(AND(LEFT($J58,11)="ADM-ACT-MAT",$P58=0),"Check: matched status but 0 active pairings. ","")&amp;IF(AND($H58="Tutor",ISNUMBER($O58),$P58&gt;$O58),"Check: pairings exceed capacity. ","")&amp;IF(AND($BH58="Everyone",NOT(AND($BD58="Yes",$BG58="Yes"))),"Check: approved to tutor children but WWCC not provided/confirmed. ","")&amp;IF(AND($P58&gt;0,NOT(AND(OR(LEFT($AY58,3)="Yes",LEFT($AY58,2)="NA"),OR(LEFT($AZ58,3)="Yes",LEFT($AZ58,2)="NA")))),"Matched but vetting incomplete (interview/reference). ","")&amp;IF(COUNTIF($B$3:$B$600,$B58)&gt;1,"Duplicate participant name. ",""))</f>
        <v/>
      </c>
      <c r="BO58" s="48" t="inlineStr">
        <is>
          <t>S-N-00038</t>
        </is>
      </c>
      <c r="BP58" s="48">
        <f>IFERROR(VLOOKUP(BO58,$A:$B,2,FALSE),"")</f>
        <v/>
      </c>
      <c r="BQ58" s="49" t="n">
        <v>45988</v>
      </c>
      <c r="BR58" s="48" t="inlineStr"/>
      <c r="BS58" s="48" t="n">
        <v>2</v>
      </c>
      <c r="BT58" s="48" t="inlineStr">
        <is>
          <t>KNIJNIK Marina</t>
        </is>
      </c>
      <c r="BU58" s="48" t="inlineStr">
        <is>
          <t>S-N-00018</t>
        </is>
      </c>
      <c r="BV58" s="48">
        <f>IFERROR(VLOOKUP(BU58,$A:$B,2,FALSE),"")</f>
        <v/>
      </c>
      <c r="BW58" s="49" t="n">
        <v>45914</v>
      </c>
      <c r="BX58" s="48" t="inlineStr"/>
      <c r="BY58" s="48" t="n">
        <v>1</v>
      </c>
      <c r="BZ58" s="48" t="inlineStr">
        <is>
          <t>AGARWAL Akanksha</t>
        </is>
      </c>
      <c r="CA58" s="48" t="inlineStr"/>
      <c r="CB58" s="48" t="inlineStr"/>
      <c r="CC58" s="48" t="inlineStr"/>
      <c r="CD58" s="48" t="inlineStr"/>
      <c r="CE58" s="48" t="inlineStr"/>
      <c r="CF58" s="48" t="inlineStr"/>
      <c r="CG58" s="48" t="inlineStr"/>
      <c r="CH58" s="48" t="inlineStr"/>
      <c r="CI58" s="48" t="inlineStr"/>
      <c r="CJ58" s="48" t="inlineStr"/>
      <c r="CK58" s="48" t="inlineStr"/>
      <c r="CL58" s="48" t="inlineStr"/>
      <c r="CM58" s="48" t="inlineStr"/>
      <c r="CN58" s="48" t="inlineStr"/>
      <c r="CO58" s="48" t="inlineStr"/>
      <c r="CP58" s="48" t="inlineStr"/>
      <c r="CQ58" s="48" t="inlineStr"/>
      <c r="CR58" s="48" t="inlineStr"/>
      <c r="CS58" s="48">
        <f>IF(LEFT($J58,3)="ERR",0,1)</f>
        <v/>
      </c>
      <c r="CT58" s="48">
        <f>IF(LEFT($J58,3)="ADM",1,0)</f>
        <v/>
      </c>
      <c r="CU58" s="48">
        <f>IF(OR($J58="ADM-ACT-MAT-CNE",$J58="ADM-ACT-MAT-CE",$J58="ADM-INACT-M&amp;T"),1,0)</f>
        <v/>
      </c>
      <c r="CV58" s="48">
        <f>IF(AND(CU58=1,ISNUMBER(M58),ISNUMBER(I58)),M58-I58,"")</f>
        <v/>
      </c>
      <c r="CW58" s="48">
        <f>IF(ISNUMBER(I58),TODAY()-I58,"")</f>
        <v/>
      </c>
      <c r="CX58" s="48">
        <f>IF(ISNUMBER(I58),DATE(YEAR(I58),MONTH(I58),1),"")</f>
        <v/>
      </c>
      <c r="CY58" s="48">
        <f>IFERROR(DATEDIF(AK58,TODAY(),"y"),"")</f>
        <v/>
      </c>
      <c r="CZ58" s="48">
        <f>IF(CY58="","",IF(CY58&lt;28,"18-27",IF(CY58&lt;38,"28-37",IF(CY58&lt;48,"38-47",IF(CY58&lt;58,"48-57",IF(CY58&lt;68,"58-67",IF(CY58&lt;78,"68-77","78+")))))) </f>
        <v/>
      </c>
      <c r="DA58" s="48">
        <f>IF(AND(BQ58&lt;&gt;"",BR58=""),N(BS58),0)+IF(AND(BW58&lt;&gt;"",BX58=""),N(BY58),0)+IF(AND(CC58&lt;&gt;"",CD58=""),N(CE58),0)+IF(AND(CI58&lt;&gt;"",CJ58=""),N(CK58),0)+IF(AND(CO58&lt;&gt;"",CP58=""),N(CQ58),0)</f>
        <v/>
      </c>
      <c r="DB58" s="48">
        <f>ROUND(IF(BQ58&lt;&gt;"",N(BS58)*MAX(0,((IF(BR58="",TODAY(),BR58))-BQ58)/7),0)+IF(BW58&lt;&gt;"",N(BY58)*MAX(0,((IF(BX58="",TODAY(),BX58))-BW58)/7),0)+IF(CC58&lt;&gt;"",N(CE58)*MAX(0,((IF(CD58="",TODAY(),CD58))-CC58)/7),0)+IF(CI58&lt;&gt;"",N(CK58)*MAX(0,((IF(CJ58="",TODAY(),CJ58))-CI58)/7),0)+IF(CO58&lt;&gt;"",N(CQ58)*MAX(0,((IF(CP58="",TODAY(),CP58))-CO58)/7),0),1)</f>
        <v/>
      </c>
      <c r="DC58" s="48">
        <f>IF(OR(TRIM(X58)="",TRIM(X58)="NA;",TRIM(X58)="NA"),0,1)</f>
        <v/>
      </c>
      <c r="DD58" s="48">
        <f>IF(OR(TRIM(Y58)="",TRIM(Y58)="NA;",TRIM(Y58)="NA"),0,1)</f>
        <v/>
      </c>
      <c r="DE58" s="48">
        <f>IF(OR(TRIM(Z58)="",TRIM(Z58)="NA;",TRIM(Z58)="NA"),0,1)</f>
        <v/>
      </c>
      <c r="DF58" s="48">
        <f>IF(OR(TRIM(AA58)="",TRIM(AA58)="NA;",TRIM(AA58)="NA"),0,1)</f>
        <v/>
      </c>
      <c r="DG58" s="48">
        <f>IF(OR(TRIM(AB58)="",TRIM(AB58)="NA;",TRIM(AB58)="NA"),0,1)</f>
        <v/>
      </c>
      <c r="DH58" s="48">
        <f>IF(OR(TRIM(AC58)="",TRIM(AC58)="NA;",TRIM(AC58)="NA"),0,1)</f>
        <v/>
      </c>
      <c r="DI58" s="48">
        <f>IF(OR(TRIM(AD58)="",TRIM(AD58)="NA;",TRIM(AD58)="NA"),0,1)</f>
        <v/>
      </c>
      <c r="DJ58" s="48">
        <f>TRIM(IF(DC58=1,"Mon ","")&amp;IF(DD58=1,"Tue ","")&amp;IF(DE58=1,"Wed ","")&amp;IF(DF58=1,"Thu ","")&amp;IF(DG58=1,"Fri ","")&amp;IF(DH58=1,"Sat ","")&amp;IF(DI58=1,"Sun ",""))</f>
        <v/>
      </c>
    </row>
    <row r="59">
      <c r="A59" s="48" t="inlineStr">
        <is>
          <t>T-N-00007</t>
        </is>
      </c>
      <c r="B59" s="48" t="inlineStr">
        <is>
          <t>Hassan Ahmed</t>
        </is>
      </c>
      <c r="C59" s="48" t="inlineStr">
        <is>
          <t>hassan.ahmed57@example.com</t>
        </is>
      </c>
      <c r="D59" s="48" t="inlineStr">
        <is>
          <t>+61 450 541 130</t>
        </is>
      </c>
      <c r="E59" s="48" t="inlineStr">
        <is>
          <t>Sarah Rafipour</t>
        </is>
      </c>
      <c r="F59" s="48" t="inlineStr">
        <is>
          <t>+61 431 758 045</t>
        </is>
      </c>
      <c r="G59" s="48" t="inlineStr">
        <is>
          <t>Adult Child</t>
        </is>
      </c>
      <c r="H59" s="48" t="inlineStr">
        <is>
          <t>Tutor</t>
        </is>
      </c>
      <c r="I59" s="49" t="n">
        <v>45659</v>
      </c>
      <c r="J59" s="48" t="inlineStr">
        <is>
          <t>ADM-ACT-MAT-CNE</t>
        </is>
      </c>
      <c r="K59" s="48">
        <f>IFERROR(VLOOKUP(J59,'(A) Introduction'!$B$35:$C$45,2,FALSE),"")</f>
        <v/>
      </c>
      <c r="L59" s="48" t="inlineStr">
        <is>
          <t>No</t>
        </is>
      </c>
      <c r="M59" s="48" t="inlineStr"/>
      <c r="N59" s="48" t="inlineStr"/>
      <c r="O59" s="48" t="n">
        <v>3</v>
      </c>
      <c r="P59" s="48">
        <f>IF($H59="Tutor",((BQ59&lt;&gt;"")*(BR59=""))+((BW59&lt;&gt;"")*(BX59=""))+((CC59&lt;&gt;"")*(CD59=""))+((CI59&lt;&gt;"")*(CJ59=""))+((CO59&lt;&gt;"")*(CP59="")),SUMPRODUCT(--($BO$3:$BO$202=$A59),--($BR$3:$BR$202=""))+SUMPRODUCT(--($BU$3:$BU$202=$A59),--($BX$3:$BX$202=""))+SUMPRODUCT(--($CA$3:$CA$202=$A59),--($CD$3:$CD$202=""))+SUMPRODUCT(--($CG$3:$CG$202=$A59),--($CJ$3:$CJ$202=""))+SUMPRODUCT(--($CM$3:$CM$202=$A59),--($CP$3:$CP$202="")))</f>
        <v/>
      </c>
      <c r="Q59" s="48">
        <f>IF($H59="Tutor",(BQ59&lt;&gt;"")+(BW59&lt;&gt;"")+(CC59&lt;&gt;"")+(CI59&lt;&gt;"")+(CO59&lt;&gt;""),SUMPRODUCT(--($BO$3:$BO$202=$A59))+SUMPRODUCT(--($BU$3:$BU$202=$A59))+SUMPRODUCT(--($CA$3:$CA$202=$A59))+SUMPRODUCT(--($CG$3:$CG$202=$A59))+SUMPRODUCT(--($CM$3:$CM$202=$A59)))</f>
        <v/>
      </c>
      <c r="R59" s="48">
        <f>IF($H59="Tutor",TRIM(IF(AND(BQ59&lt;&gt;"",BR59=""),BP59&amp;"; ","")&amp;IF(AND(BW59&lt;&gt;"",BX59=""),BV59&amp;"; ","")&amp;IF(AND(CC59&lt;&gt;"",CD59=""),CB59&amp;"; ","")&amp;IF(AND(CI59&lt;&gt;"",CJ59=""),CH59&amp;"; ","")&amp;IF(AND(CO59&lt;&gt;"",CP59=""),CN59&amp;"; ","")),IFERROR(INDEX($A$3:$B$202,(SUMPRODUCT(($BO$3:$BO$202=$A59)*($BR$3:$BR$202="")*ROW($BO$3:$BO$202))+SUMPRODUCT(($BU$3:$BU$202=$A59)*($BX$3:$BX$202="")*ROW($BU$3:$BU$202))+SUMPRODUCT(($CA$3:$CA$202=$A59)*($CD$3:$CD$202="")*ROW($CA$3:$CA$202))+SUMPRODUCT(($CG$3:$CG$202=$A59)*($CJ$3:$CJ$202="")*ROW($CG$3:$CG$202))+SUMPRODUCT(($CM$3:$CM$202=$A59)*($CP$3:$CP$202="")*ROW($CM$3:$CM$202)))-2,2),""))</f>
        <v/>
      </c>
      <c r="S59" s="48" t="inlineStr">
        <is>
          <t>Provided</t>
        </is>
      </c>
      <c r="T59" s="48" t="inlineStr"/>
      <c r="U59" s="48" t="inlineStr"/>
      <c r="V59" s="49" t="n">
        <v>46117</v>
      </c>
      <c r="W59" s="48" t="inlineStr">
        <is>
          <t>AWST (UTC+8)</t>
        </is>
      </c>
      <c r="X59" s="48" t="inlineStr">
        <is>
          <t>NA;</t>
        </is>
      </c>
      <c r="Y59" s="48" t="inlineStr">
        <is>
          <t>3pm-6pm;</t>
        </is>
      </c>
      <c r="Z59" s="48" t="inlineStr">
        <is>
          <t>6pm-9pm;</t>
        </is>
      </c>
      <c r="AA59" s="48" t="inlineStr">
        <is>
          <t>9am-12pm;12pm-3pm;3pm-6pm;</t>
        </is>
      </c>
      <c r="AB59" s="48" t="inlineStr">
        <is>
          <t>12pm-3pm;6pm-9pm;</t>
        </is>
      </c>
      <c r="AC59" s="48" t="inlineStr">
        <is>
          <t>9am-12pm;12pm-3pm;3pm-6pm;</t>
        </is>
      </c>
      <c r="AD59" s="48" t="inlineStr">
        <is>
          <t>12pm-3pm;6pm-9pm;</t>
        </is>
      </c>
      <c r="AE59" s="48" t="inlineStr">
        <is>
          <t>Online</t>
        </is>
      </c>
      <c r="AF59" s="48" t="inlineStr">
        <is>
          <t>NA - Tutor</t>
        </is>
      </c>
      <c r="AG59" s="48" t="inlineStr">
        <is>
          <t>Australia</t>
        </is>
      </c>
      <c r="AH59" s="48" t="inlineStr">
        <is>
          <t>Victoria</t>
        </is>
      </c>
      <c r="AI59" s="48" t="inlineStr">
        <is>
          <t>Sunshine</t>
        </is>
      </c>
      <c r="AJ59" s="48" t="inlineStr">
        <is>
          <t>3020</t>
        </is>
      </c>
      <c r="AK59" s="49" t="n">
        <v>26702</v>
      </c>
      <c r="AL59" s="48" t="inlineStr">
        <is>
          <t>Male</t>
        </is>
      </c>
      <c r="AM59" s="48" t="inlineStr">
        <is>
          <t>NA</t>
        </is>
      </c>
      <c r="AN59" s="48" t="inlineStr">
        <is>
          <t>NA - Tutor</t>
        </is>
      </c>
      <c r="AO59" s="48" t="inlineStr">
        <is>
          <t>High</t>
        </is>
      </c>
      <c r="AP59" s="48" t="inlineStr">
        <is>
          <t>Australia; Vietnam</t>
        </is>
      </c>
      <c r="AQ59" s="48" t="inlineStr">
        <is>
          <t>NA</t>
        </is>
      </c>
      <c r="AR59" s="48" t="inlineStr">
        <is>
          <t>Ukrainian (C2)</t>
        </is>
      </c>
      <c r="AS59" s="48" t="inlineStr">
        <is>
          <t>Muslim</t>
        </is>
      </c>
      <c r="AT59" s="48" t="inlineStr">
        <is>
          <t>Other / Unspecified</t>
        </is>
      </c>
      <c r="AU59" s="48" t="inlineStr">
        <is>
          <t>Cleaner</t>
        </is>
      </c>
      <c r="AV59" s="48" t="inlineStr">
        <is>
          <t>NA - Tutor</t>
        </is>
      </c>
      <c r="AW59" s="48" t="inlineStr">
        <is>
          <t>Football; Cooking; Family</t>
        </is>
      </c>
      <c r="AX59" s="48" t="inlineStr">
        <is>
          <t>NA - Tutor</t>
        </is>
      </c>
      <c r="AY59" s="48" t="inlineStr">
        <is>
          <t>Yes</t>
        </is>
      </c>
      <c r="AZ59" s="48" t="inlineStr">
        <is>
          <t>Yes</t>
        </is>
      </c>
      <c r="BA59" s="48" t="inlineStr">
        <is>
          <t>Bilal Lopez</t>
        </is>
      </c>
      <c r="BB59" s="48" t="inlineStr">
        <is>
          <t>Manager</t>
        </is>
      </c>
      <c r="BC59" s="48" t="inlineStr">
        <is>
          <t>ava.rafipour557@example.com</t>
        </is>
      </c>
      <c r="BD59" s="48" t="inlineStr">
        <is>
          <t>Yes</t>
        </is>
      </c>
      <c r="BE59" s="48" t="inlineStr">
        <is>
          <t>WWC4510288V</t>
        </is>
      </c>
      <c r="BF59" s="49" t="n">
        <v>46320</v>
      </c>
      <c r="BG59" s="48" t="inlineStr">
        <is>
          <t>Yes</t>
        </is>
      </c>
      <c r="BH59" s="48" t="inlineStr">
        <is>
          <t>Adults Only</t>
        </is>
      </c>
      <c r="BI59" s="48" t="inlineStr">
        <is>
          <t>University of Queensland (Including the Refugee Tutoring Club)</t>
        </is>
      </c>
      <c r="BJ59" s="48" t="inlineStr">
        <is>
          <t>AGARWAL Akanksha</t>
        </is>
      </c>
      <c r="BK59" s="48" t="inlineStr">
        <is>
          <t>NUICH Curtis</t>
        </is>
      </c>
      <c r="BL59" s="48" t="inlineStr">
        <is>
          <t>Synthetic test record.</t>
        </is>
      </c>
      <c r="BM59" s="48" t="inlineStr"/>
      <c r="BN59" s="48">
        <f>TRIM(IF(AND($H59="Student",$J59="ADM-ACT-MAT-CNE"),"Invalid: Student cannot be CNE. ","")&amp;IF(AND($H59="Student",ISNUMBER($O59)),"Check: capacity set for a Student. ","")&amp;IF(AND(LEFT($J59,11)="ADM-ACT-MAT",$P59=0),"Check: matched status but 0 active pairings. ","")&amp;IF(AND($H59="Tutor",ISNUMBER($O59),$P59&gt;$O59),"Check: pairings exceed capacity. ","")&amp;IF(AND($BH59="Everyone",NOT(AND($BD59="Yes",$BG59="Yes"))),"Check: approved to tutor children but WWCC not provided/confirmed. ","")&amp;IF(AND($P59&gt;0,NOT(AND(OR(LEFT($AY59,3)="Yes",LEFT($AY59,2)="NA"),OR(LEFT($AZ59,3)="Yes",LEFT($AZ59,2)="NA")))),"Matched but vetting incomplete (interview/reference). ","")&amp;IF(COUNTIF($B$3:$B$600,$B59)&gt;1,"Duplicate participant name. ",""))</f>
        <v/>
      </c>
      <c r="BO59" s="48" t="inlineStr">
        <is>
          <t>S-O-00008</t>
        </is>
      </c>
      <c r="BP59" s="48">
        <f>IFERROR(VLOOKUP(BO59,$A:$B,2,FALSE),"")</f>
        <v/>
      </c>
      <c r="BQ59" s="49" t="n">
        <v>45415</v>
      </c>
      <c r="BR59" s="48" t="inlineStr"/>
      <c r="BS59" s="48" t="n">
        <v>1</v>
      </c>
      <c r="BT59" s="48" t="inlineStr">
        <is>
          <t>SINGH Veera</t>
        </is>
      </c>
      <c r="BU59" s="48" t="inlineStr">
        <is>
          <t>S-N-00031</t>
        </is>
      </c>
      <c r="BV59" s="48">
        <f>IFERROR(VLOOKUP(BU59,$A:$B,2,FALSE),"")</f>
        <v/>
      </c>
      <c r="BW59" s="49" t="n">
        <v>45943</v>
      </c>
      <c r="BX59" s="48" t="inlineStr"/>
      <c r="BY59" s="48" t="n">
        <v>1</v>
      </c>
      <c r="BZ59" s="48" t="inlineStr">
        <is>
          <t>AGARWAL Akanksha</t>
        </is>
      </c>
      <c r="CA59" s="48" t="inlineStr"/>
      <c r="CB59" s="48" t="inlineStr"/>
      <c r="CC59" s="48" t="inlineStr"/>
      <c r="CD59" s="48" t="inlineStr"/>
      <c r="CE59" s="48" t="inlineStr"/>
      <c r="CF59" s="48" t="inlineStr"/>
      <c r="CG59" s="48" t="inlineStr"/>
      <c r="CH59" s="48" t="inlineStr"/>
      <c r="CI59" s="48" t="inlineStr"/>
      <c r="CJ59" s="48" t="inlineStr"/>
      <c r="CK59" s="48" t="inlineStr"/>
      <c r="CL59" s="48" t="inlineStr"/>
      <c r="CM59" s="48" t="inlineStr"/>
      <c r="CN59" s="48" t="inlineStr"/>
      <c r="CO59" s="48" t="inlineStr"/>
      <c r="CP59" s="48" t="inlineStr"/>
      <c r="CQ59" s="48" t="inlineStr"/>
      <c r="CR59" s="48" t="inlineStr"/>
      <c r="CS59" s="48">
        <f>IF(LEFT($J59,3)="ERR",0,1)</f>
        <v/>
      </c>
      <c r="CT59" s="48">
        <f>IF(LEFT($J59,3)="ADM",1,0)</f>
        <v/>
      </c>
      <c r="CU59" s="48">
        <f>IF(OR($J59="ADM-ACT-MAT-CNE",$J59="ADM-ACT-MAT-CE",$J59="ADM-INACT-M&amp;T"),1,0)</f>
        <v/>
      </c>
      <c r="CV59" s="48">
        <f>IF(AND(CU59=1,ISNUMBER(M59),ISNUMBER(I59)),M59-I59,"")</f>
        <v/>
      </c>
      <c r="CW59" s="48">
        <f>IF(ISNUMBER(I59),TODAY()-I59,"")</f>
        <v/>
      </c>
      <c r="CX59" s="48">
        <f>IF(ISNUMBER(I59),DATE(YEAR(I59),MONTH(I59),1),"")</f>
        <v/>
      </c>
      <c r="CY59" s="48">
        <f>IFERROR(DATEDIF(AK59,TODAY(),"y"),"")</f>
        <v/>
      </c>
      <c r="CZ59" s="48">
        <f>IF(CY59="","",IF(CY59&lt;28,"18-27",IF(CY59&lt;38,"28-37",IF(CY59&lt;48,"38-47",IF(CY59&lt;58,"48-57",IF(CY59&lt;68,"58-67",IF(CY59&lt;78,"68-77","78+")))))) </f>
        <v/>
      </c>
      <c r="DA59" s="48">
        <f>IF(AND(BQ59&lt;&gt;"",BR59=""),N(BS59),0)+IF(AND(BW59&lt;&gt;"",BX59=""),N(BY59),0)+IF(AND(CC59&lt;&gt;"",CD59=""),N(CE59),0)+IF(AND(CI59&lt;&gt;"",CJ59=""),N(CK59),0)+IF(AND(CO59&lt;&gt;"",CP59=""),N(CQ59),0)</f>
        <v/>
      </c>
      <c r="DB59" s="48">
        <f>ROUND(IF(BQ59&lt;&gt;"",N(BS59)*MAX(0,((IF(BR59="",TODAY(),BR59))-BQ59)/7),0)+IF(BW59&lt;&gt;"",N(BY59)*MAX(0,((IF(BX59="",TODAY(),BX59))-BW59)/7),0)+IF(CC59&lt;&gt;"",N(CE59)*MAX(0,((IF(CD59="",TODAY(),CD59))-CC59)/7),0)+IF(CI59&lt;&gt;"",N(CK59)*MAX(0,((IF(CJ59="",TODAY(),CJ59))-CI59)/7),0)+IF(CO59&lt;&gt;"",N(CQ59)*MAX(0,((IF(CP59="",TODAY(),CP59))-CO59)/7),0),1)</f>
        <v/>
      </c>
      <c r="DC59" s="48">
        <f>IF(OR(TRIM(X59)="",TRIM(X59)="NA;",TRIM(X59)="NA"),0,1)</f>
        <v/>
      </c>
      <c r="DD59" s="48">
        <f>IF(OR(TRIM(Y59)="",TRIM(Y59)="NA;",TRIM(Y59)="NA"),0,1)</f>
        <v/>
      </c>
      <c r="DE59" s="48">
        <f>IF(OR(TRIM(Z59)="",TRIM(Z59)="NA;",TRIM(Z59)="NA"),0,1)</f>
        <v/>
      </c>
      <c r="DF59" s="48">
        <f>IF(OR(TRIM(AA59)="",TRIM(AA59)="NA;",TRIM(AA59)="NA"),0,1)</f>
        <v/>
      </c>
      <c r="DG59" s="48">
        <f>IF(OR(TRIM(AB59)="",TRIM(AB59)="NA;",TRIM(AB59)="NA"),0,1)</f>
        <v/>
      </c>
      <c r="DH59" s="48">
        <f>IF(OR(TRIM(AC59)="",TRIM(AC59)="NA;",TRIM(AC59)="NA"),0,1)</f>
        <v/>
      </c>
      <c r="DI59" s="48">
        <f>IF(OR(TRIM(AD59)="",TRIM(AD59)="NA;",TRIM(AD59)="NA"),0,1)</f>
        <v/>
      </c>
      <c r="DJ59" s="48">
        <f>TRIM(IF(DC59=1,"Mon ","")&amp;IF(DD59=1,"Tue ","")&amp;IF(DE59=1,"Wed ","")&amp;IF(DF59=1,"Thu ","")&amp;IF(DG59=1,"Fri ","")&amp;IF(DH59=1,"Sat ","")&amp;IF(DI59=1,"Sun ",""))</f>
        <v/>
      </c>
    </row>
    <row r="60">
      <c r="A60" s="48" t="inlineStr">
        <is>
          <t>T-N-00008</t>
        </is>
      </c>
      <c r="B60" s="48" t="inlineStr">
        <is>
          <t>Nadia Lee</t>
        </is>
      </c>
      <c r="C60" s="48" t="inlineStr">
        <is>
          <t>nadia.lee58@example.com</t>
        </is>
      </c>
      <c r="D60" s="48" t="inlineStr">
        <is>
          <t>+61 429 835 938</t>
        </is>
      </c>
      <c r="E60" s="48" t="inlineStr">
        <is>
          <t>Diego Slaytor</t>
        </is>
      </c>
      <c r="F60" s="48" t="inlineStr">
        <is>
          <t>+61 423 772 550</t>
        </is>
      </c>
      <c r="G60" s="48" t="inlineStr">
        <is>
          <t>Adult Child</t>
        </is>
      </c>
      <c r="H60" s="48" t="inlineStr">
        <is>
          <t>Tutor</t>
        </is>
      </c>
      <c r="I60" s="49" t="n">
        <v>45663</v>
      </c>
      <c r="J60" s="48" t="inlineStr">
        <is>
          <t>ADM-ACT-UNMAT</t>
        </is>
      </c>
      <c r="K60" s="48">
        <f>IFERROR(VLOOKUP(J60,'(A) Introduction'!$B$35:$C$45,2,FALSE),"")</f>
        <v/>
      </c>
      <c r="L60" s="48" t="inlineStr">
        <is>
          <t>No</t>
        </is>
      </c>
      <c r="M60" s="48" t="inlineStr"/>
      <c r="N60" s="48" t="inlineStr"/>
      <c r="O60" s="48" t="n">
        <v>3</v>
      </c>
      <c r="P60" s="48">
        <f>IF($H60="Tutor",((BQ60&lt;&gt;"")*(BR60=""))+((BW60&lt;&gt;"")*(BX60=""))+((CC60&lt;&gt;"")*(CD60=""))+((CI60&lt;&gt;"")*(CJ60=""))+((CO60&lt;&gt;"")*(CP60="")),SUMPRODUCT(--($BO$3:$BO$202=$A60),--($BR$3:$BR$202=""))+SUMPRODUCT(--($BU$3:$BU$202=$A60),--($BX$3:$BX$202=""))+SUMPRODUCT(--($CA$3:$CA$202=$A60),--($CD$3:$CD$202=""))+SUMPRODUCT(--($CG$3:$CG$202=$A60),--($CJ$3:$CJ$202=""))+SUMPRODUCT(--($CM$3:$CM$202=$A60),--($CP$3:$CP$202="")))</f>
        <v/>
      </c>
      <c r="Q60" s="48">
        <f>IF($H60="Tutor",(BQ60&lt;&gt;"")+(BW60&lt;&gt;"")+(CC60&lt;&gt;"")+(CI60&lt;&gt;"")+(CO60&lt;&gt;""),SUMPRODUCT(--($BO$3:$BO$202=$A60))+SUMPRODUCT(--($BU$3:$BU$202=$A60))+SUMPRODUCT(--($CA$3:$CA$202=$A60))+SUMPRODUCT(--($CG$3:$CG$202=$A60))+SUMPRODUCT(--($CM$3:$CM$202=$A60)))</f>
        <v/>
      </c>
      <c r="R60" s="48">
        <f>IF($H60="Tutor",TRIM(IF(AND(BQ60&lt;&gt;"",BR60=""),BP60&amp;"; ","")&amp;IF(AND(BW60&lt;&gt;"",BX60=""),BV60&amp;"; ","")&amp;IF(AND(CC60&lt;&gt;"",CD60=""),CB60&amp;"; ","")&amp;IF(AND(CI60&lt;&gt;"",CJ60=""),CH60&amp;"; ","")&amp;IF(AND(CO60&lt;&gt;"",CP60=""),CN60&amp;"; ","")),IFERROR(INDEX($A$3:$B$202,(SUMPRODUCT(($BO$3:$BO$202=$A60)*($BR$3:$BR$202="")*ROW($BO$3:$BO$202))+SUMPRODUCT(($BU$3:$BU$202=$A60)*($BX$3:$BX$202="")*ROW($BU$3:$BU$202))+SUMPRODUCT(($CA$3:$CA$202=$A60)*($CD$3:$CD$202="")*ROW($CA$3:$CA$202))+SUMPRODUCT(($CG$3:$CG$202=$A60)*($CJ$3:$CJ$202="")*ROW($CG$3:$CG$202))+SUMPRODUCT(($CM$3:$CM$202=$A60)*($CP$3:$CP$202="")*ROW($CM$3:$CM$202)))-2,2),""))</f>
        <v/>
      </c>
      <c r="S60" s="48" t="inlineStr">
        <is>
          <t>Not Provided</t>
        </is>
      </c>
      <c r="T60" s="48" t="inlineStr"/>
      <c r="U60" s="48" t="inlineStr"/>
      <c r="V60" s="49" t="n">
        <v>45935</v>
      </c>
      <c r="W60" s="48" t="inlineStr">
        <is>
          <t>ACST (UTC+9:30)</t>
        </is>
      </c>
      <c r="X60" s="48" t="inlineStr">
        <is>
          <t>6am-9am;9am-12pm;</t>
        </is>
      </c>
      <c r="Y60" s="48" t="inlineStr">
        <is>
          <t>12pm-3pm;</t>
        </is>
      </c>
      <c r="Z60" s="48" t="inlineStr">
        <is>
          <t>3pm-6pm;</t>
        </is>
      </c>
      <c r="AA60" s="48" t="inlineStr">
        <is>
          <t>9am-12pm;</t>
        </is>
      </c>
      <c r="AB60" s="48" t="inlineStr">
        <is>
          <t>9am-12pm;12pm-3pm;3pm-6pm;</t>
        </is>
      </c>
      <c r="AC60" s="48" t="inlineStr">
        <is>
          <t>12pm-3pm;</t>
        </is>
      </c>
      <c r="AD60" s="48" t="inlineStr">
        <is>
          <t>12pm-3pm;6pm-9pm;</t>
        </is>
      </c>
      <c r="AE60" s="48" t="inlineStr">
        <is>
          <t>In-Person</t>
        </is>
      </c>
      <c r="AF60" s="48" t="inlineStr">
        <is>
          <t>NA - Tutor</t>
        </is>
      </c>
      <c r="AG60" s="48" t="inlineStr">
        <is>
          <t>Australia</t>
        </is>
      </c>
      <c r="AH60" s="48" t="inlineStr">
        <is>
          <t>New South Wales</t>
        </is>
      </c>
      <c r="AI60" s="48" t="inlineStr">
        <is>
          <t>Auburn</t>
        </is>
      </c>
      <c r="AJ60" s="48" t="inlineStr">
        <is>
          <t>2144</t>
        </is>
      </c>
      <c r="AK60" s="49" t="n">
        <v>27155</v>
      </c>
      <c r="AL60" s="48" t="inlineStr">
        <is>
          <t>Female</t>
        </is>
      </c>
      <c r="AM60" s="48" t="inlineStr">
        <is>
          <t>NA</t>
        </is>
      </c>
      <c r="AN60" s="48" t="inlineStr">
        <is>
          <t>NA - Tutor</t>
        </is>
      </c>
      <c r="AO60" s="48" t="inlineStr">
        <is>
          <t>Moderate</t>
        </is>
      </c>
      <c r="AP60" s="48" t="inlineStr">
        <is>
          <t>Vietnam</t>
        </is>
      </c>
      <c r="AQ60" s="48" t="inlineStr">
        <is>
          <t>NA</t>
        </is>
      </c>
      <c r="AR60" s="48" t="inlineStr">
        <is>
          <t>English (C2)</t>
        </is>
      </c>
      <c r="AS60" s="48" t="inlineStr">
        <is>
          <t>Hindu</t>
        </is>
      </c>
      <c r="AT60" s="48" t="inlineStr">
        <is>
          <t>Military &amp; Public Safety</t>
        </is>
      </c>
      <c r="AU60" s="48" t="inlineStr">
        <is>
          <t>Lawyer</t>
        </is>
      </c>
      <c r="AV60" s="48" t="inlineStr">
        <is>
          <t>NA - Tutor</t>
        </is>
      </c>
      <c r="AW60" s="48" t="inlineStr">
        <is>
          <t>Cooking; Reading; Music</t>
        </is>
      </c>
      <c r="AX60" s="48" t="inlineStr">
        <is>
          <t>NA - Tutor</t>
        </is>
      </c>
      <c r="AY60" s="48" t="inlineStr">
        <is>
          <t>NA - Partner Organisation Verified</t>
        </is>
      </c>
      <c r="AZ60" s="48" t="inlineStr">
        <is>
          <t>NA - Partner Organisation Verified</t>
        </is>
      </c>
      <c r="BA60" s="48" t="inlineStr">
        <is>
          <t>Omar Lopez</t>
        </is>
      </c>
      <c r="BB60" s="48" t="inlineStr">
        <is>
          <t>Academic Referee</t>
        </is>
      </c>
      <c r="BC60" s="48" t="inlineStr">
        <is>
          <t>ben.petrov558@example.com</t>
        </is>
      </c>
      <c r="BD60" s="48" t="inlineStr">
        <is>
          <t>Pending</t>
        </is>
      </c>
      <c r="BE60" s="48" t="inlineStr"/>
      <c r="BF60" s="48" t="inlineStr"/>
      <c r="BG60" s="48" t="inlineStr">
        <is>
          <t>Yes</t>
        </is>
      </c>
      <c r="BH60" s="48" t="inlineStr">
        <is>
          <t>Adults Only</t>
        </is>
      </c>
      <c r="BI60" s="48" t="inlineStr">
        <is>
          <t>Settlement Services International</t>
        </is>
      </c>
      <c r="BJ60" s="48" t="inlineStr">
        <is>
          <t>MCCRORIE John</t>
        </is>
      </c>
      <c r="BK60" s="48" t="inlineStr">
        <is>
          <t>HALLORAN Isobel</t>
        </is>
      </c>
      <c r="BL60" s="48" t="inlineStr">
        <is>
          <t>Synthetic test record.</t>
        </is>
      </c>
      <c r="BM60" s="48" t="inlineStr"/>
      <c r="BN60" s="48">
        <f>TRIM(IF(AND($H60="Student",$J60="ADM-ACT-MAT-CNE"),"Invalid: Student cannot be CNE. ","")&amp;IF(AND($H60="Student",ISNUMBER($O60)),"Check: capacity set for a Student. ","")&amp;IF(AND(LEFT($J60,11)="ADM-ACT-MAT",$P60=0),"Check: matched status but 0 active pairings. ","")&amp;IF(AND($H60="Tutor",ISNUMBER($O60),$P60&gt;$O60),"Check: pairings exceed capacity. ","")&amp;IF(AND($BH60="Everyone",NOT(AND($BD60="Yes",$BG60="Yes"))),"Check: approved to tutor children but WWCC not provided/confirmed. ","")&amp;IF(AND($P60&gt;0,NOT(AND(OR(LEFT($AY60,3)="Yes",LEFT($AY60,2)="NA"),OR(LEFT($AZ60,3)="Yes",LEFT($AZ60,2)="NA")))),"Matched but vetting incomplete (interview/reference). ","")&amp;IF(COUNTIF($B$3:$B$600,$B60)&gt;1,"Duplicate participant name. ",""))</f>
        <v/>
      </c>
      <c r="BO60" s="48" t="inlineStr"/>
      <c r="BP60" s="48" t="inlineStr"/>
      <c r="BQ60" s="48" t="inlineStr"/>
      <c r="BR60" s="48" t="inlineStr"/>
      <c r="BS60" s="48" t="inlineStr"/>
      <c r="BT60" s="48" t="inlineStr"/>
      <c r="BU60" s="48" t="inlineStr"/>
      <c r="BV60" s="48" t="inlineStr"/>
      <c r="BW60" s="48" t="inlineStr"/>
      <c r="BX60" s="48" t="inlineStr"/>
      <c r="BY60" s="48" t="inlineStr"/>
      <c r="BZ60" s="48" t="inlineStr"/>
      <c r="CA60" s="48" t="inlineStr"/>
      <c r="CB60" s="48" t="inlineStr"/>
      <c r="CC60" s="48" t="inlineStr"/>
      <c r="CD60" s="48" t="inlineStr"/>
      <c r="CE60" s="48" t="inlineStr"/>
      <c r="CF60" s="48" t="inlineStr"/>
      <c r="CG60" s="48" t="inlineStr"/>
      <c r="CH60" s="48" t="inlineStr"/>
      <c r="CI60" s="48" t="inlineStr"/>
      <c r="CJ60" s="48" t="inlineStr"/>
      <c r="CK60" s="48" t="inlineStr"/>
      <c r="CL60" s="48" t="inlineStr"/>
      <c r="CM60" s="48" t="inlineStr"/>
      <c r="CN60" s="48" t="inlineStr"/>
      <c r="CO60" s="48" t="inlineStr"/>
      <c r="CP60" s="48" t="inlineStr"/>
      <c r="CQ60" s="48" t="inlineStr"/>
      <c r="CR60" s="48" t="inlineStr"/>
      <c r="CS60" s="48">
        <f>IF(LEFT($J60,3)="ERR",0,1)</f>
        <v/>
      </c>
      <c r="CT60" s="48">
        <f>IF(LEFT($J60,3)="ADM",1,0)</f>
        <v/>
      </c>
      <c r="CU60" s="48">
        <f>IF(OR($J60="ADM-ACT-MAT-CNE",$J60="ADM-ACT-MAT-CE",$J60="ADM-INACT-M&amp;T"),1,0)</f>
        <v/>
      </c>
      <c r="CV60" s="48">
        <f>IF(AND(CU60=1,ISNUMBER(M60),ISNUMBER(I60)),M60-I60,"")</f>
        <v/>
      </c>
      <c r="CW60" s="48">
        <f>IF(ISNUMBER(I60),TODAY()-I60,"")</f>
        <v/>
      </c>
      <c r="CX60" s="48">
        <f>IF(ISNUMBER(I60),DATE(YEAR(I60),MONTH(I60),1),"")</f>
        <v/>
      </c>
      <c r="CY60" s="48">
        <f>IFERROR(DATEDIF(AK60,TODAY(),"y"),"")</f>
        <v/>
      </c>
      <c r="CZ60" s="48">
        <f>IF(CY60="","",IF(CY60&lt;28,"18-27",IF(CY60&lt;38,"28-37",IF(CY60&lt;48,"38-47",IF(CY60&lt;58,"48-57",IF(CY60&lt;68,"58-67",IF(CY60&lt;78,"68-77","78+")))))) </f>
        <v/>
      </c>
      <c r="DA60" s="48">
        <f>IF(AND(BQ60&lt;&gt;"",BR60=""),N(BS60),0)+IF(AND(BW60&lt;&gt;"",BX60=""),N(BY60),0)+IF(AND(CC60&lt;&gt;"",CD60=""),N(CE60),0)+IF(AND(CI60&lt;&gt;"",CJ60=""),N(CK60),0)+IF(AND(CO60&lt;&gt;"",CP60=""),N(CQ60),0)</f>
        <v/>
      </c>
      <c r="DB60" s="48">
        <f>ROUND(IF(BQ60&lt;&gt;"",N(BS60)*MAX(0,((IF(BR60="",TODAY(),BR60))-BQ60)/7),0)+IF(BW60&lt;&gt;"",N(BY60)*MAX(0,((IF(BX60="",TODAY(),BX60))-BW60)/7),0)+IF(CC60&lt;&gt;"",N(CE60)*MAX(0,((IF(CD60="",TODAY(),CD60))-CC60)/7),0)+IF(CI60&lt;&gt;"",N(CK60)*MAX(0,((IF(CJ60="",TODAY(),CJ60))-CI60)/7),0)+IF(CO60&lt;&gt;"",N(CQ60)*MAX(0,((IF(CP60="",TODAY(),CP60))-CO60)/7),0),1)</f>
        <v/>
      </c>
      <c r="DC60" s="48">
        <f>IF(OR(TRIM(X60)="",TRIM(X60)="NA;",TRIM(X60)="NA"),0,1)</f>
        <v/>
      </c>
      <c r="DD60" s="48">
        <f>IF(OR(TRIM(Y60)="",TRIM(Y60)="NA;",TRIM(Y60)="NA"),0,1)</f>
        <v/>
      </c>
      <c r="DE60" s="48">
        <f>IF(OR(TRIM(Z60)="",TRIM(Z60)="NA;",TRIM(Z60)="NA"),0,1)</f>
        <v/>
      </c>
      <c r="DF60" s="48">
        <f>IF(OR(TRIM(AA60)="",TRIM(AA60)="NA;",TRIM(AA60)="NA"),0,1)</f>
        <v/>
      </c>
      <c r="DG60" s="48">
        <f>IF(OR(TRIM(AB60)="",TRIM(AB60)="NA;",TRIM(AB60)="NA"),0,1)</f>
        <v/>
      </c>
      <c r="DH60" s="48">
        <f>IF(OR(TRIM(AC60)="",TRIM(AC60)="NA;",TRIM(AC60)="NA"),0,1)</f>
        <v/>
      </c>
      <c r="DI60" s="48">
        <f>IF(OR(TRIM(AD60)="",TRIM(AD60)="NA;",TRIM(AD60)="NA"),0,1)</f>
        <v/>
      </c>
      <c r="DJ60" s="48">
        <f>TRIM(IF(DC60=1,"Mon ","")&amp;IF(DD60=1,"Tue ","")&amp;IF(DE60=1,"Wed ","")&amp;IF(DF60=1,"Thu ","")&amp;IF(DG60=1,"Fri ","")&amp;IF(DH60=1,"Sat ","")&amp;IF(DI60=1,"Sun ",""))</f>
        <v/>
      </c>
    </row>
    <row r="61">
      <c r="A61" s="48" t="inlineStr">
        <is>
          <t>T-N-00009</t>
        </is>
      </c>
      <c r="B61" s="48" t="inlineStr">
        <is>
          <t>Rania Rafipour</t>
        </is>
      </c>
      <c r="C61" s="48" t="inlineStr">
        <is>
          <t>rania.rafipour59@example.com</t>
        </is>
      </c>
      <c r="D61" s="48" t="inlineStr">
        <is>
          <t>+61 452 991 426</t>
        </is>
      </c>
      <c r="E61" s="48" t="inlineStr">
        <is>
          <t>Carlos Yusuf</t>
        </is>
      </c>
      <c r="F61" s="48" t="inlineStr">
        <is>
          <t>+61 494 120 764</t>
        </is>
      </c>
      <c r="G61" s="48" t="inlineStr">
        <is>
          <t>Adult Child</t>
        </is>
      </c>
      <c r="H61" s="48" t="inlineStr">
        <is>
          <t>Tutor</t>
        </is>
      </c>
      <c r="I61" s="49" t="n">
        <v>45666</v>
      </c>
      <c r="J61" s="48" t="inlineStr">
        <is>
          <t>ADM-ACT-MAT-CE</t>
        </is>
      </c>
      <c r="K61" s="48">
        <f>IFERROR(VLOOKUP(J61,'(A) Introduction'!$B$35:$C$45,2,FALSE),"")</f>
        <v/>
      </c>
      <c r="L61" s="48" t="inlineStr">
        <is>
          <t>No</t>
        </is>
      </c>
      <c r="M61" s="48" t="inlineStr"/>
      <c r="N61" s="48" t="inlineStr"/>
      <c r="O61" s="48" t="n">
        <v>2</v>
      </c>
      <c r="P61" s="48">
        <f>IF($H61="Tutor",((BQ61&lt;&gt;"")*(BR61=""))+((BW61&lt;&gt;"")*(BX61=""))+((CC61&lt;&gt;"")*(CD61=""))+((CI61&lt;&gt;"")*(CJ61=""))+((CO61&lt;&gt;"")*(CP61="")),SUMPRODUCT(--($BO$3:$BO$202=$A61),--($BR$3:$BR$202=""))+SUMPRODUCT(--($BU$3:$BU$202=$A61),--($BX$3:$BX$202=""))+SUMPRODUCT(--($CA$3:$CA$202=$A61),--($CD$3:$CD$202=""))+SUMPRODUCT(--($CG$3:$CG$202=$A61),--($CJ$3:$CJ$202=""))+SUMPRODUCT(--($CM$3:$CM$202=$A61),--($CP$3:$CP$202="")))</f>
        <v/>
      </c>
      <c r="Q61" s="48">
        <f>IF($H61="Tutor",(BQ61&lt;&gt;"")+(BW61&lt;&gt;"")+(CC61&lt;&gt;"")+(CI61&lt;&gt;"")+(CO61&lt;&gt;""),SUMPRODUCT(--($BO$3:$BO$202=$A61))+SUMPRODUCT(--($BU$3:$BU$202=$A61))+SUMPRODUCT(--($CA$3:$CA$202=$A61))+SUMPRODUCT(--($CG$3:$CG$202=$A61))+SUMPRODUCT(--($CM$3:$CM$202=$A61)))</f>
        <v/>
      </c>
      <c r="R61" s="48">
        <f>IF($H61="Tutor",TRIM(IF(AND(BQ61&lt;&gt;"",BR61=""),BP61&amp;"; ","")&amp;IF(AND(BW61&lt;&gt;"",BX61=""),BV61&amp;"; ","")&amp;IF(AND(CC61&lt;&gt;"",CD61=""),CB61&amp;"; ","")&amp;IF(AND(CI61&lt;&gt;"",CJ61=""),CH61&amp;"; ","")&amp;IF(AND(CO61&lt;&gt;"",CP61=""),CN61&amp;"; ","")),IFERROR(INDEX($A$3:$B$202,(SUMPRODUCT(($BO$3:$BO$202=$A61)*($BR$3:$BR$202="")*ROW($BO$3:$BO$202))+SUMPRODUCT(($BU$3:$BU$202=$A61)*($BX$3:$BX$202="")*ROW($BU$3:$BU$202))+SUMPRODUCT(($CA$3:$CA$202=$A61)*($CD$3:$CD$202="")*ROW($CA$3:$CA$202))+SUMPRODUCT(($CG$3:$CG$202=$A61)*($CJ$3:$CJ$202="")*ROW($CG$3:$CG$202))+SUMPRODUCT(($CM$3:$CM$202=$A61)*($CP$3:$CP$202="")*ROW($CM$3:$CM$202)))-2,2),""))</f>
        <v/>
      </c>
      <c r="S61" s="48" t="inlineStr">
        <is>
          <t>NA</t>
        </is>
      </c>
      <c r="T61" s="48" t="inlineStr"/>
      <c r="U61" s="48" t="inlineStr"/>
      <c r="V61" s="49" t="n">
        <v>45707</v>
      </c>
      <c r="W61" s="48" t="inlineStr">
        <is>
          <t>AEST (UTC+10)</t>
        </is>
      </c>
      <c r="X61" s="48" t="inlineStr">
        <is>
          <t>12pm-3pm;6pm-9pm;</t>
        </is>
      </c>
      <c r="Y61" s="48" t="inlineStr">
        <is>
          <t>12pm-3pm;</t>
        </is>
      </c>
      <c r="Z61" s="48" t="inlineStr">
        <is>
          <t>3pm-6pm;</t>
        </is>
      </c>
      <c r="AA61" s="48" t="inlineStr">
        <is>
          <t>12pm-3pm;</t>
        </is>
      </c>
      <c r="AB61" s="48" t="inlineStr">
        <is>
          <t>6am-9am;9am-12pm;</t>
        </is>
      </c>
      <c r="AC61" s="48" t="inlineStr">
        <is>
          <t>6pm-9pm;</t>
        </is>
      </c>
      <c r="AD61" s="48" t="inlineStr">
        <is>
          <t>6pm-9pm;</t>
        </is>
      </c>
      <c r="AE61" s="48" t="inlineStr">
        <is>
          <t>In-Person</t>
        </is>
      </c>
      <c r="AF61" s="48" t="inlineStr">
        <is>
          <t>NA - Tutor</t>
        </is>
      </c>
      <c r="AG61" s="48" t="inlineStr">
        <is>
          <t>Australia</t>
        </is>
      </c>
      <c r="AH61" s="48" t="inlineStr">
        <is>
          <t>Victoria</t>
        </is>
      </c>
      <c r="AI61" s="48" t="inlineStr">
        <is>
          <t>Sunshine</t>
        </is>
      </c>
      <c r="AJ61" s="48" t="inlineStr">
        <is>
          <t>3020</t>
        </is>
      </c>
      <c r="AK61" s="49" t="n">
        <v>24161</v>
      </c>
      <c r="AL61" s="48" t="inlineStr">
        <is>
          <t>Other</t>
        </is>
      </c>
      <c r="AM61" s="48" t="inlineStr">
        <is>
          <t>NA</t>
        </is>
      </c>
      <c r="AN61" s="48" t="inlineStr">
        <is>
          <t>NA - Tutor</t>
        </is>
      </c>
      <c r="AO61" s="48" t="inlineStr">
        <is>
          <t>Moderate</t>
        </is>
      </c>
      <c r="AP61" s="48" t="inlineStr">
        <is>
          <t>Australia; Lebanon</t>
        </is>
      </c>
      <c r="AQ61" s="48" t="inlineStr">
        <is>
          <t>NA</t>
        </is>
      </c>
      <c r="AR61" s="48" t="inlineStr">
        <is>
          <t>Somali (C2); Arabic (B2)</t>
        </is>
      </c>
      <c r="AS61" s="48" t="inlineStr">
        <is>
          <t>Christian</t>
        </is>
      </c>
      <c r="AT61" s="48" t="inlineStr">
        <is>
          <t>Education &amp; Academia</t>
        </is>
      </c>
      <c r="AU61" s="48" t="inlineStr">
        <is>
          <t>Aged Care Worker</t>
        </is>
      </c>
      <c r="AV61" s="48" t="inlineStr">
        <is>
          <t>NA - Tutor</t>
        </is>
      </c>
      <c r="AW61" s="48" t="inlineStr">
        <is>
          <t>Reading; Politics; Music</t>
        </is>
      </c>
      <c r="AX61" s="48" t="inlineStr">
        <is>
          <t>NA - Tutor</t>
        </is>
      </c>
      <c r="AY61" s="48" t="inlineStr">
        <is>
          <t>No</t>
        </is>
      </c>
      <c r="AZ61" s="48" t="inlineStr">
        <is>
          <t>Yes</t>
        </is>
      </c>
      <c r="BA61" s="48" t="inlineStr">
        <is>
          <t>Omar Green</t>
        </is>
      </c>
      <c r="BB61" s="48" t="inlineStr">
        <is>
          <t>Manager</t>
        </is>
      </c>
      <c r="BC61" s="48" t="inlineStr">
        <is>
          <t>hala.schaffer559@example.com</t>
        </is>
      </c>
      <c r="BD61" s="48" t="inlineStr">
        <is>
          <t>Yes</t>
        </is>
      </c>
      <c r="BE61" s="48" t="inlineStr">
        <is>
          <t>WWC8311317E</t>
        </is>
      </c>
      <c r="BF61" s="49" t="n">
        <v>46199</v>
      </c>
      <c r="BG61" s="48" t="inlineStr">
        <is>
          <t>Yes</t>
        </is>
      </c>
      <c r="BH61" s="48" t="inlineStr">
        <is>
          <t>Everyone</t>
        </is>
      </c>
      <c r="BI61" s="48" t="inlineStr">
        <is>
          <t>Refugee Advice and Casework Service</t>
        </is>
      </c>
      <c r="BJ61" s="48" t="inlineStr">
        <is>
          <t>KNIJNIK Marina</t>
        </is>
      </c>
      <c r="BK61" s="48" t="inlineStr">
        <is>
          <t>AGARWAL Akanksha</t>
        </is>
      </c>
      <c r="BL61" s="48" t="inlineStr">
        <is>
          <t>Synthetic test record.</t>
        </is>
      </c>
      <c r="BM61" s="48" t="inlineStr"/>
      <c r="BN61" s="48">
        <f>TRIM(IF(AND($H61="Student",$J61="ADM-ACT-MAT-CNE"),"Invalid: Student cannot be CNE. ","")&amp;IF(AND($H61="Student",ISNUMBER($O61)),"Check: capacity set for a Student. ","")&amp;IF(AND(LEFT($J61,11)="ADM-ACT-MAT",$P61=0),"Check: matched status but 0 active pairings. ","")&amp;IF(AND($H61="Tutor",ISNUMBER($O61),$P61&gt;$O61),"Check: pairings exceed capacity. ","")&amp;IF(AND($BH61="Everyone",NOT(AND($BD61="Yes",$BG61="Yes"))),"Check: approved to tutor children but WWCC not provided/confirmed. ","")&amp;IF(AND($P61&gt;0,NOT(AND(OR(LEFT($AY61,3)="Yes",LEFT($AY61,2)="NA"),OR(LEFT($AZ61,3)="Yes",LEFT($AZ61,2)="NA")))),"Matched but vetting incomplete (interview/reference). ","")&amp;IF(COUNTIF($B$3:$B$600,$B61)&gt;1,"Duplicate participant name. ",""))</f>
        <v/>
      </c>
      <c r="BO61" s="48" t="inlineStr">
        <is>
          <t>S-O-00031</t>
        </is>
      </c>
      <c r="BP61" s="48">
        <f>IFERROR(VLOOKUP(BO61,$A:$B,2,FALSE),"")</f>
        <v/>
      </c>
      <c r="BQ61" s="49" t="n">
        <v>45583</v>
      </c>
      <c r="BR61" s="48" t="inlineStr"/>
      <c r="BS61" s="48" t="n">
        <v>1</v>
      </c>
      <c r="BT61" s="48" t="inlineStr">
        <is>
          <t>HALLORAN Isobel</t>
        </is>
      </c>
      <c r="BU61" s="48" t="inlineStr">
        <is>
          <t>S-O-00043</t>
        </is>
      </c>
      <c r="BV61" s="48">
        <f>IFERROR(VLOOKUP(BU61,$A:$B,2,FALSE),"")</f>
        <v/>
      </c>
      <c r="BW61" s="49" t="n">
        <v>45698</v>
      </c>
      <c r="BX61" s="48" t="inlineStr"/>
      <c r="BY61" s="48" t="n">
        <v>2</v>
      </c>
      <c r="BZ61" s="48" t="inlineStr">
        <is>
          <t>SINGH Veera</t>
        </is>
      </c>
      <c r="CA61" s="48" t="inlineStr"/>
      <c r="CB61" s="48" t="inlineStr"/>
      <c r="CC61" s="48" t="inlineStr"/>
      <c r="CD61" s="48" t="inlineStr"/>
      <c r="CE61" s="48" t="inlineStr"/>
      <c r="CF61" s="48" t="inlineStr"/>
      <c r="CG61" s="48" t="inlineStr"/>
      <c r="CH61" s="48" t="inlineStr"/>
      <c r="CI61" s="48" t="inlineStr"/>
      <c r="CJ61" s="48" t="inlineStr"/>
      <c r="CK61" s="48" t="inlineStr"/>
      <c r="CL61" s="48" t="inlineStr"/>
      <c r="CM61" s="48" t="inlineStr"/>
      <c r="CN61" s="48" t="inlineStr"/>
      <c r="CO61" s="48" t="inlineStr"/>
      <c r="CP61" s="48" t="inlineStr"/>
      <c r="CQ61" s="48" t="inlineStr"/>
      <c r="CR61" s="48" t="inlineStr"/>
      <c r="CS61" s="48">
        <f>IF(LEFT($J61,3)="ERR",0,1)</f>
        <v/>
      </c>
      <c r="CT61" s="48">
        <f>IF(LEFT($J61,3)="ADM",1,0)</f>
        <v/>
      </c>
      <c r="CU61" s="48">
        <f>IF(OR($J61="ADM-ACT-MAT-CNE",$J61="ADM-ACT-MAT-CE",$J61="ADM-INACT-M&amp;T"),1,0)</f>
        <v/>
      </c>
      <c r="CV61" s="48">
        <f>IF(AND(CU61=1,ISNUMBER(M61),ISNUMBER(I61)),M61-I61,"")</f>
        <v/>
      </c>
      <c r="CW61" s="48">
        <f>IF(ISNUMBER(I61),TODAY()-I61,"")</f>
        <v/>
      </c>
      <c r="CX61" s="48">
        <f>IF(ISNUMBER(I61),DATE(YEAR(I61),MONTH(I61),1),"")</f>
        <v/>
      </c>
      <c r="CY61" s="48">
        <f>IFERROR(DATEDIF(AK61,TODAY(),"y"),"")</f>
        <v/>
      </c>
      <c r="CZ61" s="48">
        <f>IF(CY61="","",IF(CY61&lt;28,"18-27",IF(CY61&lt;38,"28-37",IF(CY61&lt;48,"38-47",IF(CY61&lt;58,"48-57",IF(CY61&lt;68,"58-67",IF(CY61&lt;78,"68-77","78+")))))) </f>
        <v/>
      </c>
      <c r="DA61" s="48">
        <f>IF(AND(BQ61&lt;&gt;"",BR61=""),N(BS61),0)+IF(AND(BW61&lt;&gt;"",BX61=""),N(BY61),0)+IF(AND(CC61&lt;&gt;"",CD61=""),N(CE61),0)+IF(AND(CI61&lt;&gt;"",CJ61=""),N(CK61),0)+IF(AND(CO61&lt;&gt;"",CP61=""),N(CQ61),0)</f>
        <v/>
      </c>
      <c r="DB61" s="48">
        <f>ROUND(IF(BQ61&lt;&gt;"",N(BS61)*MAX(0,((IF(BR61="",TODAY(),BR61))-BQ61)/7),0)+IF(BW61&lt;&gt;"",N(BY61)*MAX(0,((IF(BX61="",TODAY(),BX61))-BW61)/7),0)+IF(CC61&lt;&gt;"",N(CE61)*MAX(0,((IF(CD61="",TODAY(),CD61))-CC61)/7),0)+IF(CI61&lt;&gt;"",N(CK61)*MAX(0,((IF(CJ61="",TODAY(),CJ61))-CI61)/7),0)+IF(CO61&lt;&gt;"",N(CQ61)*MAX(0,((IF(CP61="",TODAY(),CP61))-CO61)/7),0),1)</f>
        <v/>
      </c>
      <c r="DC61" s="48">
        <f>IF(OR(TRIM(X61)="",TRIM(X61)="NA;",TRIM(X61)="NA"),0,1)</f>
        <v/>
      </c>
      <c r="DD61" s="48">
        <f>IF(OR(TRIM(Y61)="",TRIM(Y61)="NA;",TRIM(Y61)="NA"),0,1)</f>
        <v/>
      </c>
      <c r="DE61" s="48">
        <f>IF(OR(TRIM(Z61)="",TRIM(Z61)="NA;",TRIM(Z61)="NA"),0,1)</f>
        <v/>
      </c>
      <c r="DF61" s="48">
        <f>IF(OR(TRIM(AA61)="",TRIM(AA61)="NA;",TRIM(AA61)="NA"),0,1)</f>
        <v/>
      </c>
      <c r="DG61" s="48">
        <f>IF(OR(TRIM(AB61)="",TRIM(AB61)="NA;",TRIM(AB61)="NA"),0,1)</f>
        <v/>
      </c>
      <c r="DH61" s="48">
        <f>IF(OR(TRIM(AC61)="",TRIM(AC61)="NA;",TRIM(AC61)="NA"),0,1)</f>
        <v/>
      </c>
      <c r="DI61" s="48">
        <f>IF(OR(TRIM(AD61)="",TRIM(AD61)="NA;",TRIM(AD61)="NA"),0,1)</f>
        <v/>
      </c>
      <c r="DJ61" s="48">
        <f>TRIM(IF(DC61=1,"Mon ","")&amp;IF(DD61=1,"Tue ","")&amp;IF(DE61=1,"Wed ","")&amp;IF(DF61=1,"Thu ","")&amp;IF(DG61=1,"Fri ","")&amp;IF(DH61=1,"Sat ","")&amp;IF(DI61=1,"Sun ",""))</f>
        <v/>
      </c>
    </row>
    <row r="62">
      <c r="A62" s="48" t="inlineStr">
        <is>
          <t>T-N-00010</t>
        </is>
      </c>
      <c r="B62" s="48" t="inlineStr">
        <is>
          <t>Daniel Marks</t>
        </is>
      </c>
      <c r="C62" s="48" t="inlineStr">
        <is>
          <t>daniel.marks60@example.com</t>
        </is>
      </c>
      <c r="D62" s="48" t="inlineStr">
        <is>
          <t>+61 448 477 546</t>
        </is>
      </c>
      <c r="E62" s="48" t="inlineStr">
        <is>
          <t>Grace Schaffer</t>
        </is>
      </c>
      <c r="F62" s="48" t="inlineStr">
        <is>
          <t>+61 463 563 670</t>
        </is>
      </c>
      <c r="G62" s="48" t="inlineStr">
        <is>
          <t>Caseworker</t>
        </is>
      </c>
      <c r="H62" s="48" t="inlineStr">
        <is>
          <t>Tutor</t>
        </is>
      </c>
      <c r="I62" s="49" t="n">
        <v>45669</v>
      </c>
      <c r="J62" s="48" t="inlineStr">
        <is>
          <t>ADM-ACT-MAT-CNE</t>
        </is>
      </c>
      <c r="K62" s="48">
        <f>IFERROR(VLOOKUP(J62,'(A) Introduction'!$B$35:$C$45,2,FALSE),"")</f>
        <v/>
      </c>
      <c r="L62" s="48" t="inlineStr">
        <is>
          <t>No</t>
        </is>
      </c>
      <c r="M62" s="48" t="inlineStr"/>
      <c r="N62" s="48" t="inlineStr"/>
      <c r="O62" s="48" t="n">
        <v>3</v>
      </c>
      <c r="P62" s="48">
        <f>IF($H62="Tutor",((BQ62&lt;&gt;"")*(BR62=""))+((BW62&lt;&gt;"")*(BX62=""))+((CC62&lt;&gt;"")*(CD62=""))+((CI62&lt;&gt;"")*(CJ62=""))+((CO62&lt;&gt;"")*(CP62="")),SUMPRODUCT(--($BO$3:$BO$202=$A62),--($BR$3:$BR$202=""))+SUMPRODUCT(--($BU$3:$BU$202=$A62),--($BX$3:$BX$202=""))+SUMPRODUCT(--($CA$3:$CA$202=$A62),--($CD$3:$CD$202=""))+SUMPRODUCT(--($CG$3:$CG$202=$A62),--($CJ$3:$CJ$202=""))+SUMPRODUCT(--($CM$3:$CM$202=$A62),--($CP$3:$CP$202="")))</f>
        <v/>
      </c>
      <c r="Q62" s="48">
        <f>IF($H62="Tutor",(BQ62&lt;&gt;"")+(BW62&lt;&gt;"")+(CC62&lt;&gt;"")+(CI62&lt;&gt;"")+(CO62&lt;&gt;""),SUMPRODUCT(--($BO$3:$BO$202=$A62))+SUMPRODUCT(--($BU$3:$BU$202=$A62))+SUMPRODUCT(--($CA$3:$CA$202=$A62))+SUMPRODUCT(--($CG$3:$CG$202=$A62))+SUMPRODUCT(--($CM$3:$CM$202=$A62)))</f>
        <v/>
      </c>
      <c r="R62" s="48">
        <f>IF($H62="Tutor",TRIM(IF(AND(BQ62&lt;&gt;"",BR62=""),BP62&amp;"; ","")&amp;IF(AND(BW62&lt;&gt;"",BX62=""),BV62&amp;"; ","")&amp;IF(AND(CC62&lt;&gt;"",CD62=""),CB62&amp;"; ","")&amp;IF(AND(CI62&lt;&gt;"",CJ62=""),CH62&amp;"; ","")&amp;IF(AND(CO62&lt;&gt;"",CP62=""),CN62&amp;"; ","")),IFERROR(INDEX($A$3:$B$202,(SUMPRODUCT(($BO$3:$BO$202=$A62)*($BR$3:$BR$202="")*ROW($BO$3:$BO$202))+SUMPRODUCT(($BU$3:$BU$202=$A62)*($BX$3:$BX$202="")*ROW($BU$3:$BU$202))+SUMPRODUCT(($CA$3:$CA$202=$A62)*($CD$3:$CD$202="")*ROW($CA$3:$CA$202))+SUMPRODUCT(($CG$3:$CG$202=$A62)*($CJ$3:$CJ$202="")*ROW($CG$3:$CG$202))+SUMPRODUCT(($CM$3:$CM$202=$A62)*($CP$3:$CP$202="")*ROW($CM$3:$CM$202)))-2,2),""))</f>
        <v/>
      </c>
      <c r="S62" s="48" t="inlineStr">
        <is>
          <t>Not Provided</t>
        </is>
      </c>
      <c r="T62" s="48" t="inlineStr"/>
      <c r="U62" s="48" t="inlineStr"/>
      <c r="V62" s="49" t="n">
        <v>46161</v>
      </c>
      <c r="W62" s="48" t="inlineStr">
        <is>
          <t>AEST (UTC+10)</t>
        </is>
      </c>
      <c r="X62" s="48" t="inlineStr">
        <is>
          <t>6am-9am;9am-12pm;</t>
        </is>
      </c>
      <c r="Y62" s="48" t="inlineStr">
        <is>
          <t>9am-12pm;12pm-3pm;3pm-6pm;</t>
        </is>
      </c>
      <c r="Z62" s="48" t="inlineStr">
        <is>
          <t>6pm-9pm;</t>
        </is>
      </c>
      <c r="AA62" s="48" t="inlineStr">
        <is>
          <t>6pm-9pm;</t>
        </is>
      </c>
      <c r="AB62" s="48" t="inlineStr">
        <is>
          <t>6pm-9pm;</t>
        </is>
      </c>
      <c r="AC62" s="48" t="inlineStr">
        <is>
          <t>6pm-9pm;</t>
        </is>
      </c>
      <c r="AD62" s="48" t="inlineStr">
        <is>
          <t>6am-9am;9am-12pm;</t>
        </is>
      </c>
      <c r="AE62" s="48" t="inlineStr">
        <is>
          <t>Online</t>
        </is>
      </c>
      <c r="AF62" s="48" t="inlineStr">
        <is>
          <t>NA - Tutor</t>
        </is>
      </c>
      <c r="AG62" s="48" t="inlineStr">
        <is>
          <t>Australia</t>
        </is>
      </c>
      <c r="AH62" s="48" t="inlineStr">
        <is>
          <t>New South Wales</t>
        </is>
      </c>
      <c r="AI62" s="48" t="inlineStr">
        <is>
          <t>Auburn</t>
        </is>
      </c>
      <c r="AJ62" s="48" t="inlineStr">
        <is>
          <t>2144</t>
        </is>
      </c>
      <c r="AK62" s="49" t="n">
        <v>28720</v>
      </c>
      <c r="AL62" s="48" t="inlineStr">
        <is>
          <t>Male</t>
        </is>
      </c>
      <c r="AM62" s="48" t="inlineStr">
        <is>
          <t>NA</t>
        </is>
      </c>
      <c r="AN62" s="48" t="inlineStr">
        <is>
          <t>NA - Tutor</t>
        </is>
      </c>
      <c r="AO62" s="48" t="inlineStr">
        <is>
          <t>Outstanding</t>
        </is>
      </c>
      <c r="AP62" s="48" t="inlineStr">
        <is>
          <t>Australia</t>
        </is>
      </c>
      <c r="AQ62" s="48" t="inlineStr">
        <is>
          <t>NA</t>
        </is>
      </c>
      <c r="AR62" s="48" t="inlineStr">
        <is>
          <t>English (C2)</t>
        </is>
      </c>
      <c r="AS62" s="48" t="inlineStr">
        <is>
          <t>Christian (Orthodox)</t>
        </is>
      </c>
      <c r="AT62" s="48" t="inlineStr">
        <is>
          <t>Trades &amp; Construction</t>
        </is>
      </c>
      <c r="AU62" s="48" t="inlineStr">
        <is>
          <t>Nurse</t>
        </is>
      </c>
      <c r="AV62" s="48" t="inlineStr">
        <is>
          <t>NA - Tutor</t>
        </is>
      </c>
      <c r="AW62" s="48" t="inlineStr">
        <is>
          <t>Cooking; Reading; Music</t>
        </is>
      </c>
      <c r="AX62" s="48" t="inlineStr">
        <is>
          <t>NA - Tutor</t>
        </is>
      </c>
      <c r="AY62" s="48" t="inlineStr">
        <is>
          <t>NA - Partner Organisation Verified</t>
        </is>
      </c>
      <c r="AZ62" s="48" t="inlineStr">
        <is>
          <t>NA - Partner Organisation Verified</t>
        </is>
      </c>
      <c r="BA62" s="48" t="inlineStr">
        <is>
          <t>Reza Stanley</t>
        </is>
      </c>
      <c r="BB62" s="48" t="inlineStr">
        <is>
          <t>Friend</t>
        </is>
      </c>
      <c r="BC62" s="48" t="inlineStr">
        <is>
          <t>chloe.wilson560@example.com</t>
        </is>
      </c>
      <c r="BD62" s="48" t="inlineStr">
        <is>
          <t>Yes</t>
        </is>
      </c>
      <c r="BE62" s="48" t="inlineStr">
        <is>
          <t>WWC8774990E</t>
        </is>
      </c>
      <c r="BF62" s="49" t="n">
        <v>46993</v>
      </c>
      <c r="BG62" s="48" t="inlineStr">
        <is>
          <t>Yes</t>
        </is>
      </c>
      <c r="BH62" s="48" t="inlineStr">
        <is>
          <t>Everyone</t>
        </is>
      </c>
      <c r="BI62" s="48" t="inlineStr">
        <is>
          <t>Refugee Advice and Casework Service</t>
        </is>
      </c>
      <c r="BJ62" s="48" t="inlineStr">
        <is>
          <t>HERVIR Oliver</t>
        </is>
      </c>
      <c r="BK62" s="48" t="inlineStr">
        <is>
          <t>MCCRORIE John</t>
        </is>
      </c>
      <c r="BL62" s="48" t="inlineStr">
        <is>
          <t>Synthetic test record.</t>
        </is>
      </c>
      <c r="BM62" s="48" t="inlineStr"/>
      <c r="BN62" s="48">
        <f>TRIM(IF(AND($H62="Student",$J62="ADM-ACT-MAT-CNE"),"Invalid: Student cannot be CNE. ","")&amp;IF(AND($H62="Student",ISNUMBER($O62)),"Check: capacity set for a Student. ","")&amp;IF(AND(LEFT($J62,11)="ADM-ACT-MAT",$P62=0),"Check: matched status but 0 active pairings. ","")&amp;IF(AND($H62="Tutor",ISNUMBER($O62),$P62&gt;$O62),"Check: pairings exceed capacity. ","")&amp;IF(AND($BH62="Everyone",NOT(AND($BD62="Yes",$BG62="Yes"))),"Check: approved to tutor children but WWCC not provided/confirmed. ","")&amp;IF(AND($P62&gt;0,NOT(AND(OR(LEFT($AY62,3)="Yes",LEFT($AY62,2)="NA"),OR(LEFT($AZ62,3)="Yes",LEFT($AZ62,2)="NA")))),"Matched but vetting incomplete (interview/reference). ","")&amp;IF(COUNTIF($B$3:$B$600,$B62)&gt;1,"Duplicate participant name. ",""))</f>
        <v/>
      </c>
      <c r="BO62" s="48" t="inlineStr">
        <is>
          <t>S-N-00043</t>
        </is>
      </c>
      <c r="BP62" s="48">
        <f>IFERROR(VLOOKUP(BO62,$A:$B,2,FALSE),"")</f>
        <v/>
      </c>
      <c r="BQ62" s="49" t="n">
        <v>45968</v>
      </c>
      <c r="BR62" s="48" t="inlineStr"/>
      <c r="BS62" s="48" t="n">
        <v>1</v>
      </c>
      <c r="BT62" s="48" t="inlineStr">
        <is>
          <t>SHANAHAN Jack</t>
        </is>
      </c>
      <c r="BU62" s="48" t="inlineStr"/>
      <c r="BV62" s="48" t="inlineStr"/>
      <c r="BW62" s="48" t="inlineStr"/>
      <c r="BX62" s="48" t="inlineStr"/>
      <c r="BY62" s="48" t="inlineStr"/>
      <c r="BZ62" s="48" t="inlineStr"/>
      <c r="CA62" s="48" t="inlineStr"/>
      <c r="CB62" s="48" t="inlineStr"/>
      <c r="CC62" s="48" t="inlineStr"/>
      <c r="CD62" s="48" t="inlineStr"/>
      <c r="CE62" s="48" t="inlineStr"/>
      <c r="CF62" s="48" t="inlineStr"/>
      <c r="CG62" s="48" t="inlineStr"/>
      <c r="CH62" s="48" t="inlineStr"/>
      <c r="CI62" s="48" t="inlineStr"/>
      <c r="CJ62" s="48" t="inlineStr"/>
      <c r="CK62" s="48" t="inlineStr"/>
      <c r="CL62" s="48" t="inlineStr"/>
      <c r="CM62" s="48" t="inlineStr"/>
      <c r="CN62" s="48" t="inlineStr"/>
      <c r="CO62" s="48" t="inlineStr"/>
      <c r="CP62" s="48" t="inlineStr"/>
      <c r="CQ62" s="48" t="inlineStr"/>
      <c r="CR62" s="48" t="inlineStr"/>
      <c r="CS62" s="48">
        <f>IF(LEFT($J62,3)="ERR",0,1)</f>
        <v/>
      </c>
      <c r="CT62" s="48">
        <f>IF(LEFT($J62,3)="ADM",1,0)</f>
        <v/>
      </c>
      <c r="CU62" s="48">
        <f>IF(OR($J62="ADM-ACT-MAT-CNE",$J62="ADM-ACT-MAT-CE",$J62="ADM-INACT-M&amp;T"),1,0)</f>
        <v/>
      </c>
      <c r="CV62" s="48">
        <f>IF(AND(CU62=1,ISNUMBER(M62),ISNUMBER(I62)),M62-I62,"")</f>
        <v/>
      </c>
      <c r="CW62" s="48">
        <f>IF(ISNUMBER(I62),TODAY()-I62,"")</f>
        <v/>
      </c>
      <c r="CX62" s="48">
        <f>IF(ISNUMBER(I62),DATE(YEAR(I62),MONTH(I62),1),"")</f>
        <v/>
      </c>
      <c r="CY62" s="48">
        <f>IFERROR(DATEDIF(AK62,TODAY(),"y"),"")</f>
        <v/>
      </c>
      <c r="CZ62" s="48">
        <f>IF(CY62="","",IF(CY62&lt;28,"18-27",IF(CY62&lt;38,"28-37",IF(CY62&lt;48,"38-47",IF(CY62&lt;58,"48-57",IF(CY62&lt;68,"58-67",IF(CY62&lt;78,"68-77","78+")))))) </f>
        <v/>
      </c>
      <c r="DA62" s="48">
        <f>IF(AND(BQ62&lt;&gt;"",BR62=""),N(BS62),0)+IF(AND(BW62&lt;&gt;"",BX62=""),N(BY62),0)+IF(AND(CC62&lt;&gt;"",CD62=""),N(CE62),0)+IF(AND(CI62&lt;&gt;"",CJ62=""),N(CK62),0)+IF(AND(CO62&lt;&gt;"",CP62=""),N(CQ62),0)</f>
        <v/>
      </c>
      <c r="DB62" s="48">
        <f>ROUND(IF(BQ62&lt;&gt;"",N(BS62)*MAX(0,((IF(BR62="",TODAY(),BR62))-BQ62)/7),0)+IF(BW62&lt;&gt;"",N(BY62)*MAX(0,((IF(BX62="",TODAY(),BX62))-BW62)/7),0)+IF(CC62&lt;&gt;"",N(CE62)*MAX(0,((IF(CD62="",TODAY(),CD62))-CC62)/7),0)+IF(CI62&lt;&gt;"",N(CK62)*MAX(0,((IF(CJ62="",TODAY(),CJ62))-CI62)/7),0)+IF(CO62&lt;&gt;"",N(CQ62)*MAX(0,((IF(CP62="",TODAY(),CP62))-CO62)/7),0),1)</f>
        <v/>
      </c>
      <c r="DC62" s="48">
        <f>IF(OR(TRIM(X62)="",TRIM(X62)="NA;",TRIM(X62)="NA"),0,1)</f>
        <v/>
      </c>
      <c r="DD62" s="48">
        <f>IF(OR(TRIM(Y62)="",TRIM(Y62)="NA;",TRIM(Y62)="NA"),0,1)</f>
        <v/>
      </c>
      <c r="DE62" s="48">
        <f>IF(OR(TRIM(Z62)="",TRIM(Z62)="NA;",TRIM(Z62)="NA"),0,1)</f>
        <v/>
      </c>
      <c r="DF62" s="48">
        <f>IF(OR(TRIM(AA62)="",TRIM(AA62)="NA;",TRIM(AA62)="NA"),0,1)</f>
        <v/>
      </c>
      <c r="DG62" s="48">
        <f>IF(OR(TRIM(AB62)="",TRIM(AB62)="NA;",TRIM(AB62)="NA"),0,1)</f>
        <v/>
      </c>
      <c r="DH62" s="48">
        <f>IF(OR(TRIM(AC62)="",TRIM(AC62)="NA;",TRIM(AC62)="NA"),0,1)</f>
        <v/>
      </c>
      <c r="DI62" s="48">
        <f>IF(OR(TRIM(AD62)="",TRIM(AD62)="NA;",TRIM(AD62)="NA"),0,1)</f>
        <v/>
      </c>
      <c r="DJ62" s="48">
        <f>TRIM(IF(DC62=1,"Mon ","")&amp;IF(DD62=1,"Tue ","")&amp;IF(DE62=1,"Wed ","")&amp;IF(DF62=1,"Thu ","")&amp;IF(DG62=1,"Fri ","")&amp;IF(DH62=1,"Sat ","")&amp;IF(DI62=1,"Sun ",""))</f>
        <v/>
      </c>
    </row>
    <row r="63">
      <c r="A63" s="48" t="inlineStr">
        <is>
          <t>T-N-00011</t>
        </is>
      </c>
      <c r="B63" s="48" t="inlineStr">
        <is>
          <t>Rania Silva</t>
        </is>
      </c>
      <c r="C63" s="48" t="inlineStr">
        <is>
          <t>rania.silva61@example.com</t>
        </is>
      </c>
      <c r="D63" s="48" t="inlineStr">
        <is>
          <t>+61 421 143 737</t>
        </is>
      </c>
      <c r="E63" s="48" t="inlineStr">
        <is>
          <t>Iryna Drobushar</t>
        </is>
      </c>
      <c r="F63" s="48" t="inlineStr">
        <is>
          <t>+61 400 544 564</t>
        </is>
      </c>
      <c r="G63" s="48" t="inlineStr">
        <is>
          <t>Adult Child</t>
        </is>
      </c>
      <c r="H63" s="48" t="inlineStr">
        <is>
          <t>Tutor</t>
        </is>
      </c>
      <c r="I63" s="49" t="n">
        <v>45675</v>
      </c>
      <c r="J63" s="48" t="inlineStr">
        <is>
          <t>ADM-ACT-UNMAT</t>
        </is>
      </c>
      <c r="K63" s="48">
        <f>IFERROR(VLOOKUP(J63,'(A) Introduction'!$B$35:$C$45,2,FALSE),"")</f>
        <v/>
      </c>
      <c r="L63" s="48" t="inlineStr">
        <is>
          <t>No</t>
        </is>
      </c>
      <c r="M63" s="48" t="inlineStr"/>
      <c r="N63" s="48" t="inlineStr"/>
      <c r="O63" s="48" t="n">
        <v>3</v>
      </c>
      <c r="P63" s="48">
        <f>IF($H63="Tutor",((BQ63&lt;&gt;"")*(BR63=""))+((BW63&lt;&gt;"")*(BX63=""))+((CC63&lt;&gt;"")*(CD63=""))+((CI63&lt;&gt;"")*(CJ63=""))+((CO63&lt;&gt;"")*(CP63="")),SUMPRODUCT(--($BO$3:$BO$202=$A63),--($BR$3:$BR$202=""))+SUMPRODUCT(--($BU$3:$BU$202=$A63),--($BX$3:$BX$202=""))+SUMPRODUCT(--($CA$3:$CA$202=$A63),--($CD$3:$CD$202=""))+SUMPRODUCT(--($CG$3:$CG$202=$A63),--($CJ$3:$CJ$202=""))+SUMPRODUCT(--($CM$3:$CM$202=$A63),--($CP$3:$CP$202="")))</f>
        <v/>
      </c>
      <c r="Q63" s="48">
        <f>IF($H63="Tutor",(BQ63&lt;&gt;"")+(BW63&lt;&gt;"")+(CC63&lt;&gt;"")+(CI63&lt;&gt;"")+(CO63&lt;&gt;""),SUMPRODUCT(--($BO$3:$BO$202=$A63))+SUMPRODUCT(--($BU$3:$BU$202=$A63))+SUMPRODUCT(--($CA$3:$CA$202=$A63))+SUMPRODUCT(--($CG$3:$CG$202=$A63))+SUMPRODUCT(--($CM$3:$CM$202=$A63)))</f>
        <v/>
      </c>
      <c r="R63" s="48">
        <f>IF($H63="Tutor",TRIM(IF(AND(BQ63&lt;&gt;"",BR63=""),BP63&amp;"; ","")&amp;IF(AND(BW63&lt;&gt;"",BX63=""),BV63&amp;"; ","")&amp;IF(AND(CC63&lt;&gt;"",CD63=""),CB63&amp;"; ","")&amp;IF(AND(CI63&lt;&gt;"",CJ63=""),CH63&amp;"; ","")&amp;IF(AND(CO63&lt;&gt;"",CP63=""),CN63&amp;"; ","")),IFERROR(INDEX($A$3:$B$202,(SUMPRODUCT(($BO$3:$BO$202=$A63)*($BR$3:$BR$202="")*ROW($BO$3:$BO$202))+SUMPRODUCT(($BU$3:$BU$202=$A63)*($BX$3:$BX$202="")*ROW($BU$3:$BU$202))+SUMPRODUCT(($CA$3:$CA$202=$A63)*($CD$3:$CD$202="")*ROW($CA$3:$CA$202))+SUMPRODUCT(($CG$3:$CG$202=$A63)*($CJ$3:$CJ$202="")*ROW($CG$3:$CG$202))+SUMPRODUCT(($CM$3:$CM$202=$A63)*($CP$3:$CP$202="")*ROW($CM$3:$CM$202)))-2,2),""))</f>
        <v/>
      </c>
      <c r="S63" s="48" t="inlineStr">
        <is>
          <t>Not Provided</t>
        </is>
      </c>
      <c r="T63" s="48" t="inlineStr"/>
      <c r="U63" s="48" t="inlineStr"/>
      <c r="V63" s="49" t="n">
        <v>46090</v>
      </c>
      <c r="W63" s="48" t="inlineStr">
        <is>
          <t>AEST (UTC+10)</t>
        </is>
      </c>
      <c r="X63" s="48" t="inlineStr">
        <is>
          <t>9am-12pm;12pm-3pm;3pm-6pm;</t>
        </is>
      </c>
      <c r="Y63" s="48" t="inlineStr">
        <is>
          <t>NA;</t>
        </is>
      </c>
      <c r="Z63" s="48" t="inlineStr">
        <is>
          <t>9am-12pm;12pm-3pm;3pm-6pm;</t>
        </is>
      </c>
      <c r="AA63" s="48" t="inlineStr">
        <is>
          <t>NA;</t>
        </is>
      </c>
      <c r="AB63" s="48" t="inlineStr">
        <is>
          <t>6pm-9pm;</t>
        </is>
      </c>
      <c r="AC63" s="48" t="inlineStr">
        <is>
          <t>NA;</t>
        </is>
      </c>
      <c r="AD63" s="48" t="inlineStr">
        <is>
          <t>NA;</t>
        </is>
      </c>
      <c r="AE63" s="48" t="inlineStr">
        <is>
          <t>In-Person</t>
        </is>
      </c>
      <c r="AF63" s="48" t="inlineStr">
        <is>
          <t>NA - Tutor</t>
        </is>
      </c>
      <c r="AG63" s="48" t="inlineStr">
        <is>
          <t>Australia</t>
        </is>
      </c>
      <c r="AH63" s="48" t="inlineStr">
        <is>
          <t>New South Wales</t>
        </is>
      </c>
      <c r="AI63" s="48" t="inlineStr">
        <is>
          <t>Liverpool</t>
        </is>
      </c>
      <c r="AJ63" s="48" t="inlineStr">
        <is>
          <t>2170</t>
        </is>
      </c>
      <c r="AK63" s="49" t="n">
        <v>24899</v>
      </c>
      <c r="AL63" s="48" t="inlineStr">
        <is>
          <t>Other</t>
        </is>
      </c>
      <c r="AM63" s="48" t="inlineStr">
        <is>
          <t>NA</t>
        </is>
      </c>
      <c r="AN63" s="48" t="inlineStr">
        <is>
          <t>NA - Tutor</t>
        </is>
      </c>
      <c r="AO63" s="48" t="inlineStr">
        <is>
          <t>Moderate</t>
        </is>
      </c>
      <c r="AP63" s="48" t="inlineStr">
        <is>
          <t>Australia</t>
        </is>
      </c>
      <c r="AQ63" s="48" t="inlineStr">
        <is>
          <t>NA</t>
        </is>
      </c>
      <c r="AR63" s="48" t="inlineStr">
        <is>
          <t>English (C2)</t>
        </is>
      </c>
      <c r="AS63" s="48" t="inlineStr">
        <is>
          <t>Muslim</t>
        </is>
      </c>
      <c r="AT63" s="48" t="inlineStr">
        <is>
          <t>Education &amp; Academia</t>
        </is>
      </c>
      <c r="AU63" s="48" t="inlineStr">
        <is>
          <t>Retail</t>
        </is>
      </c>
      <c r="AV63" s="48" t="inlineStr">
        <is>
          <t>NA - Tutor</t>
        </is>
      </c>
      <c r="AW63" s="48" t="inlineStr">
        <is>
          <t>Art; Photography; Travel</t>
        </is>
      </c>
      <c r="AX63" s="48" t="inlineStr">
        <is>
          <t>NA - Tutor</t>
        </is>
      </c>
      <c r="AY63" s="48" t="inlineStr">
        <is>
          <t>NA - Partner Organisation Verified</t>
        </is>
      </c>
      <c r="AZ63" s="48" t="inlineStr">
        <is>
          <t>Yes</t>
        </is>
      </c>
      <c r="BA63" s="48" t="inlineStr">
        <is>
          <t>Amir Drobushar</t>
        </is>
      </c>
      <c r="BB63" s="48" t="inlineStr">
        <is>
          <t>Academic Referee</t>
        </is>
      </c>
      <c r="BC63" s="48" t="inlineStr">
        <is>
          <t>aisha.harris561@example.com</t>
        </is>
      </c>
      <c r="BD63" s="48" t="inlineStr">
        <is>
          <t>Pending</t>
        </is>
      </c>
      <c r="BE63" s="48" t="inlineStr"/>
      <c r="BF63" s="48" t="inlineStr"/>
      <c r="BG63" s="48" t="inlineStr">
        <is>
          <t>No</t>
        </is>
      </c>
      <c r="BH63" s="48" t="inlineStr">
        <is>
          <t>Adults Only</t>
        </is>
      </c>
      <c r="BI63" s="48" t="inlineStr">
        <is>
          <t>University of Queensland (Including the Refugee Tutoring Club)</t>
        </is>
      </c>
      <c r="BJ63" s="48" t="inlineStr">
        <is>
          <t>NUICH Curtis</t>
        </is>
      </c>
      <c r="BK63" s="48" t="inlineStr">
        <is>
          <t>THET Moh Moh</t>
        </is>
      </c>
      <c r="BL63" s="48" t="inlineStr">
        <is>
          <t>Synthetic test record.</t>
        </is>
      </c>
      <c r="BM63" s="48" t="inlineStr"/>
      <c r="BN63" s="48">
        <f>TRIM(IF(AND($H63="Student",$J63="ADM-ACT-MAT-CNE"),"Invalid: Student cannot be CNE. ","")&amp;IF(AND($H63="Student",ISNUMBER($O63)),"Check: capacity set for a Student. ","")&amp;IF(AND(LEFT($J63,11)="ADM-ACT-MAT",$P63=0),"Check: matched status but 0 active pairings. ","")&amp;IF(AND($H63="Tutor",ISNUMBER($O63),$P63&gt;$O63),"Check: pairings exceed capacity. ","")&amp;IF(AND($BH63="Everyone",NOT(AND($BD63="Yes",$BG63="Yes"))),"Check: approved to tutor children but WWCC not provided/confirmed. ","")&amp;IF(AND($P63&gt;0,NOT(AND(OR(LEFT($AY63,3)="Yes",LEFT($AY63,2)="NA"),OR(LEFT($AZ63,3)="Yes",LEFT($AZ63,2)="NA")))),"Matched but vetting incomplete (interview/reference). ","")&amp;IF(COUNTIF($B$3:$B$600,$B63)&gt;1,"Duplicate participant name. ",""))</f>
        <v/>
      </c>
      <c r="BO63" s="48" t="inlineStr"/>
      <c r="BP63" s="48" t="inlineStr"/>
      <c r="BQ63" s="48" t="inlineStr"/>
      <c r="BR63" s="48" t="inlineStr"/>
      <c r="BS63" s="48" t="inlineStr"/>
      <c r="BT63" s="48" t="inlineStr"/>
      <c r="BU63" s="48" t="inlineStr"/>
      <c r="BV63" s="48" t="inlineStr"/>
      <c r="BW63" s="48" t="inlineStr"/>
      <c r="BX63" s="48" t="inlineStr"/>
      <c r="BY63" s="48" t="inlineStr"/>
      <c r="BZ63" s="48" t="inlineStr"/>
      <c r="CA63" s="48" t="inlineStr"/>
      <c r="CB63" s="48" t="inlineStr"/>
      <c r="CC63" s="48" t="inlineStr"/>
      <c r="CD63" s="48" t="inlineStr"/>
      <c r="CE63" s="48" t="inlineStr"/>
      <c r="CF63" s="48" t="inlineStr"/>
      <c r="CG63" s="48" t="inlineStr"/>
      <c r="CH63" s="48" t="inlineStr"/>
      <c r="CI63" s="48" t="inlineStr"/>
      <c r="CJ63" s="48" t="inlineStr"/>
      <c r="CK63" s="48" t="inlineStr"/>
      <c r="CL63" s="48" t="inlineStr"/>
      <c r="CM63" s="48" t="inlineStr"/>
      <c r="CN63" s="48" t="inlineStr"/>
      <c r="CO63" s="48" t="inlineStr"/>
      <c r="CP63" s="48" t="inlineStr"/>
      <c r="CQ63" s="48" t="inlineStr"/>
      <c r="CR63" s="48" t="inlineStr"/>
      <c r="CS63" s="48">
        <f>IF(LEFT($J63,3)="ERR",0,1)</f>
        <v/>
      </c>
      <c r="CT63" s="48">
        <f>IF(LEFT($J63,3)="ADM",1,0)</f>
        <v/>
      </c>
      <c r="CU63" s="48">
        <f>IF(OR($J63="ADM-ACT-MAT-CNE",$J63="ADM-ACT-MAT-CE",$J63="ADM-INACT-M&amp;T"),1,0)</f>
        <v/>
      </c>
      <c r="CV63" s="48">
        <f>IF(AND(CU63=1,ISNUMBER(M63),ISNUMBER(I63)),M63-I63,"")</f>
        <v/>
      </c>
      <c r="CW63" s="48">
        <f>IF(ISNUMBER(I63),TODAY()-I63,"")</f>
        <v/>
      </c>
      <c r="CX63" s="48">
        <f>IF(ISNUMBER(I63),DATE(YEAR(I63),MONTH(I63),1),"")</f>
        <v/>
      </c>
      <c r="CY63" s="48">
        <f>IFERROR(DATEDIF(AK63,TODAY(),"y"),"")</f>
        <v/>
      </c>
      <c r="CZ63" s="48">
        <f>IF(CY63="","",IF(CY63&lt;28,"18-27",IF(CY63&lt;38,"28-37",IF(CY63&lt;48,"38-47",IF(CY63&lt;58,"48-57",IF(CY63&lt;68,"58-67",IF(CY63&lt;78,"68-77","78+")))))) </f>
        <v/>
      </c>
      <c r="DA63" s="48">
        <f>IF(AND(BQ63&lt;&gt;"",BR63=""),N(BS63),0)+IF(AND(BW63&lt;&gt;"",BX63=""),N(BY63),0)+IF(AND(CC63&lt;&gt;"",CD63=""),N(CE63),0)+IF(AND(CI63&lt;&gt;"",CJ63=""),N(CK63),0)+IF(AND(CO63&lt;&gt;"",CP63=""),N(CQ63),0)</f>
        <v/>
      </c>
      <c r="DB63" s="48">
        <f>ROUND(IF(BQ63&lt;&gt;"",N(BS63)*MAX(0,((IF(BR63="",TODAY(),BR63))-BQ63)/7),0)+IF(BW63&lt;&gt;"",N(BY63)*MAX(0,((IF(BX63="",TODAY(),BX63))-BW63)/7),0)+IF(CC63&lt;&gt;"",N(CE63)*MAX(0,((IF(CD63="",TODAY(),CD63))-CC63)/7),0)+IF(CI63&lt;&gt;"",N(CK63)*MAX(0,((IF(CJ63="",TODAY(),CJ63))-CI63)/7),0)+IF(CO63&lt;&gt;"",N(CQ63)*MAX(0,((IF(CP63="",TODAY(),CP63))-CO63)/7),0),1)</f>
        <v/>
      </c>
      <c r="DC63" s="48">
        <f>IF(OR(TRIM(X63)="",TRIM(X63)="NA;",TRIM(X63)="NA"),0,1)</f>
        <v/>
      </c>
      <c r="DD63" s="48">
        <f>IF(OR(TRIM(Y63)="",TRIM(Y63)="NA;",TRIM(Y63)="NA"),0,1)</f>
        <v/>
      </c>
      <c r="DE63" s="48">
        <f>IF(OR(TRIM(Z63)="",TRIM(Z63)="NA;",TRIM(Z63)="NA"),0,1)</f>
        <v/>
      </c>
      <c r="DF63" s="48">
        <f>IF(OR(TRIM(AA63)="",TRIM(AA63)="NA;",TRIM(AA63)="NA"),0,1)</f>
        <v/>
      </c>
      <c r="DG63" s="48">
        <f>IF(OR(TRIM(AB63)="",TRIM(AB63)="NA;",TRIM(AB63)="NA"),0,1)</f>
        <v/>
      </c>
      <c r="DH63" s="48">
        <f>IF(OR(TRIM(AC63)="",TRIM(AC63)="NA;",TRIM(AC63)="NA"),0,1)</f>
        <v/>
      </c>
      <c r="DI63" s="48">
        <f>IF(OR(TRIM(AD63)="",TRIM(AD63)="NA;",TRIM(AD63)="NA"),0,1)</f>
        <v/>
      </c>
      <c r="DJ63" s="48">
        <f>TRIM(IF(DC63=1,"Mon ","")&amp;IF(DD63=1,"Tue ","")&amp;IF(DE63=1,"Wed ","")&amp;IF(DF63=1,"Thu ","")&amp;IF(DG63=1,"Fri ","")&amp;IF(DH63=1,"Sat ","")&amp;IF(DI63=1,"Sun ",""))</f>
        <v/>
      </c>
    </row>
    <row r="64">
      <c r="A64" s="48" t="inlineStr">
        <is>
          <t>T-N-00012</t>
        </is>
      </c>
      <c r="B64" s="48" t="inlineStr">
        <is>
          <t>Layla Lee</t>
        </is>
      </c>
      <c r="C64" s="48" t="inlineStr">
        <is>
          <t>layla.lee62@example.com</t>
        </is>
      </c>
      <c r="D64" s="48" t="inlineStr">
        <is>
          <t>+61 422 109 940</t>
        </is>
      </c>
      <c r="E64" s="48" t="inlineStr">
        <is>
          <t>Dmytro Hadaya</t>
        </is>
      </c>
      <c r="F64" s="48" t="inlineStr">
        <is>
          <t>+61 489 175 084</t>
        </is>
      </c>
      <c r="G64" s="48" t="inlineStr">
        <is>
          <t>Adult Child</t>
        </is>
      </c>
      <c r="H64" s="48" t="inlineStr">
        <is>
          <t>Tutor</t>
        </is>
      </c>
      <c r="I64" s="49" t="n">
        <v>45683</v>
      </c>
      <c r="J64" s="48" t="inlineStr">
        <is>
          <t>ADM-INACT-M&amp;T</t>
        </is>
      </c>
      <c r="K64" s="48">
        <f>IFERROR(VLOOKUP(J64,'(A) Introduction'!$B$35:$C$45,2,FALSE),"")</f>
        <v/>
      </c>
      <c r="L64" s="48" t="inlineStr">
        <is>
          <t>No</t>
        </is>
      </c>
      <c r="M64" s="48" t="inlineStr"/>
      <c r="N64" s="48" t="inlineStr"/>
      <c r="O64" s="48" t="n">
        <v>1</v>
      </c>
      <c r="P64" s="48">
        <f>IF($H64="Tutor",((BQ64&lt;&gt;"")*(BR64=""))+((BW64&lt;&gt;"")*(BX64=""))+((CC64&lt;&gt;"")*(CD64=""))+((CI64&lt;&gt;"")*(CJ64=""))+((CO64&lt;&gt;"")*(CP64="")),SUMPRODUCT(--($BO$3:$BO$202=$A64),--($BR$3:$BR$202=""))+SUMPRODUCT(--($BU$3:$BU$202=$A64),--($BX$3:$BX$202=""))+SUMPRODUCT(--($CA$3:$CA$202=$A64),--($CD$3:$CD$202=""))+SUMPRODUCT(--($CG$3:$CG$202=$A64),--($CJ$3:$CJ$202=""))+SUMPRODUCT(--($CM$3:$CM$202=$A64),--($CP$3:$CP$202="")))</f>
        <v/>
      </c>
      <c r="Q64" s="48">
        <f>IF($H64="Tutor",(BQ64&lt;&gt;"")+(BW64&lt;&gt;"")+(CC64&lt;&gt;"")+(CI64&lt;&gt;"")+(CO64&lt;&gt;""),SUMPRODUCT(--($BO$3:$BO$202=$A64))+SUMPRODUCT(--($BU$3:$BU$202=$A64))+SUMPRODUCT(--($CA$3:$CA$202=$A64))+SUMPRODUCT(--($CG$3:$CG$202=$A64))+SUMPRODUCT(--($CM$3:$CM$202=$A64)))</f>
        <v/>
      </c>
      <c r="R64" s="48">
        <f>IF($H64="Tutor",TRIM(IF(AND(BQ64&lt;&gt;"",BR64=""),BP64&amp;"; ","")&amp;IF(AND(BW64&lt;&gt;"",BX64=""),BV64&amp;"; ","")&amp;IF(AND(CC64&lt;&gt;"",CD64=""),CB64&amp;"; ","")&amp;IF(AND(CI64&lt;&gt;"",CJ64=""),CH64&amp;"; ","")&amp;IF(AND(CO64&lt;&gt;"",CP64=""),CN64&amp;"; ","")),IFERROR(INDEX($A$3:$B$202,(SUMPRODUCT(($BO$3:$BO$202=$A64)*($BR$3:$BR$202="")*ROW($BO$3:$BO$202))+SUMPRODUCT(($BU$3:$BU$202=$A64)*($BX$3:$BX$202="")*ROW($BU$3:$BU$202))+SUMPRODUCT(($CA$3:$CA$202=$A64)*($CD$3:$CD$202="")*ROW($CA$3:$CA$202))+SUMPRODUCT(($CG$3:$CG$202=$A64)*($CJ$3:$CJ$202="")*ROW($CG$3:$CG$202))+SUMPRODUCT(($CM$3:$CM$202=$A64)*($CP$3:$CP$202="")*ROW($CM$3:$CM$202)))-2,2),""))</f>
        <v/>
      </c>
      <c r="S64" s="48" t="inlineStr">
        <is>
          <t>NA</t>
        </is>
      </c>
      <c r="T64" s="48" t="inlineStr"/>
      <c r="U64" s="48" t="inlineStr"/>
      <c r="V64" s="49" t="n">
        <v>45654</v>
      </c>
      <c r="W64" s="48" t="inlineStr">
        <is>
          <t>AEST (UTC+10)</t>
        </is>
      </c>
      <c r="X64" s="48" t="inlineStr">
        <is>
          <t>12pm-3pm;</t>
        </is>
      </c>
      <c r="Y64" s="48" t="inlineStr">
        <is>
          <t>12pm-3pm;</t>
        </is>
      </c>
      <c r="Z64" s="48" t="inlineStr">
        <is>
          <t>9am-12pm;12pm-3pm;3pm-6pm;</t>
        </is>
      </c>
      <c r="AA64" s="48" t="inlineStr">
        <is>
          <t>3pm-6pm;</t>
        </is>
      </c>
      <c r="AB64" s="48" t="inlineStr">
        <is>
          <t>6am-9am;9am-12pm;</t>
        </is>
      </c>
      <c r="AC64" s="48" t="inlineStr">
        <is>
          <t>3pm-6pm;</t>
        </is>
      </c>
      <c r="AD64" s="48" t="inlineStr">
        <is>
          <t>12pm-3pm;6pm-9pm;</t>
        </is>
      </c>
      <c r="AE64" s="48" t="inlineStr">
        <is>
          <t>Online</t>
        </is>
      </c>
      <c r="AF64" s="48" t="inlineStr">
        <is>
          <t>NA - Tutor</t>
        </is>
      </c>
      <c r="AG64" s="48" t="inlineStr">
        <is>
          <t>Australia</t>
        </is>
      </c>
      <c r="AH64" s="48" t="inlineStr">
        <is>
          <t>New South Wales</t>
        </is>
      </c>
      <c r="AI64" s="48" t="inlineStr">
        <is>
          <t>Bankstown</t>
        </is>
      </c>
      <c r="AJ64" s="48" t="inlineStr">
        <is>
          <t>2200</t>
        </is>
      </c>
      <c r="AK64" s="49" t="n">
        <v>28759</v>
      </c>
      <c r="AL64" s="48" t="inlineStr">
        <is>
          <t>Male</t>
        </is>
      </c>
      <c r="AM64" s="48" t="inlineStr">
        <is>
          <t>NA</t>
        </is>
      </c>
      <c r="AN64" s="48" t="inlineStr">
        <is>
          <t>NA - Tutor</t>
        </is>
      </c>
      <c r="AO64" s="48" t="inlineStr">
        <is>
          <t>Outstanding</t>
        </is>
      </c>
      <c r="AP64" s="48" t="inlineStr">
        <is>
          <t>Egypt</t>
        </is>
      </c>
      <c r="AQ64" s="48" t="inlineStr">
        <is>
          <t>NA</t>
        </is>
      </c>
      <c r="AR64" s="48" t="inlineStr">
        <is>
          <t>English (C2)</t>
        </is>
      </c>
      <c r="AS64" s="48" t="inlineStr">
        <is>
          <t>Christian (Orthodox)</t>
        </is>
      </c>
      <c r="AT64" s="48" t="inlineStr">
        <is>
          <t>Trades &amp; Construction</t>
        </is>
      </c>
      <c r="AU64" s="48" t="inlineStr">
        <is>
          <t>Student</t>
        </is>
      </c>
      <c r="AV64" s="48" t="inlineStr">
        <is>
          <t>NA - Tutor</t>
        </is>
      </c>
      <c r="AW64" s="48" t="inlineStr">
        <is>
          <t>Language learning; Self-development</t>
        </is>
      </c>
      <c r="AX64" s="48" t="inlineStr">
        <is>
          <t>NA - Tutor</t>
        </is>
      </c>
      <c r="AY64" s="48" t="inlineStr">
        <is>
          <t>Yes</t>
        </is>
      </c>
      <c r="AZ64" s="48" t="inlineStr">
        <is>
          <t>Yes</t>
        </is>
      </c>
      <c r="BA64" s="48" t="inlineStr">
        <is>
          <t>Nour Fernando</t>
        </is>
      </c>
      <c r="BB64" s="48" t="inlineStr">
        <is>
          <t>Colleague</t>
        </is>
      </c>
      <c r="BC64" s="48" t="inlineStr">
        <is>
          <t>mohamed.mosquera562@example.com</t>
        </is>
      </c>
      <c r="BD64" s="48" t="inlineStr">
        <is>
          <t>Yes</t>
        </is>
      </c>
      <c r="BE64" s="48" t="inlineStr">
        <is>
          <t>WWC2953854E</t>
        </is>
      </c>
      <c r="BF64" s="49" t="n">
        <v>46335</v>
      </c>
      <c r="BG64" s="48" t="inlineStr">
        <is>
          <t>Yes</t>
        </is>
      </c>
      <c r="BH64" s="48" t="inlineStr">
        <is>
          <t>Adults Only</t>
        </is>
      </c>
      <c r="BI64" s="48" t="inlineStr">
        <is>
          <t>Refugee Education Australia</t>
        </is>
      </c>
      <c r="BJ64" s="48" t="inlineStr">
        <is>
          <t>SHANAHAN Jack</t>
        </is>
      </c>
      <c r="BK64" s="48" t="inlineStr">
        <is>
          <t>NUICH Curtis</t>
        </is>
      </c>
      <c r="BL64" s="48" t="inlineStr">
        <is>
          <t>Synthetic test record.</t>
        </is>
      </c>
      <c r="BM64" s="48" t="inlineStr"/>
      <c r="BN64" s="48">
        <f>TRIM(IF(AND($H64="Student",$J64="ADM-ACT-MAT-CNE"),"Invalid: Student cannot be CNE. ","")&amp;IF(AND($H64="Student",ISNUMBER($O64)),"Check: capacity set for a Student. ","")&amp;IF(AND(LEFT($J64,11)="ADM-ACT-MAT",$P64=0),"Check: matched status but 0 active pairings. ","")&amp;IF(AND($H64="Tutor",ISNUMBER($O64),$P64&gt;$O64),"Check: pairings exceed capacity. ","")&amp;IF(AND($BH64="Everyone",NOT(AND($BD64="Yes",$BG64="Yes"))),"Check: approved to tutor children but WWCC not provided/confirmed. ","")&amp;IF(AND($P64&gt;0,NOT(AND(OR(LEFT($AY64,3)="Yes",LEFT($AY64,2)="NA"),OR(LEFT($AZ64,3)="Yes",LEFT($AZ64,2)="NA")))),"Matched but vetting incomplete (interview/reference). ","")&amp;IF(COUNTIF($B$3:$B$600,$B64)&gt;1,"Duplicate participant name. ",""))</f>
        <v/>
      </c>
      <c r="BO64" s="48" t="inlineStr">
        <is>
          <t>S-N-00003</t>
        </is>
      </c>
      <c r="BP64" s="48">
        <f>IFERROR(VLOOKUP(BO64,$A:$B,2,FALSE),"")</f>
        <v/>
      </c>
      <c r="BQ64" s="49" t="n">
        <v>45808</v>
      </c>
      <c r="BR64" s="49" t="n">
        <v>45884</v>
      </c>
      <c r="BS64" s="48" t="n">
        <v>1</v>
      </c>
      <c r="BT64" s="48" t="inlineStr">
        <is>
          <t>KNIJNIK Marina</t>
        </is>
      </c>
      <c r="BU64" s="48" t="inlineStr"/>
      <c r="BV64" s="48" t="inlineStr"/>
      <c r="BW64" s="48" t="inlineStr"/>
      <c r="BX64" s="48" t="inlineStr"/>
      <c r="BY64" s="48" t="inlineStr"/>
      <c r="BZ64" s="48" t="inlineStr"/>
      <c r="CA64" s="48" t="inlineStr"/>
      <c r="CB64" s="48" t="inlineStr"/>
      <c r="CC64" s="48" t="inlineStr"/>
      <c r="CD64" s="48" t="inlineStr"/>
      <c r="CE64" s="48" t="inlineStr"/>
      <c r="CF64" s="48" t="inlineStr"/>
      <c r="CG64" s="48" t="inlineStr"/>
      <c r="CH64" s="48" t="inlineStr"/>
      <c r="CI64" s="48" t="inlineStr"/>
      <c r="CJ64" s="48" t="inlineStr"/>
      <c r="CK64" s="48" t="inlineStr"/>
      <c r="CL64" s="48" t="inlineStr"/>
      <c r="CM64" s="48" t="inlineStr"/>
      <c r="CN64" s="48" t="inlineStr"/>
      <c r="CO64" s="48" t="inlineStr"/>
      <c r="CP64" s="48" t="inlineStr"/>
      <c r="CQ64" s="48" t="inlineStr"/>
      <c r="CR64" s="48" t="inlineStr"/>
      <c r="CS64" s="48">
        <f>IF(LEFT($J64,3)="ERR",0,1)</f>
        <v/>
      </c>
      <c r="CT64" s="48">
        <f>IF(LEFT($J64,3)="ADM",1,0)</f>
        <v/>
      </c>
      <c r="CU64" s="48">
        <f>IF(OR($J64="ADM-ACT-MAT-CNE",$J64="ADM-ACT-MAT-CE",$J64="ADM-INACT-M&amp;T"),1,0)</f>
        <v/>
      </c>
      <c r="CV64" s="48">
        <f>IF(AND(CU64=1,ISNUMBER(M64),ISNUMBER(I64)),M64-I64,"")</f>
        <v/>
      </c>
      <c r="CW64" s="48">
        <f>IF(ISNUMBER(I64),TODAY()-I64,"")</f>
        <v/>
      </c>
      <c r="CX64" s="48">
        <f>IF(ISNUMBER(I64),DATE(YEAR(I64),MONTH(I64),1),"")</f>
        <v/>
      </c>
      <c r="CY64" s="48">
        <f>IFERROR(DATEDIF(AK64,TODAY(),"y"),"")</f>
        <v/>
      </c>
      <c r="CZ64" s="48">
        <f>IF(CY64="","",IF(CY64&lt;28,"18-27",IF(CY64&lt;38,"28-37",IF(CY64&lt;48,"38-47",IF(CY64&lt;58,"48-57",IF(CY64&lt;68,"58-67",IF(CY64&lt;78,"68-77","78+")))))) </f>
        <v/>
      </c>
      <c r="DA64" s="48">
        <f>IF(AND(BQ64&lt;&gt;"",BR64=""),N(BS64),0)+IF(AND(BW64&lt;&gt;"",BX64=""),N(BY64),0)+IF(AND(CC64&lt;&gt;"",CD64=""),N(CE64),0)+IF(AND(CI64&lt;&gt;"",CJ64=""),N(CK64),0)+IF(AND(CO64&lt;&gt;"",CP64=""),N(CQ64),0)</f>
        <v/>
      </c>
      <c r="DB64" s="48">
        <f>ROUND(IF(BQ64&lt;&gt;"",N(BS64)*MAX(0,((IF(BR64="",TODAY(),BR64))-BQ64)/7),0)+IF(BW64&lt;&gt;"",N(BY64)*MAX(0,((IF(BX64="",TODAY(),BX64))-BW64)/7),0)+IF(CC64&lt;&gt;"",N(CE64)*MAX(0,((IF(CD64="",TODAY(),CD64))-CC64)/7),0)+IF(CI64&lt;&gt;"",N(CK64)*MAX(0,((IF(CJ64="",TODAY(),CJ64))-CI64)/7),0)+IF(CO64&lt;&gt;"",N(CQ64)*MAX(0,((IF(CP64="",TODAY(),CP64))-CO64)/7),0),1)</f>
        <v/>
      </c>
      <c r="DC64" s="48">
        <f>IF(OR(TRIM(X64)="",TRIM(X64)="NA;",TRIM(X64)="NA"),0,1)</f>
        <v/>
      </c>
      <c r="DD64" s="48">
        <f>IF(OR(TRIM(Y64)="",TRIM(Y64)="NA;",TRIM(Y64)="NA"),0,1)</f>
        <v/>
      </c>
      <c r="DE64" s="48">
        <f>IF(OR(TRIM(Z64)="",TRIM(Z64)="NA;",TRIM(Z64)="NA"),0,1)</f>
        <v/>
      </c>
      <c r="DF64" s="48">
        <f>IF(OR(TRIM(AA64)="",TRIM(AA64)="NA;",TRIM(AA64)="NA"),0,1)</f>
        <v/>
      </c>
      <c r="DG64" s="48">
        <f>IF(OR(TRIM(AB64)="",TRIM(AB64)="NA;",TRIM(AB64)="NA"),0,1)</f>
        <v/>
      </c>
      <c r="DH64" s="48">
        <f>IF(OR(TRIM(AC64)="",TRIM(AC64)="NA;",TRIM(AC64)="NA"),0,1)</f>
        <v/>
      </c>
      <c r="DI64" s="48">
        <f>IF(OR(TRIM(AD64)="",TRIM(AD64)="NA;",TRIM(AD64)="NA"),0,1)</f>
        <v/>
      </c>
      <c r="DJ64" s="48">
        <f>TRIM(IF(DC64=1,"Mon ","")&amp;IF(DD64=1,"Tue ","")&amp;IF(DE64=1,"Wed ","")&amp;IF(DF64=1,"Thu ","")&amp;IF(DG64=1,"Fri ","")&amp;IF(DH64=1,"Sat ","")&amp;IF(DI64=1,"Sun ",""))</f>
        <v/>
      </c>
    </row>
    <row r="65">
      <c r="A65" s="48" t="inlineStr">
        <is>
          <t>T-N-00013</t>
        </is>
      </c>
      <c r="B65" s="48" t="inlineStr">
        <is>
          <t>Zara Ibrahim</t>
        </is>
      </c>
      <c r="C65" s="48" t="inlineStr">
        <is>
          <t>zara.ibrahim63@example.com</t>
        </is>
      </c>
      <c r="D65" s="48" t="inlineStr">
        <is>
          <t>+61 460 277 047</t>
        </is>
      </c>
      <c r="E65" s="48" t="inlineStr">
        <is>
          <t>Jose Lee</t>
        </is>
      </c>
      <c r="F65" s="48" t="inlineStr">
        <is>
          <t>+61 495 997 354</t>
        </is>
      </c>
      <c r="G65" s="48" t="inlineStr">
        <is>
          <t>Spouse</t>
        </is>
      </c>
      <c r="H65" s="48" t="inlineStr">
        <is>
          <t>Tutor</t>
        </is>
      </c>
      <c r="I65" s="49" t="n">
        <v>45684</v>
      </c>
      <c r="J65" s="48" t="inlineStr">
        <is>
          <t>ADM-ACT-MAT-CNE</t>
        </is>
      </c>
      <c r="K65" s="48">
        <f>IFERROR(VLOOKUP(J65,'(A) Introduction'!$B$35:$C$45,2,FALSE),"")</f>
        <v/>
      </c>
      <c r="L65" s="48" t="inlineStr">
        <is>
          <t>No</t>
        </is>
      </c>
      <c r="M65" s="48" t="inlineStr"/>
      <c r="N65" s="48" t="inlineStr"/>
      <c r="O65" s="48" t="n">
        <v>3</v>
      </c>
      <c r="P65" s="48">
        <f>IF($H65="Tutor",((BQ65&lt;&gt;"")*(BR65=""))+((BW65&lt;&gt;"")*(BX65=""))+((CC65&lt;&gt;"")*(CD65=""))+((CI65&lt;&gt;"")*(CJ65=""))+((CO65&lt;&gt;"")*(CP65="")),SUMPRODUCT(--($BO$3:$BO$202=$A65),--($BR$3:$BR$202=""))+SUMPRODUCT(--($BU$3:$BU$202=$A65),--($BX$3:$BX$202=""))+SUMPRODUCT(--($CA$3:$CA$202=$A65),--($CD$3:$CD$202=""))+SUMPRODUCT(--($CG$3:$CG$202=$A65),--($CJ$3:$CJ$202=""))+SUMPRODUCT(--($CM$3:$CM$202=$A65),--($CP$3:$CP$202="")))</f>
        <v/>
      </c>
      <c r="Q65" s="48">
        <f>IF($H65="Tutor",(BQ65&lt;&gt;"")+(BW65&lt;&gt;"")+(CC65&lt;&gt;"")+(CI65&lt;&gt;"")+(CO65&lt;&gt;""),SUMPRODUCT(--($BO$3:$BO$202=$A65))+SUMPRODUCT(--($BU$3:$BU$202=$A65))+SUMPRODUCT(--($CA$3:$CA$202=$A65))+SUMPRODUCT(--($CG$3:$CG$202=$A65))+SUMPRODUCT(--($CM$3:$CM$202=$A65)))</f>
        <v/>
      </c>
      <c r="R65" s="48">
        <f>IF($H65="Tutor",TRIM(IF(AND(BQ65&lt;&gt;"",BR65=""),BP65&amp;"; ","")&amp;IF(AND(BW65&lt;&gt;"",BX65=""),BV65&amp;"; ","")&amp;IF(AND(CC65&lt;&gt;"",CD65=""),CB65&amp;"; ","")&amp;IF(AND(CI65&lt;&gt;"",CJ65=""),CH65&amp;"; ","")&amp;IF(AND(CO65&lt;&gt;"",CP65=""),CN65&amp;"; ","")),IFERROR(INDEX($A$3:$B$202,(SUMPRODUCT(($BO$3:$BO$202=$A65)*($BR$3:$BR$202="")*ROW($BO$3:$BO$202))+SUMPRODUCT(($BU$3:$BU$202=$A65)*($BX$3:$BX$202="")*ROW($BU$3:$BU$202))+SUMPRODUCT(($CA$3:$CA$202=$A65)*($CD$3:$CD$202="")*ROW($CA$3:$CA$202))+SUMPRODUCT(($CG$3:$CG$202=$A65)*($CJ$3:$CJ$202="")*ROW($CG$3:$CG$202))+SUMPRODUCT(($CM$3:$CM$202=$A65)*($CP$3:$CP$202="")*ROW($CM$3:$CM$202)))-2,2),""))</f>
        <v/>
      </c>
      <c r="S65" s="48" t="inlineStr">
        <is>
          <t>NA</t>
        </is>
      </c>
      <c r="T65" s="48" t="inlineStr"/>
      <c r="U65" s="48" t="inlineStr"/>
      <c r="V65" s="49" t="n">
        <v>46135</v>
      </c>
      <c r="W65" s="48" t="inlineStr">
        <is>
          <t>AEST (UTC+10)</t>
        </is>
      </c>
      <c r="X65" s="48" t="inlineStr">
        <is>
          <t>9am-12pm;12pm-3pm;3pm-6pm;</t>
        </is>
      </c>
      <c r="Y65" s="48" t="inlineStr">
        <is>
          <t>NA;</t>
        </is>
      </c>
      <c r="Z65" s="48" t="inlineStr">
        <is>
          <t>9am-12pm;</t>
        </is>
      </c>
      <c r="AA65" s="48" t="inlineStr">
        <is>
          <t>6am-9am;9am-12pm;</t>
        </is>
      </c>
      <c r="AB65" s="48" t="inlineStr">
        <is>
          <t>NA;</t>
        </is>
      </c>
      <c r="AC65" s="48" t="inlineStr">
        <is>
          <t>12pm-3pm;</t>
        </is>
      </c>
      <c r="AD65" s="48" t="inlineStr">
        <is>
          <t>9am-12pm;</t>
        </is>
      </c>
      <c r="AE65" s="48" t="inlineStr">
        <is>
          <t>Either</t>
        </is>
      </c>
      <c r="AF65" s="48" t="inlineStr">
        <is>
          <t>NA - Tutor</t>
        </is>
      </c>
      <c r="AG65" s="48" t="inlineStr">
        <is>
          <t>Australia</t>
        </is>
      </c>
      <c r="AH65" s="48" t="inlineStr">
        <is>
          <t>Queensland</t>
        </is>
      </c>
      <c r="AI65" s="48" t="inlineStr">
        <is>
          <t>Logan</t>
        </is>
      </c>
      <c r="AJ65" s="48" t="inlineStr">
        <is>
          <t>4114</t>
        </is>
      </c>
      <c r="AK65" s="49" t="n">
        <v>36096</v>
      </c>
      <c r="AL65" s="48" t="inlineStr">
        <is>
          <t>Male</t>
        </is>
      </c>
      <c r="AM65" s="48" t="inlineStr">
        <is>
          <t>NA</t>
        </is>
      </c>
      <c r="AN65" s="48" t="inlineStr">
        <is>
          <t>NA - Tutor</t>
        </is>
      </c>
      <c r="AO65" s="48" t="inlineStr">
        <is>
          <t>Low</t>
        </is>
      </c>
      <c r="AP65" s="48" t="inlineStr">
        <is>
          <t>Russia</t>
        </is>
      </c>
      <c r="AQ65" s="48" t="inlineStr">
        <is>
          <t>NA</t>
        </is>
      </c>
      <c r="AR65" s="48" t="inlineStr">
        <is>
          <t>Farsi (C2)</t>
        </is>
      </c>
      <c r="AS65" s="48" t="inlineStr">
        <is>
          <t>Christian (Catholic)</t>
        </is>
      </c>
      <c r="AT65" s="48" t="inlineStr">
        <is>
          <t>Social &amp; Community Services</t>
        </is>
      </c>
      <c r="AU65" s="48" t="inlineStr">
        <is>
          <t>Student</t>
        </is>
      </c>
      <c r="AV65" s="48" t="inlineStr">
        <is>
          <t>NA - Tutor</t>
        </is>
      </c>
      <c r="AW65" s="48" t="inlineStr">
        <is>
          <t>Football; Cooking; Family</t>
        </is>
      </c>
      <c r="AX65" s="48" t="inlineStr">
        <is>
          <t>NA - Tutor</t>
        </is>
      </c>
      <c r="AY65" s="48" t="inlineStr">
        <is>
          <t>NA - RELT Member Verified</t>
        </is>
      </c>
      <c r="AZ65" s="48" t="inlineStr">
        <is>
          <t>No</t>
        </is>
      </c>
      <c r="BA65" s="48" t="inlineStr">
        <is>
          <t>Fatima Brown</t>
        </is>
      </c>
      <c r="BB65" s="48" t="inlineStr">
        <is>
          <t>Manager</t>
        </is>
      </c>
      <c r="BC65" s="48" t="inlineStr">
        <is>
          <t>maria.fernando563@example.com</t>
        </is>
      </c>
      <c r="BD65" s="48" t="inlineStr">
        <is>
          <t>Yes</t>
        </is>
      </c>
      <c r="BE65" s="48" t="inlineStr">
        <is>
          <t>WWC8470322V</t>
        </is>
      </c>
      <c r="BF65" s="49" t="n">
        <v>46988</v>
      </c>
      <c r="BG65" s="48" t="inlineStr">
        <is>
          <t>No</t>
        </is>
      </c>
      <c r="BH65" s="48" t="inlineStr">
        <is>
          <t>Adults Only</t>
        </is>
      </c>
      <c r="BI65" s="48" t="inlineStr">
        <is>
          <t>CareerSeekers</t>
        </is>
      </c>
      <c r="BJ65" s="48" t="inlineStr">
        <is>
          <t>ZULMAN Levi</t>
        </is>
      </c>
      <c r="BK65" s="48" t="inlineStr">
        <is>
          <t>ZULMAN Levi</t>
        </is>
      </c>
      <c r="BL65" s="48" t="inlineStr">
        <is>
          <t>Synthetic test record.</t>
        </is>
      </c>
      <c r="BM65" s="48" t="inlineStr"/>
      <c r="BN65" s="48">
        <f>TRIM(IF(AND($H65="Student",$J65="ADM-ACT-MAT-CNE"),"Invalid: Student cannot be CNE. ","")&amp;IF(AND($H65="Student",ISNUMBER($O65)),"Check: capacity set for a Student. ","")&amp;IF(AND(LEFT($J65,11)="ADM-ACT-MAT",$P65=0),"Check: matched status but 0 active pairings. ","")&amp;IF(AND($H65="Tutor",ISNUMBER($O65),$P65&gt;$O65),"Check: pairings exceed capacity. ","")&amp;IF(AND($BH65="Everyone",NOT(AND($BD65="Yes",$BG65="Yes"))),"Check: approved to tutor children but WWCC not provided/confirmed. ","")&amp;IF(AND($P65&gt;0,NOT(AND(OR(LEFT($AY65,3)="Yes",LEFT($AY65,2)="NA"),OR(LEFT($AZ65,3)="Yes",LEFT($AZ65,2)="NA")))),"Matched but vetting incomplete (interview/reference). ","")&amp;IF(COUNTIF($B$3:$B$600,$B65)&gt;1,"Duplicate participant name. ",""))</f>
        <v/>
      </c>
      <c r="BO65" s="48" t="inlineStr">
        <is>
          <t>S-N-00022</t>
        </is>
      </c>
      <c r="BP65" s="48">
        <f>IFERROR(VLOOKUP(BO65,$A:$B,2,FALSE),"")</f>
        <v/>
      </c>
      <c r="BQ65" s="49" t="n">
        <v>45861</v>
      </c>
      <c r="BR65" s="48" t="inlineStr"/>
      <c r="BS65" s="48" t="n">
        <v>2</v>
      </c>
      <c r="BT65" s="48" t="inlineStr">
        <is>
          <t>THET Moh Moh</t>
        </is>
      </c>
      <c r="BU65" s="48" t="inlineStr">
        <is>
          <t>S-N-00030</t>
        </is>
      </c>
      <c r="BV65" s="48">
        <f>IFERROR(VLOOKUP(BU65,$A:$B,2,FALSE),"")</f>
        <v/>
      </c>
      <c r="BW65" s="49" t="n">
        <v>45920</v>
      </c>
      <c r="BX65" s="48" t="inlineStr"/>
      <c r="BY65" s="48" t="n">
        <v>1</v>
      </c>
      <c r="BZ65" s="48" t="inlineStr">
        <is>
          <t>HERVIR Oliver</t>
        </is>
      </c>
      <c r="CA65" s="48" t="inlineStr"/>
      <c r="CB65" s="48" t="inlineStr"/>
      <c r="CC65" s="48" t="inlineStr"/>
      <c r="CD65" s="48" t="inlineStr"/>
      <c r="CE65" s="48" t="inlineStr"/>
      <c r="CF65" s="48" t="inlineStr"/>
      <c r="CG65" s="48" t="inlineStr"/>
      <c r="CH65" s="48" t="inlineStr"/>
      <c r="CI65" s="48" t="inlineStr"/>
      <c r="CJ65" s="48" t="inlineStr"/>
      <c r="CK65" s="48" t="inlineStr"/>
      <c r="CL65" s="48" t="inlineStr"/>
      <c r="CM65" s="48" t="inlineStr"/>
      <c r="CN65" s="48" t="inlineStr"/>
      <c r="CO65" s="48" t="inlineStr"/>
      <c r="CP65" s="48" t="inlineStr"/>
      <c r="CQ65" s="48" t="inlineStr"/>
      <c r="CR65" s="48" t="inlineStr"/>
      <c r="CS65" s="48">
        <f>IF(LEFT($J65,3)="ERR",0,1)</f>
        <v/>
      </c>
      <c r="CT65" s="48">
        <f>IF(LEFT($J65,3)="ADM",1,0)</f>
        <v/>
      </c>
      <c r="CU65" s="48">
        <f>IF(OR($J65="ADM-ACT-MAT-CNE",$J65="ADM-ACT-MAT-CE",$J65="ADM-INACT-M&amp;T"),1,0)</f>
        <v/>
      </c>
      <c r="CV65" s="48">
        <f>IF(AND(CU65=1,ISNUMBER(M65),ISNUMBER(I65)),M65-I65,"")</f>
        <v/>
      </c>
      <c r="CW65" s="48">
        <f>IF(ISNUMBER(I65),TODAY()-I65,"")</f>
        <v/>
      </c>
      <c r="CX65" s="48">
        <f>IF(ISNUMBER(I65),DATE(YEAR(I65),MONTH(I65),1),"")</f>
        <v/>
      </c>
      <c r="CY65" s="48">
        <f>IFERROR(DATEDIF(AK65,TODAY(),"y"),"")</f>
        <v/>
      </c>
      <c r="CZ65" s="48">
        <f>IF(CY65="","",IF(CY65&lt;28,"18-27",IF(CY65&lt;38,"28-37",IF(CY65&lt;48,"38-47",IF(CY65&lt;58,"48-57",IF(CY65&lt;68,"58-67",IF(CY65&lt;78,"68-77","78+")))))) </f>
        <v/>
      </c>
      <c r="DA65" s="48">
        <f>IF(AND(BQ65&lt;&gt;"",BR65=""),N(BS65),0)+IF(AND(BW65&lt;&gt;"",BX65=""),N(BY65),0)+IF(AND(CC65&lt;&gt;"",CD65=""),N(CE65),0)+IF(AND(CI65&lt;&gt;"",CJ65=""),N(CK65),0)+IF(AND(CO65&lt;&gt;"",CP65=""),N(CQ65),0)</f>
        <v/>
      </c>
      <c r="DB65" s="48">
        <f>ROUND(IF(BQ65&lt;&gt;"",N(BS65)*MAX(0,((IF(BR65="",TODAY(),BR65))-BQ65)/7),0)+IF(BW65&lt;&gt;"",N(BY65)*MAX(0,((IF(BX65="",TODAY(),BX65))-BW65)/7),0)+IF(CC65&lt;&gt;"",N(CE65)*MAX(0,((IF(CD65="",TODAY(),CD65))-CC65)/7),0)+IF(CI65&lt;&gt;"",N(CK65)*MAX(0,((IF(CJ65="",TODAY(),CJ65))-CI65)/7),0)+IF(CO65&lt;&gt;"",N(CQ65)*MAX(0,((IF(CP65="",TODAY(),CP65))-CO65)/7),0),1)</f>
        <v/>
      </c>
      <c r="DC65" s="48">
        <f>IF(OR(TRIM(X65)="",TRIM(X65)="NA;",TRIM(X65)="NA"),0,1)</f>
        <v/>
      </c>
      <c r="DD65" s="48">
        <f>IF(OR(TRIM(Y65)="",TRIM(Y65)="NA;",TRIM(Y65)="NA"),0,1)</f>
        <v/>
      </c>
      <c r="DE65" s="48">
        <f>IF(OR(TRIM(Z65)="",TRIM(Z65)="NA;",TRIM(Z65)="NA"),0,1)</f>
        <v/>
      </c>
      <c r="DF65" s="48">
        <f>IF(OR(TRIM(AA65)="",TRIM(AA65)="NA;",TRIM(AA65)="NA"),0,1)</f>
        <v/>
      </c>
      <c r="DG65" s="48">
        <f>IF(OR(TRIM(AB65)="",TRIM(AB65)="NA;",TRIM(AB65)="NA"),0,1)</f>
        <v/>
      </c>
      <c r="DH65" s="48">
        <f>IF(OR(TRIM(AC65)="",TRIM(AC65)="NA;",TRIM(AC65)="NA"),0,1)</f>
        <v/>
      </c>
      <c r="DI65" s="48">
        <f>IF(OR(TRIM(AD65)="",TRIM(AD65)="NA;",TRIM(AD65)="NA"),0,1)</f>
        <v/>
      </c>
      <c r="DJ65" s="48">
        <f>TRIM(IF(DC65=1,"Mon ","")&amp;IF(DD65=1,"Tue ","")&amp;IF(DE65=1,"Wed ","")&amp;IF(DF65=1,"Thu ","")&amp;IF(DG65=1,"Fri ","")&amp;IF(DH65=1,"Sat ","")&amp;IF(DI65=1,"Sun ",""))</f>
        <v/>
      </c>
    </row>
    <row r="66">
      <c r="A66" s="48" t="inlineStr">
        <is>
          <t>T-N-00014</t>
        </is>
      </c>
      <c r="B66" s="48" t="inlineStr">
        <is>
          <t>Sarah Baker</t>
        </is>
      </c>
      <c r="C66" s="48" t="inlineStr">
        <is>
          <t>sarah.baker64@example.com</t>
        </is>
      </c>
      <c r="D66" s="48" t="inlineStr">
        <is>
          <t>+61 450 992 792</t>
        </is>
      </c>
      <c r="E66" s="48" t="inlineStr">
        <is>
          <t>Tariq Marks</t>
        </is>
      </c>
      <c r="F66" s="48" t="inlineStr">
        <is>
          <t>+61 446 109 093</t>
        </is>
      </c>
      <c r="G66" s="48" t="inlineStr">
        <is>
          <t>Spouse</t>
        </is>
      </c>
      <c r="H66" s="48" t="inlineStr">
        <is>
          <t>Tutor</t>
        </is>
      </c>
      <c r="I66" s="49" t="n">
        <v>45685</v>
      </c>
      <c r="J66" s="48" t="inlineStr">
        <is>
          <t>ADM-ACT-MAT-CNE</t>
        </is>
      </c>
      <c r="K66" s="48">
        <f>IFERROR(VLOOKUP(J66,'(A) Introduction'!$B$35:$C$45,2,FALSE),"")</f>
        <v/>
      </c>
      <c r="L66" s="48" t="inlineStr">
        <is>
          <t>No</t>
        </is>
      </c>
      <c r="M66" s="48" t="inlineStr"/>
      <c r="N66" s="48" t="inlineStr"/>
      <c r="O66" s="48" t="n">
        <v>3</v>
      </c>
      <c r="P66" s="48">
        <f>IF($H66="Tutor",((BQ66&lt;&gt;"")*(BR66=""))+((BW66&lt;&gt;"")*(BX66=""))+((CC66&lt;&gt;"")*(CD66=""))+((CI66&lt;&gt;"")*(CJ66=""))+((CO66&lt;&gt;"")*(CP66="")),SUMPRODUCT(--($BO$3:$BO$202=$A66),--($BR$3:$BR$202=""))+SUMPRODUCT(--($BU$3:$BU$202=$A66),--($BX$3:$BX$202=""))+SUMPRODUCT(--($CA$3:$CA$202=$A66),--($CD$3:$CD$202=""))+SUMPRODUCT(--($CG$3:$CG$202=$A66),--($CJ$3:$CJ$202=""))+SUMPRODUCT(--($CM$3:$CM$202=$A66),--($CP$3:$CP$202="")))</f>
        <v/>
      </c>
      <c r="Q66" s="48">
        <f>IF($H66="Tutor",(BQ66&lt;&gt;"")+(BW66&lt;&gt;"")+(CC66&lt;&gt;"")+(CI66&lt;&gt;"")+(CO66&lt;&gt;""),SUMPRODUCT(--($BO$3:$BO$202=$A66))+SUMPRODUCT(--($BU$3:$BU$202=$A66))+SUMPRODUCT(--($CA$3:$CA$202=$A66))+SUMPRODUCT(--($CG$3:$CG$202=$A66))+SUMPRODUCT(--($CM$3:$CM$202=$A66)))</f>
        <v/>
      </c>
      <c r="R66" s="48">
        <f>IF($H66="Tutor",TRIM(IF(AND(BQ66&lt;&gt;"",BR66=""),BP66&amp;"; ","")&amp;IF(AND(BW66&lt;&gt;"",BX66=""),BV66&amp;"; ","")&amp;IF(AND(CC66&lt;&gt;"",CD66=""),CB66&amp;"; ","")&amp;IF(AND(CI66&lt;&gt;"",CJ66=""),CH66&amp;"; ","")&amp;IF(AND(CO66&lt;&gt;"",CP66=""),CN66&amp;"; ","")),IFERROR(INDEX($A$3:$B$202,(SUMPRODUCT(($BO$3:$BO$202=$A66)*($BR$3:$BR$202="")*ROW($BO$3:$BO$202))+SUMPRODUCT(($BU$3:$BU$202=$A66)*($BX$3:$BX$202="")*ROW($BU$3:$BU$202))+SUMPRODUCT(($CA$3:$CA$202=$A66)*($CD$3:$CD$202="")*ROW($CA$3:$CA$202))+SUMPRODUCT(($CG$3:$CG$202=$A66)*($CJ$3:$CJ$202="")*ROW($CG$3:$CG$202))+SUMPRODUCT(($CM$3:$CM$202=$A66)*($CP$3:$CP$202="")*ROW($CM$3:$CM$202)))-2,2),""))</f>
        <v/>
      </c>
      <c r="S66" s="48" t="inlineStr">
        <is>
          <t>Provided</t>
        </is>
      </c>
      <c r="T66" s="48" t="inlineStr"/>
      <c r="U66" s="48" t="inlineStr"/>
      <c r="V66" s="49" t="n">
        <v>45800</v>
      </c>
      <c r="W66" s="48" t="inlineStr">
        <is>
          <t>ACDT (UTC+10:30)</t>
        </is>
      </c>
      <c r="X66" s="48" t="inlineStr">
        <is>
          <t>3pm-6pm;</t>
        </is>
      </c>
      <c r="Y66" s="48" t="inlineStr">
        <is>
          <t>6pm-9pm;</t>
        </is>
      </c>
      <c r="Z66" s="48" t="inlineStr">
        <is>
          <t>6pm-9pm;</t>
        </is>
      </c>
      <c r="AA66" s="48" t="inlineStr">
        <is>
          <t>12pm-3pm;</t>
        </is>
      </c>
      <c r="AB66" s="48" t="inlineStr">
        <is>
          <t>6am-9am;9am-12pm;</t>
        </is>
      </c>
      <c r="AC66" s="48" t="inlineStr">
        <is>
          <t>9am-12pm;12pm-3pm;3pm-6pm;</t>
        </is>
      </c>
      <c r="AD66" s="48" t="inlineStr">
        <is>
          <t>12pm-3pm;6pm-9pm;</t>
        </is>
      </c>
      <c r="AE66" s="48" t="inlineStr">
        <is>
          <t>In-Person</t>
        </is>
      </c>
      <c r="AF66" s="48" t="inlineStr">
        <is>
          <t>NA - Tutor</t>
        </is>
      </c>
      <c r="AG66" s="48" t="inlineStr">
        <is>
          <t>Australia</t>
        </is>
      </c>
      <c r="AH66" s="48" t="inlineStr">
        <is>
          <t>South Australia</t>
        </is>
      </c>
      <c r="AI66" s="48" t="inlineStr">
        <is>
          <t>Salisbury</t>
        </is>
      </c>
      <c r="AJ66" s="48" t="inlineStr">
        <is>
          <t>5108</t>
        </is>
      </c>
      <c r="AK66" s="49" t="n">
        <v>25690</v>
      </c>
      <c r="AL66" s="48" t="inlineStr">
        <is>
          <t>Other</t>
        </is>
      </c>
      <c r="AM66" s="48" t="inlineStr">
        <is>
          <t>NA</t>
        </is>
      </c>
      <c r="AN66" s="48" t="inlineStr">
        <is>
          <t>NA - Tutor</t>
        </is>
      </c>
      <c r="AO66" s="48" t="inlineStr">
        <is>
          <t>Outstanding</t>
        </is>
      </c>
      <c r="AP66" s="48" t="inlineStr">
        <is>
          <t>Australia</t>
        </is>
      </c>
      <c r="AQ66" s="48" t="inlineStr">
        <is>
          <t>NA</t>
        </is>
      </c>
      <c r="AR66" s="48" t="inlineStr">
        <is>
          <t>Burmese (C2)</t>
        </is>
      </c>
      <c r="AS66" s="48" t="inlineStr">
        <is>
          <t>None</t>
        </is>
      </c>
      <c r="AT66" s="48" t="inlineStr">
        <is>
          <t>Other / Unspecified</t>
        </is>
      </c>
      <c r="AU66" s="48" t="inlineStr">
        <is>
          <t>Student</t>
        </is>
      </c>
      <c r="AV66" s="48" t="inlineStr">
        <is>
          <t>NA - Tutor</t>
        </is>
      </c>
      <c r="AW66" s="48" t="inlineStr">
        <is>
          <t>Reading; Politics; Music</t>
        </is>
      </c>
      <c r="AX66" s="48" t="inlineStr">
        <is>
          <t>NA - Tutor</t>
        </is>
      </c>
      <c r="AY66" s="48" t="inlineStr">
        <is>
          <t>Yes</t>
        </is>
      </c>
      <c r="AZ66" s="48" t="inlineStr">
        <is>
          <t>Yes</t>
        </is>
      </c>
      <c r="BA66" s="48" t="inlineStr">
        <is>
          <t>Diego Smith</t>
        </is>
      </c>
      <c r="BB66" s="48" t="inlineStr">
        <is>
          <t>Academic Referee</t>
        </is>
      </c>
      <c r="BC66" s="48" t="inlineStr">
        <is>
          <t>ava.ng564@example.com</t>
        </is>
      </c>
      <c r="BD66" s="48" t="inlineStr">
        <is>
          <t>Yes</t>
        </is>
      </c>
      <c r="BE66" s="48" t="inlineStr">
        <is>
          <t>WWC1329299V</t>
        </is>
      </c>
      <c r="BF66" s="49" t="n">
        <v>46519</v>
      </c>
      <c r="BG66" s="48" t="inlineStr">
        <is>
          <t>Yes</t>
        </is>
      </c>
      <c r="BH66" s="48" t="inlineStr">
        <is>
          <t>Everyone</t>
        </is>
      </c>
      <c r="BI66" s="48" t="inlineStr">
        <is>
          <t>Tasmania University (including the Law Society)</t>
        </is>
      </c>
      <c r="BJ66" s="48" t="inlineStr">
        <is>
          <t>HALLORAN Isobel</t>
        </is>
      </c>
      <c r="BK66" s="48" t="inlineStr">
        <is>
          <t>ZULMAN Levi</t>
        </is>
      </c>
      <c r="BL66" s="48" t="inlineStr">
        <is>
          <t>Synthetic test record.</t>
        </is>
      </c>
      <c r="BM66" s="48" t="inlineStr"/>
      <c r="BN66" s="48">
        <f>TRIM(IF(AND($H66="Student",$J66="ADM-ACT-MAT-CNE"),"Invalid: Student cannot be CNE. ","")&amp;IF(AND($H66="Student",ISNUMBER($O66)),"Check: capacity set for a Student. ","")&amp;IF(AND(LEFT($J66,11)="ADM-ACT-MAT",$P66=0),"Check: matched status but 0 active pairings. ","")&amp;IF(AND($H66="Tutor",ISNUMBER($O66),$P66&gt;$O66),"Check: pairings exceed capacity. ","")&amp;IF(AND($BH66="Everyone",NOT(AND($BD66="Yes",$BG66="Yes"))),"Check: approved to tutor children but WWCC not provided/confirmed. ","")&amp;IF(AND($P66&gt;0,NOT(AND(OR(LEFT($AY66,3)="Yes",LEFT($AY66,2)="NA"),OR(LEFT($AZ66,3)="Yes",LEFT($AZ66,2)="NA")))),"Matched but vetting incomplete (interview/reference). ","")&amp;IF(COUNTIF($B$3:$B$600,$B66)&gt;1,"Duplicate participant name. ",""))</f>
        <v/>
      </c>
      <c r="BO66" s="48" t="inlineStr">
        <is>
          <t>S-O-00025</t>
        </is>
      </c>
      <c r="BP66" s="48">
        <f>IFERROR(VLOOKUP(BO66,$A:$B,2,FALSE),"")</f>
        <v/>
      </c>
      <c r="BQ66" s="49" t="n">
        <v>45498</v>
      </c>
      <c r="BR66" s="48" t="inlineStr"/>
      <c r="BS66" s="48" t="n">
        <v>1</v>
      </c>
      <c r="BT66" s="48" t="inlineStr">
        <is>
          <t>HERVIR Oliver</t>
        </is>
      </c>
      <c r="BU66" s="48" t="inlineStr"/>
      <c r="BV66" s="48" t="inlineStr"/>
      <c r="BW66" s="48" t="inlineStr"/>
      <c r="BX66" s="48" t="inlineStr"/>
      <c r="BY66" s="48" t="inlineStr"/>
      <c r="BZ66" s="48" t="inlineStr"/>
      <c r="CA66" s="48" t="inlineStr"/>
      <c r="CB66" s="48" t="inlineStr"/>
      <c r="CC66" s="48" t="inlineStr"/>
      <c r="CD66" s="48" t="inlineStr"/>
      <c r="CE66" s="48" t="inlineStr"/>
      <c r="CF66" s="48" t="inlineStr"/>
      <c r="CG66" s="48" t="inlineStr"/>
      <c r="CH66" s="48" t="inlineStr"/>
      <c r="CI66" s="48" t="inlineStr"/>
      <c r="CJ66" s="48" t="inlineStr"/>
      <c r="CK66" s="48" t="inlineStr"/>
      <c r="CL66" s="48" t="inlineStr"/>
      <c r="CM66" s="48" t="inlineStr"/>
      <c r="CN66" s="48" t="inlineStr"/>
      <c r="CO66" s="48" t="inlineStr"/>
      <c r="CP66" s="48" t="inlineStr"/>
      <c r="CQ66" s="48" t="inlineStr"/>
      <c r="CR66" s="48" t="inlineStr"/>
      <c r="CS66" s="48">
        <f>IF(LEFT($J66,3)="ERR",0,1)</f>
        <v/>
      </c>
      <c r="CT66" s="48">
        <f>IF(LEFT($J66,3)="ADM",1,0)</f>
        <v/>
      </c>
      <c r="CU66" s="48">
        <f>IF(OR($J66="ADM-ACT-MAT-CNE",$J66="ADM-ACT-MAT-CE",$J66="ADM-INACT-M&amp;T"),1,0)</f>
        <v/>
      </c>
      <c r="CV66" s="48">
        <f>IF(AND(CU66=1,ISNUMBER(M66),ISNUMBER(I66)),M66-I66,"")</f>
        <v/>
      </c>
      <c r="CW66" s="48">
        <f>IF(ISNUMBER(I66),TODAY()-I66,"")</f>
        <v/>
      </c>
      <c r="CX66" s="48">
        <f>IF(ISNUMBER(I66),DATE(YEAR(I66),MONTH(I66),1),"")</f>
        <v/>
      </c>
      <c r="CY66" s="48">
        <f>IFERROR(DATEDIF(AK66,TODAY(),"y"),"")</f>
        <v/>
      </c>
      <c r="CZ66" s="48">
        <f>IF(CY66="","",IF(CY66&lt;28,"18-27",IF(CY66&lt;38,"28-37",IF(CY66&lt;48,"38-47",IF(CY66&lt;58,"48-57",IF(CY66&lt;68,"58-67",IF(CY66&lt;78,"68-77","78+")))))) </f>
        <v/>
      </c>
      <c r="DA66" s="48">
        <f>IF(AND(BQ66&lt;&gt;"",BR66=""),N(BS66),0)+IF(AND(BW66&lt;&gt;"",BX66=""),N(BY66),0)+IF(AND(CC66&lt;&gt;"",CD66=""),N(CE66),0)+IF(AND(CI66&lt;&gt;"",CJ66=""),N(CK66),0)+IF(AND(CO66&lt;&gt;"",CP66=""),N(CQ66),0)</f>
        <v/>
      </c>
      <c r="DB66" s="48">
        <f>ROUND(IF(BQ66&lt;&gt;"",N(BS66)*MAX(0,((IF(BR66="",TODAY(),BR66))-BQ66)/7),0)+IF(BW66&lt;&gt;"",N(BY66)*MAX(0,((IF(BX66="",TODAY(),BX66))-BW66)/7),0)+IF(CC66&lt;&gt;"",N(CE66)*MAX(0,((IF(CD66="",TODAY(),CD66))-CC66)/7),0)+IF(CI66&lt;&gt;"",N(CK66)*MAX(0,((IF(CJ66="",TODAY(),CJ66))-CI66)/7),0)+IF(CO66&lt;&gt;"",N(CQ66)*MAX(0,((IF(CP66="",TODAY(),CP66))-CO66)/7),0),1)</f>
        <v/>
      </c>
      <c r="DC66" s="48">
        <f>IF(OR(TRIM(X66)="",TRIM(X66)="NA;",TRIM(X66)="NA"),0,1)</f>
        <v/>
      </c>
      <c r="DD66" s="48">
        <f>IF(OR(TRIM(Y66)="",TRIM(Y66)="NA;",TRIM(Y66)="NA"),0,1)</f>
        <v/>
      </c>
      <c r="DE66" s="48">
        <f>IF(OR(TRIM(Z66)="",TRIM(Z66)="NA;",TRIM(Z66)="NA"),0,1)</f>
        <v/>
      </c>
      <c r="DF66" s="48">
        <f>IF(OR(TRIM(AA66)="",TRIM(AA66)="NA;",TRIM(AA66)="NA"),0,1)</f>
        <v/>
      </c>
      <c r="DG66" s="48">
        <f>IF(OR(TRIM(AB66)="",TRIM(AB66)="NA;",TRIM(AB66)="NA"),0,1)</f>
        <v/>
      </c>
      <c r="DH66" s="48">
        <f>IF(OR(TRIM(AC66)="",TRIM(AC66)="NA;",TRIM(AC66)="NA"),0,1)</f>
        <v/>
      </c>
      <c r="DI66" s="48">
        <f>IF(OR(TRIM(AD66)="",TRIM(AD66)="NA;",TRIM(AD66)="NA"),0,1)</f>
        <v/>
      </c>
      <c r="DJ66" s="48">
        <f>TRIM(IF(DC66=1,"Mon ","")&amp;IF(DD66=1,"Tue ","")&amp;IF(DE66=1,"Wed ","")&amp;IF(DF66=1,"Thu ","")&amp;IF(DG66=1,"Fri ","")&amp;IF(DH66=1,"Sat ","")&amp;IF(DI66=1,"Sun ",""))</f>
        <v/>
      </c>
    </row>
    <row r="67">
      <c r="A67" s="48" t="inlineStr">
        <is>
          <t>T-N-00015</t>
        </is>
      </c>
      <c r="B67" s="48" t="inlineStr">
        <is>
          <t>Fatima Ali</t>
        </is>
      </c>
      <c r="C67" s="48" t="inlineStr">
        <is>
          <t>fatima.ali65@example.com</t>
        </is>
      </c>
      <c r="D67" s="48" t="inlineStr">
        <is>
          <t>+61 423 441 459</t>
        </is>
      </c>
      <c r="E67" s="48" t="inlineStr">
        <is>
          <t>Ibrahim Wilson</t>
        </is>
      </c>
      <c r="F67" s="48" t="inlineStr">
        <is>
          <t>+61 418 064 171</t>
        </is>
      </c>
      <c r="G67" s="48" t="inlineStr">
        <is>
          <t>Adult Child</t>
        </is>
      </c>
      <c r="H67" s="48" t="inlineStr">
        <is>
          <t>Tutor</t>
        </is>
      </c>
      <c r="I67" s="49" t="n">
        <v>45685</v>
      </c>
      <c r="J67" s="48" t="inlineStr">
        <is>
          <t>ADM-INACT-NOM&amp;T</t>
        </is>
      </c>
      <c r="K67" s="48">
        <f>IFERROR(VLOOKUP(J67,'(A) Introduction'!$B$35:$C$45,2,FALSE),"")</f>
        <v/>
      </c>
      <c r="L67" s="48" t="inlineStr">
        <is>
          <t>No</t>
        </is>
      </c>
      <c r="M67" s="48" t="inlineStr"/>
      <c r="N67" s="48" t="inlineStr"/>
      <c r="O67" s="48" t="n">
        <v>3</v>
      </c>
      <c r="P67" s="48">
        <f>IF($H67="Tutor",((BQ67&lt;&gt;"")*(BR67=""))+((BW67&lt;&gt;"")*(BX67=""))+((CC67&lt;&gt;"")*(CD67=""))+((CI67&lt;&gt;"")*(CJ67=""))+((CO67&lt;&gt;"")*(CP67="")),SUMPRODUCT(--($BO$3:$BO$202=$A67),--($BR$3:$BR$202=""))+SUMPRODUCT(--($BU$3:$BU$202=$A67),--($BX$3:$BX$202=""))+SUMPRODUCT(--($CA$3:$CA$202=$A67),--($CD$3:$CD$202=""))+SUMPRODUCT(--($CG$3:$CG$202=$A67),--($CJ$3:$CJ$202=""))+SUMPRODUCT(--($CM$3:$CM$202=$A67),--($CP$3:$CP$202="")))</f>
        <v/>
      </c>
      <c r="Q67" s="48">
        <f>IF($H67="Tutor",(BQ67&lt;&gt;"")+(BW67&lt;&gt;"")+(CC67&lt;&gt;"")+(CI67&lt;&gt;"")+(CO67&lt;&gt;""),SUMPRODUCT(--($BO$3:$BO$202=$A67))+SUMPRODUCT(--($BU$3:$BU$202=$A67))+SUMPRODUCT(--($CA$3:$CA$202=$A67))+SUMPRODUCT(--($CG$3:$CG$202=$A67))+SUMPRODUCT(--($CM$3:$CM$202=$A67)))</f>
        <v/>
      </c>
      <c r="R67" s="48">
        <f>IF($H67="Tutor",TRIM(IF(AND(BQ67&lt;&gt;"",BR67=""),BP67&amp;"; ","")&amp;IF(AND(BW67&lt;&gt;"",BX67=""),BV67&amp;"; ","")&amp;IF(AND(CC67&lt;&gt;"",CD67=""),CB67&amp;"; ","")&amp;IF(AND(CI67&lt;&gt;"",CJ67=""),CH67&amp;"; ","")&amp;IF(AND(CO67&lt;&gt;"",CP67=""),CN67&amp;"; ","")),IFERROR(INDEX($A$3:$B$202,(SUMPRODUCT(($BO$3:$BO$202=$A67)*($BR$3:$BR$202="")*ROW($BO$3:$BO$202))+SUMPRODUCT(($BU$3:$BU$202=$A67)*($BX$3:$BX$202="")*ROW($BU$3:$BU$202))+SUMPRODUCT(($CA$3:$CA$202=$A67)*($CD$3:$CD$202="")*ROW($CA$3:$CA$202))+SUMPRODUCT(($CG$3:$CG$202=$A67)*($CJ$3:$CJ$202="")*ROW($CG$3:$CG$202))+SUMPRODUCT(($CM$3:$CM$202=$A67)*($CP$3:$CP$202="")*ROW($CM$3:$CM$202)))-2,2),""))</f>
        <v/>
      </c>
      <c r="S67" s="48" t="inlineStr">
        <is>
          <t>NA</t>
        </is>
      </c>
      <c r="T67" s="48" t="inlineStr"/>
      <c r="U67" s="48" t="inlineStr"/>
      <c r="V67" s="49" t="n">
        <v>45590</v>
      </c>
      <c r="W67" s="48" t="inlineStr">
        <is>
          <t>ACST (UTC+9:30)</t>
        </is>
      </c>
      <c r="X67" s="48" t="inlineStr">
        <is>
          <t>12pm-3pm;6pm-9pm;</t>
        </is>
      </c>
      <c r="Y67" s="48" t="inlineStr">
        <is>
          <t>6pm-9pm;</t>
        </is>
      </c>
      <c r="Z67" s="48" t="inlineStr">
        <is>
          <t>NA;</t>
        </is>
      </c>
      <c r="AA67" s="48" t="inlineStr">
        <is>
          <t>6pm-9pm;</t>
        </is>
      </c>
      <c r="AB67" s="48" t="inlineStr">
        <is>
          <t>6am-9am;9am-12pm;</t>
        </is>
      </c>
      <c r="AC67" s="48" t="inlineStr">
        <is>
          <t>9am-12pm;12pm-3pm;3pm-6pm;</t>
        </is>
      </c>
      <c r="AD67" s="48" t="inlineStr">
        <is>
          <t>6pm-9pm;</t>
        </is>
      </c>
      <c r="AE67" s="48" t="inlineStr">
        <is>
          <t>Either</t>
        </is>
      </c>
      <c r="AF67" s="48" t="inlineStr">
        <is>
          <t>NA - Tutor</t>
        </is>
      </c>
      <c r="AG67" s="48" t="inlineStr">
        <is>
          <t>Australia</t>
        </is>
      </c>
      <c r="AH67" s="48" t="inlineStr">
        <is>
          <t>New South Wales</t>
        </is>
      </c>
      <c r="AI67" s="48" t="inlineStr">
        <is>
          <t>Parramatta</t>
        </is>
      </c>
      <c r="AJ67" s="48" t="inlineStr">
        <is>
          <t>2150</t>
        </is>
      </c>
      <c r="AK67" s="49" t="n">
        <v>32445</v>
      </c>
      <c r="AL67" s="48" t="inlineStr">
        <is>
          <t>Male</t>
        </is>
      </c>
      <c r="AM67" s="48" t="inlineStr">
        <is>
          <t>NA</t>
        </is>
      </c>
      <c r="AN67" s="48" t="inlineStr">
        <is>
          <t>NA - Tutor</t>
        </is>
      </c>
      <c r="AO67" s="48" t="inlineStr">
        <is>
          <t>Outstanding</t>
        </is>
      </c>
      <c r="AP67" s="48" t="inlineStr">
        <is>
          <t>Australia; Egypt</t>
        </is>
      </c>
      <c r="AQ67" s="48" t="inlineStr">
        <is>
          <t>NA</t>
        </is>
      </c>
      <c r="AR67" s="48" t="inlineStr">
        <is>
          <t>Burmese (C2)</t>
        </is>
      </c>
      <c r="AS67" s="48" t="inlineStr">
        <is>
          <t>Christian</t>
        </is>
      </c>
      <c r="AT67" s="48" t="inlineStr">
        <is>
          <t>Trades &amp; Construction</t>
        </is>
      </c>
      <c r="AU67" s="48" t="inlineStr">
        <is>
          <t>Retail</t>
        </is>
      </c>
      <c r="AV67" s="48" t="inlineStr">
        <is>
          <t>NA - Tutor</t>
        </is>
      </c>
      <c r="AW67" s="48" t="inlineStr">
        <is>
          <t>Travel; Sport; Movies</t>
        </is>
      </c>
      <c r="AX67" s="48" t="inlineStr">
        <is>
          <t>NA - Tutor</t>
        </is>
      </c>
      <c r="AY67" s="48" t="inlineStr">
        <is>
          <t>No</t>
        </is>
      </c>
      <c r="AZ67" s="48" t="inlineStr">
        <is>
          <t>Yes</t>
        </is>
      </c>
      <c r="BA67" s="48" t="inlineStr">
        <is>
          <t>Ibrahim Levi</t>
        </is>
      </c>
      <c r="BB67" s="48" t="inlineStr">
        <is>
          <t>Academic Referee</t>
        </is>
      </c>
      <c r="BC67" s="48" t="inlineStr">
        <is>
          <t>viktor.hassan565@example.com</t>
        </is>
      </c>
      <c r="BD67" s="48" t="inlineStr">
        <is>
          <t>Pending</t>
        </is>
      </c>
      <c r="BE67" s="48" t="inlineStr"/>
      <c r="BF67" s="48" t="inlineStr"/>
      <c r="BG67" s="48" t="inlineStr">
        <is>
          <t>Yes</t>
        </is>
      </c>
      <c r="BH67" s="48" t="inlineStr">
        <is>
          <t>Adults Only</t>
        </is>
      </c>
      <c r="BI67" s="48" t="inlineStr">
        <is>
          <t>CareerSeekers</t>
        </is>
      </c>
      <c r="BJ67" s="48" t="inlineStr">
        <is>
          <t>KNIJNIK Marina</t>
        </is>
      </c>
      <c r="BK67" s="48" t="inlineStr">
        <is>
          <t>KNIJNIK Marina</t>
        </is>
      </c>
      <c r="BL67" s="48" t="inlineStr">
        <is>
          <t>Synthetic test record.</t>
        </is>
      </c>
      <c r="BM67" s="48" t="inlineStr"/>
      <c r="BN67" s="48">
        <f>TRIM(IF(AND($H67="Student",$J67="ADM-ACT-MAT-CNE"),"Invalid: Student cannot be CNE. ","")&amp;IF(AND($H67="Student",ISNUMBER($O67)),"Check: capacity set for a Student. ","")&amp;IF(AND(LEFT($J67,11)="ADM-ACT-MAT",$P67=0),"Check: matched status but 0 active pairings. ","")&amp;IF(AND($H67="Tutor",ISNUMBER($O67),$P67&gt;$O67),"Check: pairings exceed capacity. ","")&amp;IF(AND($BH67="Everyone",NOT(AND($BD67="Yes",$BG67="Yes"))),"Check: approved to tutor children but WWCC not provided/confirmed. ","")&amp;IF(AND($P67&gt;0,NOT(AND(OR(LEFT($AY67,3)="Yes",LEFT($AY67,2)="NA"),OR(LEFT($AZ67,3)="Yes",LEFT($AZ67,2)="NA")))),"Matched but vetting incomplete (interview/reference). ","")&amp;IF(COUNTIF($B$3:$B$600,$B67)&gt;1,"Duplicate participant name. ",""))</f>
        <v/>
      </c>
      <c r="BO67" s="48" t="inlineStr"/>
      <c r="BP67" s="48" t="inlineStr"/>
      <c r="BQ67" s="48" t="inlineStr"/>
      <c r="BR67" s="48" t="inlineStr"/>
      <c r="BS67" s="48" t="inlineStr"/>
      <c r="BT67" s="48" t="inlineStr"/>
      <c r="BU67" s="48" t="inlineStr"/>
      <c r="BV67" s="48" t="inlineStr"/>
      <c r="BW67" s="48" t="inlineStr"/>
      <c r="BX67" s="48" t="inlineStr"/>
      <c r="BY67" s="48" t="inlineStr"/>
      <c r="BZ67" s="48" t="inlineStr"/>
      <c r="CA67" s="48" t="inlineStr"/>
      <c r="CB67" s="48" t="inlineStr"/>
      <c r="CC67" s="48" t="inlineStr"/>
      <c r="CD67" s="48" t="inlineStr"/>
      <c r="CE67" s="48" t="inlineStr"/>
      <c r="CF67" s="48" t="inlineStr"/>
      <c r="CG67" s="48" t="inlineStr"/>
      <c r="CH67" s="48" t="inlineStr"/>
      <c r="CI67" s="48" t="inlineStr"/>
      <c r="CJ67" s="48" t="inlineStr"/>
      <c r="CK67" s="48" t="inlineStr"/>
      <c r="CL67" s="48" t="inlineStr"/>
      <c r="CM67" s="48" t="inlineStr"/>
      <c r="CN67" s="48" t="inlineStr"/>
      <c r="CO67" s="48" t="inlineStr"/>
      <c r="CP67" s="48" t="inlineStr"/>
      <c r="CQ67" s="48" t="inlineStr"/>
      <c r="CR67" s="48" t="inlineStr"/>
      <c r="CS67" s="48">
        <f>IF(LEFT($J67,3)="ERR",0,1)</f>
        <v/>
      </c>
      <c r="CT67" s="48">
        <f>IF(LEFT($J67,3)="ADM",1,0)</f>
        <v/>
      </c>
      <c r="CU67" s="48">
        <f>IF(OR($J67="ADM-ACT-MAT-CNE",$J67="ADM-ACT-MAT-CE",$J67="ADM-INACT-M&amp;T"),1,0)</f>
        <v/>
      </c>
      <c r="CV67" s="48">
        <f>IF(AND(CU67=1,ISNUMBER(M67),ISNUMBER(I67)),M67-I67,"")</f>
        <v/>
      </c>
      <c r="CW67" s="48">
        <f>IF(ISNUMBER(I67),TODAY()-I67,"")</f>
        <v/>
      </c>
      <c r="CX67" s="48">
        <f>IF(ISNUMBER(I67),DATE(YEAR(I67),MONTH(I67),1),"")</f>
        <v/>
      </c>
      <c r="CY67" s="48">
        <f>IFERROR(DATEDIF(AK67,TODAY(),"y"),"")</f>
        <v/>
      </c>
      <c r="CZ67" s="48">
        <f>IF(CY67="","",IF(CY67&lt;28,"18-27",IF(CY67&lt;38,"28-37",IF(CY67&lt;48,"38-47",IF(CY67&lt;58,"48-57",IF(CY67&lt;68,"58-67",IF(CY67&lt;78,"68-77","78+")))))) </f>
        <v/>
      </c>
      <c r="DA67" s="48">
        <f>IF(AND(BQ67&lt;&gt;"",BR67=""),N(BS67),0)+IF(AND(BW67&lt;&gt;"",BX67=""),N(BY67),0)+IF(AND(CC67&lt;&gt;"",CD67=""),N(CE67),0)+IF(AND(CI67&lt;&gt;"",CJ67=""),N(CK67),0)+IF(AND(CO67&lt;&gt;"",CP67=""),N(CQ67),0)</f>
        <v/>
      </c>
      <c r="DB67" s="48">
        <f>ROUND(IF(BQ67&lt;&gt;"",N(BS67)*MAX(0,((IF(BR67="",TODAY(),BR67))-BQ67)/7),0)+IF(BW67&lt;&gt;"",N(BY67)*MAX(0,((IF(BX67="",TODAY(),BX67))-BW67)/7),0)+IF(CC67&lt;&gt;"",N(CE67)*MAX(0,((IF(CD67="",TODAY(),CD67))-CC67)/7),0)+IF(CI67&lt;&gt;"",N(CK67)*MAX(0,((IF(CJ67="",TODAY(),CJ67))-CI67)/7),0)+IF(CO67&lt;&gt;"",N(CQ67)*MAX(0,((IF(CP67="",TODAY(),CP67))-CO67)/7),0),1)</f>
        <v/>
      </c>
      <c r="DC67" s="48">
        <f>IF(OR(TRIM(X67)="",TRIM(X67)="NA;",TRIM(X67)="NA"),0,1)</f>
        <v/>
      </c>
      <c r="DD67" s="48">
        <f>IF(OR(TRIM(Y67)="",TRIM(Y67)="NA;",TRIM(Y67)="NA"),0,1)</f>
        <v/>
      </c>
      <c r="DE67" s="48">
        <f>IF(OR(TRIM(Z67)="",TRIM(Z67)="NA;",TRIM(Z67)="NA"),0,1)</f>
        <v/>
      </c>
      <c r="DF67" s="48">
        <f>IF(OR(TRIM(AA67)="",TRIM(AA67)="NA;",TRIM(AA67)="NA"),0,1)</f>
        <v/>
      </c>
      <c r="DG67" s="48">
        <f>IF(OR(TRIM(AB67)="",TRIM(AB67)="NA;",TRIM(AB67)="NA"),0,1)</f>
        <v/>
      </c>
      <c r="DH67" s="48">
        <f>IF(OR(TRIM(AC67)="",TRIM(AC67)="NA;",TRIM(AC67)="NA"),0,1)</f>
        <v/>
      </c>
      <c r="DI67" s="48">
        <f>IF(OR(TRIM(AD67)="",TRIM(AD67)="NA;",TRIM(AD67)="NA"),0,1)</f>
        <v/>
      </c>
      <c r="DJ67" s="48">
        <f>TRIM(IF(DC67=1,"Mon ","")&amp;IF(DD67=1,"Tue ","")&amp;IF(DE67=1,"Wed ","")&amp;IF(DF67=1,"Thu ","")&amp;IF(DG67=1,"Fri ","")&amp;IF(DH67=1,"Sat ","")&amp;IF(DI67=1,"Sun ",""))</f>
        <v/>
      </c>
    </row>
    <row r="68">
      <c r="A68" s="48" t="inlineStr">
        <is>
          <t>T-N-00016</t>
        </is>
      </c>
      <c r="B68" s="48" t="inlineStr">
        <is>
          <t>Karim Stanley</t>
        </is>
      </c>
      <c r="C68" s="48" t="inlineStr">
        <is>
          <t>karim.stanley66@example.com</t>
        </is>
      </c>
      <c r="D68" s="48" t="inlineStr">
        <is>
          <t>+61 492 640 507</t>
        </is>
      </c>
      <c r="E68" s="48" t="inlineStr">
        <is>
          <t>Yusuf Cohen</t>
        </is>
      </c>
      <c r="F68" s="48" t="inlineStr">
        <is>
          <t>+61 440 298 752</t>
        </is>
      </c>
      <c r="G68" s="48" t="inlineStr">
        <is>
          <t>Caseworker</t>
        </is>
      </c>
      <c r="H68" s="48" t="inlineStr">
        <is>
          <t>Tutor</t>
        </is>
      </c>
      <c r="I68" s="49" t="n">
        <v>45725</v>
      </c>
      <c r="J68" s="48" t="inlineStr">
        <is>
          <t>NADM-REJ-UNRES</t>
        </is>
      </c>
      <c r="K68" s="48">
        <f>IFERROR(VLOOKUP(J68,'(A) Introduction'!$B$35:$C$45,2,FALSE),"")</f>
        <v/>
      </c>
      <c r="L68" s="48" t="inlineStr">
        <is>
          <t>No</t>
        </is>
      </c>
      <c r="M68" s="48" t="inlineStr"/>
      <c r="N68" s="48" t="inlineStr"/>
      <c r="O68" s="48" t="n">
        <v>3</v>
      </c>
      <c r="P68" s="48">
        <f>IF($H68="Tutor",((BQ68&lt;&gt;"")*(BR68=""))+((BW68&lt;&gt;"")*(BX68=""))+((CC68&lt;&gt;"")*(CD68=""))+((CI68&lt;&gt;"")*(CJ68=""))+((CO68&lt;&gt;"")*(CP68="")),SUMPRODUCT(--($BO$3:$BO$202=$A68),--($BR$3:$BR$202=""))+SUMPRODUCT(--($BU$3:$BU$202=$A68),--($BX$3:$BX$202=""))+SUMPRODUCT(--($CA$3:$CA$202=$A68),--($CD$3:$CD$202=""))+SUMPRODUCT(--($CG$3:$CG$202=$A68),--($CJ$3:$CJ$202=""))+SUMPRODUCT(--($CM$3:$CM$202=$A68),--($CP$3:$CP$202="")))</f>
        <v/>
      </c>
      <c r="Q68" s="48">
        <f>IF($H68="Tutor",(BQ68&lt;&gt;"")+(BW68&lt;&gt;"")+(CC68&lt;&gt;"")+(CI68&lt;&gt;"")+(CO68&lt;&gt;""),SUMPRODUCT(--($BO$3:$BO$202=$A68))+SUMPRODUCT(--($BU$3:$BU$202=$A68))+SUMPRODUCT(--($CA$3:$CA$202=$A68))+SUMPRODUCT(--($CG$3:$CG$202=$A68))+SUMPRODUCT(--($CM$3:$CM$202=$A68)))</f>
        <v/>
      </c>
      <c r="R68" s="48">
        <f>IF($H68="Tutor",TRIM(IF(AND(BQ68&lt;&gt;"",BR68=""),BP68&amp;"; ","")&amp;IF(AND(BW68&lt;&gt;"",BX68=""),BV68&amp;"; ","")&amp;IF(AND(CC68&lt;&gt;"",CD68=""),CB68&amp;"; ","")&amp;IF(AND(CI68&lt;&gt;"",CJ68=""),CH68&amp;"; ","")&amp;IF(AND(CO68&lt;&gt;"",CP68=""),CN68&amp;"; ","")),IFERROR(INDEX($A$3:$B$202,(SUMPRODUCT(($BO$3:$BO$202=$A68)*($BR$3:$BR$202="")*ROW($BO$3:$BO$202))+SUMPRODUCT(($BU$3:$BU$202=$A68)*($BX$3:$BX$202="")*ROW($BU$3:$BU$202))+SUMPRODUCT(($CA$3:$CA$202=$A68)*($CD$3:$CD$202="")*ROW($CA$3:$CA$202))+SUMPRODUCT(($CG$3:$CG$202=$A68)*($CJ$3:$CJ$202="")*ROW($CG$3:$CG$202))+SUMPRODUCT(($CM$3:$CM$202=$A68)*($CP$3:$CP$202="")*ROW($CM$3:$CM$202)))-2,2),""))</f>
        <v/>
      </c>
      <c r="S68" s="48" t="inlineStr">
        <is>
          <t>NA</t>
        </is>
      </c>
      <c r="T68" s="48" t="inlineStr"/>
      <c r="U68" s="48" t="inlineStr"/>
      <c r="V68" s="48" t="inlineStr"/>
      <c r="W68" s="48" t="inlineStr">
        <is>
          <t>AEST (UTC+10)</t>
        </is>
      </c>
      <c r="X68" s="48" t="inlineStr">
        <is>
          <t>6pm-9pm;</t>
        </is>
      </c>
      <c r="Y68" s="48" t="inlineStr">
        <is>
          <t>6pm-9pm;</t>
        </is>
      </c>
      <c r="Z68" s="48" t="inlineStr">
        <is>
          <t>9am-12pm;</t>
        </is>
      </c>
      <c r="AA68" s="48" t="inlineStr">
        <is>
          <t>3pm-6pm;</t>
        </is>
      </c>
      <c r="AB68" s="48" t="inlineStr">
        <is>
          <t>NA;</t>
        </is>
      </c>
      <c r="AC68" s="48" t="inlineStr">
        <is>
          <t>12pm-3pm;6pm-9pm;</t>
        </is>
      </c>
      <c r="AD68" s="48" t="inlineStr">
        <is>
          <t>6am-9am;9am-12pm;</t>
        </is>
      </c>
      <c r="AE68" s="48" t="inlineStr">
        <is>
          <t>Either</t>
        </is>
      </c>
      <c r="AF68" s="48" t="inlineStr">
        <is>
          <t>NA - Tutor</t>
        </is>
      </c>
      <c r="AG68" s="48" t="inlineStr">
        <is>
          <t>Australia</t>
        </is>
      </c>
      <c r="AH68" s="48" t="inlineStr">
        <is>
          <t>New South Wales</t>
        </is>
      </c>
      <c r="AI68" s="48" t="inlineStr">
        <is>
          <t>Eastlakes</t>
        </is>
      </c>
      <c r="AJ68" s="48" t="inlineStr">
        <is>
          <t>2018</t>
        </is>
      </c>
      <c r="AK68" s="49" t="n">
        <v>28871</v>
      </c>
      <c r="AL68" s="48" t="inlineStr">
        <is>
          <t>Male</t>
        </is>
      </c>
      <c r="AM68" s="48" t="inlineStr">
        <is>
          <t>NA</t>
        </is>
      </c>
      <c r="AN68" s="48" t="inlineStr">
        <is>
          <t>NA - Tutor</t>
        </is>
      </c>
      <c r="AO68" s="48" t="inlineStr">
        <is>
          <t>Outstanding</t>
        </is>
      </c>
      <c r="AP68" s="48" t="inlineStr">
        <is>
          <t>India</t>
        </is>
      </c>
      <c r="AQ68" s="48" t="inlineStr">
        <is>
          <t>NA</t>
        </is>
      </c>
      <c r="AR68" s="48" t="inlineStr">
        <is>
          <t>Burmese (C2)</t>
        </is>
      </c>
      <c r="AS68" s="48" t="inlineStr">
        <is>
          <t>Hindu</t>
        </is>
      </c>
      <c r="AT68" s="48" t="inlineStr">
        <is>
          <t>Science, Tech, Engineering and Math</t>
        </is>
      </c>
      <c r="AU68" s="48" t="inlineStr">
        <is>
          <t>Aged Care Worker</t>
        </is>
      </c>
      <c r="AV68" s="48" t="inlineStr">
        <is>
          <t>NA - Tutor</t>
        </is>
      </c>
      <c r="AW68" s="48" t="inlineStr">
        <is>
          <t>Travel; Sport; Movies</t>
        </is>
      </c>
      <c r="AX68" s="48" t="inlineStr">
        <is>
          <t>NA - Tutor</t>
        </is>
      </c>
      <c r="AY68" s="48" t="inlineStr">
        <is>
          <t>NA - Partner Organisation Verified</t>
        </is>
      </c>
      <c r="AZ68" s="48" t="inlineStr">
        <is>
          <t>No</t>
        </is>
      </c>
      <c r="BA68" s="48" t="inlineStr">
        <is>
          <t>Emily Wilson</t>
        </is>
      </c>
      <c r="BB68" s="48" t="inlineStr">
        <is>
          <t>Manager</t>
        </is>
      </c>
      <c r="BC68" s="48" t="inlineStr">
        <is>
          <t>mariam.slaytor566@example.com</t>
        </is>
      </c>
      <c r="BD68" s="48" t="inlineStr">
        <is>
          <t>Pending</t>
        </is>
      </c>
      <c r="BE68" s="48" t="inlineStr"/>
      <c r="BF68" s="48" t="inlineStr"/>
      <c r="BG68" s="48" t="inlineStr">
        <is>
          <t>No</t>
        </is>
      </c>
      <c r="BH68" s="48" t="inlineStr">
        <is>
          <t>Adults Only</t>
        </is>
      </c>
      <c r="BI68" s="48" t="inlineStr">
        <is>
          <t>Jesuit Refugee Service</t>
        </is>
      </c>
      <c r="BJ68" s="48" t="inlineStr">
        <is>
          <t>NUICH Curtis</t>
        </is>
      </c>
      <c r="BK68" s="48" t="inlineStr">
        <is>
          <t>MCCLELLAND Reeve</t>
        </is>
      </c>
      <c r="BL68" s="48" t="inlineStr">
        <is>
          <t>Synthetic test record.</t>
        </is>
      </c>
      <c r="BM68" s="48" t="inlineStr"/>
      <c r="BN68" s="48">
        <f>TRIM(IF(AND($H68="Student",$J68="ADM-ACT-MAT-CNE"),"Invalid: Student cannot be CNE. ","")&amp;IF(AND($H68="Student",ISNUMBER($O68)),"Check: capacity set for a Student. ","")&amp;IF(AND(LEFT($J68,11)="ADM-ACT-MAT",$P68=0),"Check: matched status but 0 active pairings. ","")&amp;IF(AND($H68="Tutor",ISNUMBER($O68),$P68&gt;$O68),"Check: pairings exceed capacity. ","")&amp;IF(AND($BH68="Everyone",NOT(AND($BD68="Yes",$BG68="Yes"))),"Check: approved to tutor children but WWCC not provided/confirmed. ","")&amp;IF(AND($P68&gt;0,NOT(AND(OR(LEFT($AY68,3)="Yes",LEFT($AY68,2)="NA"),OR(LEFT($AZ68,3)="Yes",LEFT($AZ68,2)="NA")))),"Matched but vetting incomplete (interview/reference). ","")&amp;IF(COUNTIF($B$3:$B$600,$B68)&gt;1,"Duplicate participant name. ",""))</f>
        <v/>
      </c>
      <c r="BO68" s="48" t="inlineStr"/>
      <c r="BP68" s="48" t="inlineStr"/>
      <c r="BQ68" s="48" t="inlineStr"/>
      <c r="BR68" s="48" t="inlineStr"/>
      <c r="BS68" s="48" t="inlineStr"/>
      <c r="BT68" s="48" t="inlineStr"/>
      <c r="BU68" s="48" t="inlineStr"/>
      <c r="BV68" s="48" t="inlineStr"/>
      <c r="BW68" s="48" t="inlineStr"/>
      <c r="BX68" s="48" t="inlineStr"/>
      <c r="BY68" s="48" t="inlineStr"/>
      <c r="BZ68" s="48" t="inlineStr"/>
      <c r="CA68" s="48" t="inlineStr"/>
      <c r="CB68" s="48" t="inlineStr"/>
      <c r="CC68" s="48" t="inlineStr"/>
      <c r="CD68" s="48" t="inlineStr"/>
      <c r="CE68" s="48" t="inlineStr"/>
      <c r="CF68" s="48" t="inlineStr"/>
      <c r="CG68" s="48" t="inlineStr"/>
      <c r="CH68" s="48" t="inlineStr"/>
      <c r="CI68" s="48" t="inlineStr"/>
      <c r="CJ68" s="48" t="inlineStr"/>
      <c r="CK68" s="48" t="inlineStr"/>
      <c r="CL68" s="48" t="inlineStr"/>
      <c r="CM68" s="48" t="inlineStr"/>
      <c r="CN68" s="48" t="inlineStr"/>
      <c r="CO68" s="48" t="inlineStr"/>
      <c r="CP68" s="48" t="inlineStr"/>
      <c r="CQ68" s="48" t="inlineStr"/>
      <c r="CR68" s="48" t="inlineStr"/>
      <c r="CS68" s="48">
        <f>IF(LEFT($J68,3)="ERR",0,1)</f>
        <v/>
      </c>
      <c r="CT68" s="48">
        <f>IF(LEFT($J68,3)="ADM",1,0)</f>
        <v/>
      </c>
      <c r="CU68" s="48">
        <f>IF(OR($J68="ADM-ACT-MAT-CNE",$J68="ADM-ACT-MAT-CE",$J68="ADM-INACT-M&amp;T"),1,0)</f>
        <v/>
      </c>
      <c r="CV68" s="48">
        <f>IF(AND(CU68=1,ISNUMBER(M68),ISNUMBER(I68)),M68-I68,"")</f>
        <v/>
      </c>
      <c r="CW68" s="48">
        <f>IF(ISNUMBER(I68),TODAY()-I68,"")</f>
        <v/>
      </c>
      <c r="CX68" s="48">
        <f>IF(ISNUMBER(I68),DATE(YEAR(I68),MONTH(I68),1),"")</f>
        <v/>
      </c>
      <c r="CY68" s="48">
        <f>IFERROR(DATEDIF(AK68,TODAY(),"y"),"")</f>
        <v/>
      </c>
      <c r="CZ68" s="48">
        <f>IF(CY68="","",IF(CY68&lt;28,"18-27",IF(CY68&lt;38,"28-37",IF(CY68&lt;48,"38-47",IF(CY68&lt;58,"48-57",IF(CY68&lt;68,"58-67",IF(CY68&lt;78,"68-77","78+")))))) </f>
        <v/>
      </c>
      <c r="DA68" s="48">
        <f>IF(AND(BQ68&lt;&gt;"",BR68=""),N(BS68),0)+IF(AND(BW68&lt;&gt;"",BX68=""),N(BY68),0)+IF(AND(CC68&lt;&gt;"",CD68=""),N(CE68),0)+IF(AND(CI68&lt;&gt;"",CJ68=""),N(CK68),0)+IF(AND(CO68&lt;&gt;"",CP68=""),N(CQ68),0)</f>
        <v/>
      </c>
      <c r="DB68" s="48">
        <f>ROUND(IF(BQ68&lt;&gt;"",N(BS68)*MAX(0,((IF(BR68="",TODAY(),BR68))-BQ68)/7),0)+IF(BW68&lt;&gt;"",N(BY68)*MAX(0,((IF(BX68="",TODAY(),BX68))-BW68)/7),0)+IF(CC68&lt;&gt;"",N(CE68)*MAX(0,((IF(CD68="",TODAY(),CD68))-CC68)/7),0)+IF(CI68&lt;&gt;"",N(CK68)*MAX(0,((IF(CJ68="",TODAY(),CJ68))-CI68)/7),0)+IF(CO68&lt;&gt;"",N(CQ68)*MAX(0,((IF(CP68="",TODAY(),CP68))-CO68)/7),0),1)</f>
        <v/>
      </c>
      <c r="DC68" s="48">
        <f>IF(OR(TRIM(X68)="",TRIM(X68)="NA;",TRIM(X68)="NA"),0,1)</f>
        <v/>
      </c>
      <c r="DD68" s="48">
        <f>IF(OR(TRIM(Y68)="",TRIM(Y68)="NA;",TRIM(Y68)="NA"),0,1)</f>
        <v/>
      </c>
      <c r="DE68" s="48">
        <f>IF(OR(TRIM(Z68)="",TRIM(Z68)="NA;",TRIM(Z68)="NA"),0,1)</f>
        <v/>
      </c>
      <c r="DF68" s="48">
        <f>IF(OR(TRIM(AA68)="",TRIM(AA68)="NA;",TRIM(AA68)="NA"),0,1)</f>
        <v/>
      </c>
      <c r="DG68" s="48">
        <f>IF(OR(TRIM(AB68)="",TRIM(AB68)="NA;",TRIM(AB68)="NA"),0,1)</f>
        <v/>
      </c>
      <c r="DH68" s="48">
        <f>IF(OR(TRIM(AC68)="",TRIM(AC68)="NA;",TRIM(AC68)="NA"),0,1)</f>
        <v/>
      </c>
      <c r="DI68" s="48">
        <f>IF(OR(TRIM(AD68)="",TRIM(AD68)="NA;",TRIM(AD68)="NA"),0,1)</f>
        <v/>
      </c>
      <c r="DJ68" s="48">
        <f>TRIM(IF(DC68=1,"Mon ","")&amp;IF(DD68=1,"Tue ","")&amp;IF(DE68=1,"Wed ","")&amp;IF(DF68=1,"Thu ","")&amp;IF(DG68=1,"Fri ","")&amp;IF(DH68=1,"Sat ","")&amp;IF(DI68=1,"Sun ",""))</f>
        <v/>
      </c>
    </row>
    <row r="69">
      <c r="A69" s="48" t="inlineStr">
        <is>
          <t>T-N-00017</t>
        </is>
      </c>
      <c r="B69" s="48" t="inlineStr">
        <is>
          <t>Ibrahim Cohen</t>
        </is>
      </c>
      <c r="C69" s="48" t="inlineStr">
        <is>
          <t>ibrahim.cohen67@example.com</t>
        </is>
      </c>
      <c r="D69" s="48" t="inlineStr">
        <is>
          <t>+61 414 954 577</t>
        </is>
      </c>
      <c r="E69" s="48" t="inlineStr">
        <is>
          <t>Hala Hall</t>
        </is>
      </c>
      <c r="F69" s="48" t="inlineStr">
        <is>
          <t>+61 464 945 942</t>
        </is>
      </c>
      <c r="G69" s="48" t="inlineStr">
        <is>
          <t>Caseworker</t>
        </is>
      </c>
      <c r="H69" s="48" t="inlineStr">
        <is>
          <t>Tutor</t>
        </is>
      </c>
      <c r="I69" s="49" t="n">
        <v>45728</v>
      </c>
      <c r="J69" s="48" t="inlineStr">
        <is>
          <t>NADM-REJ-UNSUIT</t>
        </is>
      </c>
      <c r="K69" s="48">
        <f>IFERROR(VLOOKUP(J69,'(A) Introduction'!$B$35:$C$45,2,FALSE),"")</f>
        <v/>
      </c>
      <c r="L69" s="48" t="inlineStr">
        <is>
          <t>No</t>
        </is>
      </c>
      <c r="M69" s="48" t="inlineStr"/>
      <c r="N69" s="48" t="inlineStr"/>
      <c r="O69" s="48" t="n">
        <v>1</v>
      </c>
      <c r="P69" s="48">
        <f>IF($H69="Tutor",((BQ69&lt;&gt;"")*(BR69=""))+((BW69&lt;&gt;"")*(BX69=""))+((CC69&lt;&gt;"")*(CD69=""))+((CI69&lt;&gt;"")*(CJ69=""))+((CO69&lt;&gt;"")*(CP69="")),SUMPRODUCT(--($BO$3:$BO$202=$A69),--($BR$3:$BR$202=""))+SUMPRODUCT(--($BU$3:$BU$202=$A69),--($BX$3:$BX$202=""))+SUMPRODUCT(--($CA$3:$CA$202=$A69),--($CD$3:$CD$202=""))+SUMPRODUCT(--($CG$3:$CG$202=$A69),--($CJ$3:$CJ$202=""))+SUMPRODUCT(--($CM$3:$CM$202=$A69),--($CP$3:$CP$202="")))</f>
        <v/>
      </c>
      <c r="Q69" s="48">
        <f>IF($H69="Tutor",(BQ69&lt;&gt;"")+(BW69&lt;&gt;"")+(CC69&lt;&gt;"")+(CI69&lt;&gt;"")+(CO69&lt;&gt;""),SUMPRODUCT(--($BO$3:$BO$202=$A69))+SUMPRODUCT(--($BU$3:$BU$202=$A69))+SUMPRODUCT(--($CA$3:$CA$202=$A69))+SUMPRODUCT(--($CG$3:$CG$202=$A69))+SUMPRODUCT(--($CM$3:$CM$202=$A69)))</f>
        <v/>
      </c>
      <c r="R69" s="48">
        <f>IF($H69="Tutor",TRIM(IF(AND(BQ69&lt;&gt;"",BR69=""),BP69&amp;"; ","")&amp;IF(AND(BW69&lt;&gt;"",BX69=""),BV69&amp;"; ","")&amp;IF(AND(CC69&lt;&gt;"",CD69=""),CB69&amp;"; ","")&amp;IF(AND(CI69&lt;&gt;"",CJ69=""),CH69&amp;"; ","")&amp;IF(AND(CO69&lt;&gt;"",CP69=""),CN69&amp;"; ","")),IFERROR(INDEX($A$3:$B$202,(SUMPRODUCT(($BO$3:$BO$202=$A69)*($BR$3:$BR$202="")*ROW($BO$3:$BO$202))+SUMPRODUCT(($BU$3:$BU$202=$A69)*($BX$3:$BX$202="")*ROW($BU$3:$BU$202))+SUMPRODUCT(($CA$3:$CA$202=$A69)*($CD$3:$CD$202="")*ROW($CA$3:$CA$202))+SUMPRODUCT(($CG$3:$CG$202=$A69)*($CJ$3:$CJ$202="")*ROW($CG$3:$CG$202))+SUMPRODUCT(($CM$3:$CM$202=$A69)*($CP$3:$CP$202="")*ROW($CM$3:$CM$202)))-2,2),""))</f>
        <v/>
      </c>
      <c r="S69" s="48" t="inlineStr">
        <is>
          <t>NA</t>
        </is>
      </c>
      <c r="T69" s="48" t="inlineStr"/>
      <c r="U69" s="48" t="inlineStr"/>
      <c r="V69" s="48" t="inlineStr"/>
      <c r="W69" s="48" t="inlineStr">
        <is>
          <t>ACST (UTC+9:30)</t>
        </is>
      </c>
      <c r="X69" s="48" t="inlineStr">
        <is>
          <t>9am-12pm;</t>
        </is>
      </c>
      <c r="Y69" s="48" t="inlineStr">
        <is>
          <t>9am-12pm;12pm-3pm;3pm-6pm;</t>
        </is>
      </c>
      <c r="Z69" s="48" t="inlineStr">
        <is>
          <t>NA;</t>
        </is>
      </c>
      <c r="AA69" s="48" t="inlineStr">
        <is>
          <t>6pm-9pm;</t>
        </is>
      </c>
      <c r="AB69" s="48" t="inlineStr">
        <is>
          <t>12pm-3pm;</t>
        </is>
      </c>
      <c r="AC69" s="48" t="inlineStr">
        <is>
          <t>6pm-9pm;</t>
        </is>
      </c>
      <c r="AD69" s="48" t="inlineStr">
        <is>
          <t>3pm-6pm;</t>
        </is>
      </c>
      <c r="AE69" s="48" t="inlineStr">
        <is>
          <t>Either</t>
        </is>
      </c>
      <c r="AF69" s="48" t="inlineStr">
        <is>
          <t>NA - Tutor</t>
        </is>
      </c>
      <c r="AG69" s="48" t="inlineStr">
        <is>
          <t>Australia</t>
        </is>
      </c>
      <c r="AH69" s="48" t="inlineStr">
        <is>
          <t>New South Wales</t>
        </is>
      </c>
      <c r="AI69" s="48" t="inlineStr">
        <is>
          <t>Liverpool</t>
        </is>
      </c>
      <c r="AJ69" s="48" t="inlineStr">
        <is>
          <t>2170</t>
        </is>
      </c>
      <c r="AK69" s="49" t="n">
        <v>23780</v>
      </c>
      <c r="AL69" s="48" t="inlineStr">
        <is>
          <t>Male</t>
        </is>
      </c>
      <c r="AM69" s="48" t="inlineStr">
        <is>
          <t>NA</t>
        </is>
      </c>
      <c r="AN69" s="48" t="inlineStr">
        <is>
          <t>NA - Tutor</t>
        </is>
      </c>
      <c r="AO69" s="48" t="inlineStr">
        <is>
          <t>Outstanding</t>
        </is>
      </c>
      <c r="AP69" s="48" t="inlineStr">
        <is>
          <t>Australia</t>
        </is>
      </c>
      <c r="AQ69" s="48" t="inlineStr">
        <is>
          <t>NA</t>
        </is>
      </c>
      <c r="AR69" s="48" t="inlineStr">
        <is>
          <t>English (C2)</t>
        </is>
      </c>
      <c r="AS69" s="48" t="inlineStr">
        <is>
          <t>Christian (Orthodox)</t>
        </is>
      </c>
      <c r="AT69" s="48" t="inlineStr">
        <is>
          <t>Health &amp; Medicine</t>
        </is>
      </c>
      <c r="AU69" s="48" t="inlineStr">
        <is>
          <t>Nurse</t>
        </is>
      </c>
      <c r="AV69" s="48" t="inlineStr">
        <is>
          <t>NA - Tutor</t>
        </is>
      </c>
      <c r="AW69" s="48" t="inlineStr">
        <is>
          <t>Reading; Politics; Music</t>
        </is>
      </c>
      <c r="AX69" s="48" t="inlineStr">
        <is>
          <t>NA - Tutor</t>
        </is>
      </c>
      <c r="AY69" s="48" t="inlineStr">
        <is>
          <t>NA - RELT Member Verified</t>
        </is>
      </c>
      <c r="AZ69" s="48" t="inlineStr">
        <is>
          <t>NA - Partner Organisation Verified</t>
        </is>
      </c>
      <c r="BA69" s="48" t="inlineStr">
        <is>
          <t>Pedro Hall</t>
        </is>
      </c>
      <c r="BB69" s="48" t="inlineStr">
        <is>
          <t>Colleague</t>
        </is>
      </c>
      <c r="BC69" s="48" t="inlineStr">
        <is>
          <t>karim.hall567@example.com</t>
        </is>
      </c>
      <c r="BD69" s="48" t="inlineStr">
        <is>
          <t>Yes</t>
        </is>
      </c>
      <c r="BE69" s="48" t="inlineStr">
        <is>
          <t>WWC7572195E</t>
        </is>
      </c>
      <c r="BF69" s="49" t="n">
        <v>46706</v>
      </c>
      <c r="BG69" s="48" t="inlineStr">
        <is>
          <t>Yes</t>
        </is>
      </c>
      <c r="BH69" s="48" t="inlineStr">
        <is>
          <t>Everyone</t>
        </is>
      </c>
      <c r="BI69" s="48" t="inlineStr">
        <is>
          <t>University of Queensland (Including the Refugee Tutoring Club)</t>
        </is>
      </c>
      <c r="BJ69" s="48" t="inlineStr">
        <is>
          <t>NUICH Curtis</t>
        </is>
      </c>
      <c r="BK69" s="48" t="inlineStr">
        <is>
          <t>SINGH Veera</t>
        </is>
      </c>
      <c r="BL69" s="48" t="inlineStr">
        <is>
          <t>Synthetic test record.</t>
        </is>
      </c>
      <c r="BM69" s="48" t="inlineStr"/>
      <c r="BN69" s="48">
        <f>TRIM(IF(AND($H69="Student",$J69="ADM-ACT-MAT-CNE"),"Invalid: Student cannot be CNE. ","")&amp;IF(AND($H69="Student",ISNUMBER($O69)),"Check: capacity set for a Student. ","")&amp;IF(AND(LEFT($J69,11)="ADM-ACT-MAT",$P69=0),"Check: matched status but 0 active pairings. ","")&amp;IF(AND($H69="Tutor",ISNUMBER($O69),$P69&gt;$O69),"Check: pairings exceed capacity. ","")&amp;IF(AND($BH69="Everyone",NOT(AND($BD69="Yes",$BG69="Yes"))),"Check: approved to tutor children but WWCC not provided/confirmed. ","")&amp;IF(AND($P69&gt;0,NOT(AND(OR(LEFT($AY69,3)="Yes",LEFT($AY69,2)="NA"),OR(LEFT($AZ69,3)="Yes",LEFT($AZ69,2)="NA")))),"Matched but vetting incomplete (interview/reference). ","")&amp;IF(COUNTIF($B$3:$B$600,$B69)&gt;1,"Duplicate participant name. ",""))</f>
        <v/>
      </c>
      <c r="BO69" s="48" t="inlineStr"/>
      <c r="BP69" s="48" t="inlineStr"/>
      <c r="BQ69" s="48" t="inlineStr"/>
      <c r="BR69" s="48" t="inlineStr"/>
      <c r="BS69" s="48" t="inlineStr"/>
      <c r="BT69" s="48" t="inlineStr"/>
      <c r="BU69" s="48" t="inlineStr"/>
      <c r="BV69" s="48" t="inlineStr"/>
      <c r="BW69" s="48" t="inlineStr"/>
      <c r="BX69" s="48" t="inlineStr"/>
      <c r="BY69" s="48" t="inlineStr"/>
      <c r="BZ69" s="48" t="inlineStr"/>
      <c r="CA69" s="48" t="inlineStr"/>
      <c r="CB69" s="48" t="inlineStr"/>
      <c r="CC69" s="48" t="inlineStr"/>
      <c r="CD69" s="48" t="inlineStr"/>
      <c r="CE69" s="48" t="inlineStr"/>
      <c r="CF69" s="48" t="inlineStr"/>
      <c r="CG69" s="48" t="inlineStr"/>
      <c r="CH69" s="48" t="inlineStr"/>
      <c r="CI69" s="48" t="inlineStr"/>
      <c r="CJ69" s="48" t="inlineStr"/>
      <c r="CK69" s="48" t="inlineStr"/>
      <c r="CL69" s="48" t="inlineStr"/>
      <c r="CM69" s="48" t="inlineStr"/>
      <c r="CN69" s="48" t="inlineStr"/>
      <c r="CO69" s="48" t="inlineStr"/>
      <c r="CP69" s="48" t="inlineStr"/>
      <c r="CQ69" s="48" t="inlineStr"/>
      <c r="CR69" s="48" t="inlineStr"/>
      <c r="CS69" s="48">
        <f>IF(LEFT($J69,3)="ERR",0,1)</f>
        <v/>
      </c>
      <c r="CT69" s="48">
        <f>IF(LEFT($J69,3)="ADM",1,0)</f>
        <v/>
      </c>
      <c r="CU69" s="48">
        <f>IF(OR($J69="ADM-ACT-MAT-CNE",$J69="ADM-ACT-MAT-CE",$J69="ADM-INACT-M&amp;T"),1,0)</f>
        <v/>
      </c>
      <c r="CV69" s="48">
        <f>IF(AND(CU69=1,ISNUMBER(M69),ISNUMBER(I69)),M69-I69,"")</f>
        <v/>
      </c>
      <c r="CW69" s="48">
        <f>IF(ISNUMBER(I69),TODAY()-I69,"")</f>
        <v/>
      </c>
      <c r="CX69" s="48">
        <f>IF(ISNUMBER(I69),DATE(YEAR(I69),MONTH(I69),1),"")</f>
        <v/>
      </c>
      <c r="CY69" s="48">
        <f>IFERROR(DATEDIF(AK69,TODAY(),"y"),"")</f>
        <v/>
      </c>
      <c r="CZ69" s="48">
        <f>IF(CY69="","",IF(CY69&lt;28,"18-27",IF(CY69&lt;38,"28-37",IF(CY69&lt;48,"38-47",IF(CY69&lt;58,"48-57",IF(CY69&lt;68,"58-67",IF(CY69&lt;78,"68-77","78+")))))) </f>
        <v/>
      </c>
      <c r="DA69" s="48">
        <f>IF(AND(BQ69&lt;&gt;"",BR69=""),N(BS69),0)+IF(AND(BW69&lt;&gt;"",BX69=""),N(BY69),0)+IF(AND(CC69&lt;&gt;"",CD69=""),N(CE69),0)+IF(AND(CI69&lt;&gt;"",CJ69=""),N(CK69),0)+IF(AND(CO69&lt;&gt;"",CP69=""),N(CQ69),0)</f>
        <v/>
      </c>
      <c r="DB69" s="48">
        <f>ROUND(IF(BQ69&lt;&gt;"",N(BS69)*MAX(0,((IF(BR69="",TODAY(),BR69))-BQ69)/7),0)+IF(BW69&lt;&gt;"",N(BY69)*MAX(0,((IF(BX69="",TODAY(),BX69))-BW69)/7),0)+IF(CC69&lt;&gt;"",N(CE69)*MAX(0,((IF(CD69="",TODAY(),CD69))-CC69)/7),0)+IF(CI69&lt;&gt;"",N(CK69)*MAX(0,((IF(CJ69="",TODAY(),CJ69))-CI69)/7),0)+IF(CO69&lt;&gt;"",N(CQ69)*MAX(0,((IF(CP69="",TODAY(),CP69))-CO69)/7),0),1)</f>
        <v/>
      </c>
      <c r="DC69" s="48">
        <f>IF(OR(TRIM(X69)="",TRIM(X69)="NA;",TRIM(X69)="NA"),0,1)</f>
        <v/>
      </c>
      <c r="DD69" s="48">
        <f>IF(OR(TRIM(Y69)="",TRIM(Y69)="NA;",TRIM(Y69)="NA"),0,1)</f>
        <v/>
      </c>
      <c r="DE69" s="48">
        <f>IF(OR(TRIM(Z69)="",TRIM(Z69)="NA;",TRIM(Z69)="NA"),0,1)</f>
        <v/>
      </c>
      <c r="DF69" s="48">
        <f>IF(OR(TRIM(AA69)="",TRIM(AA69)="NA;",TRIM(AA69)="NA"),0,1)</f>
        <v/>
      </c>
      <c r="DG69" s="48">
        <f>IF(OR(TRIM(AB69)="",TRIM(AB69)="NA;",TRIM(AB69)="NA"),0,1)</f>
        <v/>
      </c>
      <c r="DH69" s="48">
        <f>IF(OR(TRIM(AC69)="",TRIM(AC69)="NA;",TRIM(AC69)="NA"),0,1)</f>
        <v/>
      </c>
      <c r="DI69" s="48">
        <f>IF(OR(TRIM(AD69)="",TRIM(AD69)="NA;",TRIM(AD69)="NA"),0,1)</f>
        <v/>
      </c>
      <c r="DJ69" s="48">
        <f>TRIM(IF(DC69=1,"Mon ","")&amp;IF(DD69=1,"Tue ","")&amp;IF(DE69=1,"Wed ","")&amp;IF(DF69=1,"Thu ","")&amp;IF(DG69=1,"Fri ","")&amp;IF(DH69=1,"Sat ","")&amp;IF(DI69=1,"Sun ",""))</f>
        <v/>
      </c>
    </row>
    <row r="70">
      <c r="A70" s="48" t="inlineStr">
        <is>
          <t>T-N-00018</t>
        </is>
      </c>
      <c r="B70" s="48" t="inlineStr">
        <is>
          <t>Sarah Garcia</t>
        </is>
      </c>
      <c r="C70" s="48" t="inlineStr">
        <is>
          <t>sarah.garcia68@example.com</t>
        </is>
      </c>
      <c r="D70" s="48" t="inlineStr">
        <is>
          <t>+61 498 254 673</t>
        </is>
      </c>
      <c r="E70" s="48" t="inlineStr">
        <is>
          <t>Pedro Garcia</t>
        </is>
      </c>
      <c r="F70" s="48" t="inlineStr">
        <is>
          <t>+61 414 851 963</t>
        </is>
      </c>
      <c r="G70" s="48" t="inlineStr">
        <is>
          <t>Caseworker</t>
        </is>
      </c>
      <c r="H70" s="48" t="inlineStr">
        <is>
          <t>Tutor</t>
        </is>
      </c>
      <c r="I70" s="49" t="n">
        <v>45728</v>
      </c>
      <c r="J70" s="48" t="inlineStr">
        <is>
          <t>ADM-INACT-M&amp;T</t>
        </is>
      </c>
      <c r="K70" s="48">
        <f>IFERROR(VLOOKUP(J70,'(A) Introduction'!$B$35:$C$45,2,FALSE),"")</f>
        <v/>
      </c>
      <c r="L70" s="48" t="inlineStr">
        <is>
          <t>No</t>
        </is>
      </c>
      <c r="M70" s="48" t="inlineStr"/>
      <c r="N70" s="48" t="inlineStr"/>
      <c r="O70" s="48" t="n">
        <v>2</v>
      </c>
      <c r="P70" s="48">
        <f>IF($H70="Tutor",((BQ70&lt;&gt;"")*(BR70=""))+((BW70&lt;&gt;"")*(BX70=""))+((CC70&lt;&gt;"")*(CD70=""))+((CI70&lt;&gt;"")*(CJ70=""))+((CO70&lt;&gt;"")*(CP70="")),SUMPRODUCT(--($BO$3:$BO$202=$A70),--($BR$3:$BR$202=""))+SUMPRODUCT(--($BU$3:$BU$202=$A70),--($BX$3:$BX$202=""))+SUMPRODUCT(--($CA$3:$CA$202=$A70),--($CD$3:$CD$202=""))+SUMPRODUCT(--($CG$3:$CG$202=$A70),--($CJ$3:$CJ$202=""))+SUMPRODUCT(--($CM$3:$CM$202=$A70),--($CP$3:$CP$202="")))</f>
        <v/>
      </c>
      <c r="Q70" s="48">
        <f>IF($H70="Tutor",(BQ70&lt;&gt;"")+(BW70&lt;&gt;"")+(CC70&lt;&gt;"")+(CI70&lt;&gt;"")+(CO70&lt;&gt;""),SUMPRODUCT(--($BO$3:$BO$202=$A70))+SUMPRODUCT(--($BU$3:$BU$202=$A70))+SUMPRODUCT(--($CA$3:$CA$202=$A70))+SUMPRODUCT(--($CG$3:$CG$202=$A70))+SUMPRODUCT(--($CM$3:$CM$202=$A70)))</f>
        <v/>
      </c>
      <c r="R70" s="48">
        <f>IF($H70="Tutor",TRIM(IF(AND(BQ70&lt;&gt;"",BR70=""),BP70&amp;"; ","")&amp;IF(AND(BW70&lt;&gt;"",BX70=""),BV70&amp;"; ","")&amp;IF(AND(CC70&lt;&gt;"",CD70=""),CB70&amp;"; ","")&amp;IF(AND(CI70&lt;&gt;"",CJ70=""),CH70&amp;"; ","")&amp;IF(AND(CO70&lt;&gt;"",CP70=""),CN70&amp;"; ","")),IFERROR(INDEX($A$3:$B$202,(SUMPRODUCT(($BO$3:$BO$202=$A70)*($BR$3:$BR$202="")*ROW($BO$3:$BO$202))+SUMPRODUCT(($BU$3:$BU$202=$A70)*($BX$3:$BX$202="")*ROW($BU$3:$BU$202))+SUMPRODUCT(($CA$3:$CA$202=$A70)*($CD$3:$CD$202="")*ROW($CA$3:$CA$202))+SUMPRODUCT(($CG$3:$CG$202=$A70)*($CJ$3:$CJ$202="")*ROW($CG$3:$CG$202))+SUMPRODUCT(($CM$3:$CM$202=$A70)*($CP$3:$CP$202="")*ROW($CM$3:$CM$202)))-2,2),""))</f>
        <v/>
      </c>
      <c r="S70" s="48" t="inlineStr">
        <is>
          <t>Provided</t>
        </is>
      </c>
      <c r="T70" s="48" t="inlineStr"/>
      <c r="U70" s="48" t="inlineStr"/>
      <c r="V70" s="49" t="n">
        <v>45750</v>
      </c>
      <c r="W70" s="48" t="inlineStr">
        <is>
          <t>ACDT (UTC+10:30)</t>
        </is>
      </c>
      <c r="X70" s="48" t="inlineStr">
        <is>
          <t>NA;</t>
        </is>
      </c>
      <c r="Y70" s="48" t="inlineStr">
        <is>
          <t>12pm-3pm;6pm-9pm;</t>
        </is>
      </c>
      <c r="Z70" s="48" t="inlineStr">
        <is>
          <t>6am-9am;9am-12pm;</t>
        </is>
      </c>
      <c r="AA70" s="48" t="inlineStr">
        <is>
          <t>12pm-3pm;6pm-9pm;</t>
        </is>
      </c>
      <c r="AB70" s="48" t="inlineStr">
        <is>
          <t>6pm-9pm;</t>
        </is>
      </c>
      <c r="AC70" s="48" t="inlineStr">
        <is>
          <t>NA;</t>
        </is>
      </c>
      <c r="AD70" s="48" t="inlineStr">
        <is>
          <t>6pm-9pm;</t>
        </is>
      </c>
      <c r="AE70" s="48" t="inlineStr">
        <is>
          <t>In-Person</t>
        </is>
      </c>
      <c r="AF70" s="48" t="inlineStr">
        <is>
          <t>NA - Tutor</t>
        </is>
      </c>
      <c r="AG70" s="48" t="inlineStr">
        <is>
          <t>Australia</t>
        </is>
      </c>
      <c r="AH70" s="48" t="inlineStr">
        <is>
          <t>New South Wales</t>
        </is>
      </c>
      <c r="AI70" s="48" t="inlineStr">
        <is>
          <t>Canterbury</t>
        </is>
      </c>
      <c r="AJ70" s="48" t="inlineStr">
        <is>
          <t>2193</t>
        </is>
      </c>
      <c r="AK70" s="49" t="n">
        <v>26284</v>
      </c>
      <c r="AL70" s="48" t="inlineStr">
        <is>
          <t>Other</t>
        </is>
      </c>
      <c r="AM70" s="48" t="inlineStr">
        <is>
          <t>NA</t>
        </is>
      </c>
      <c r="AN70" s="48" t="inlineStr">
        <is>
          <t>NA - Tutor</t>
        </is>
      </c>
      <c r="AO70" s="48" t="inlineStr">
        <is>
          <t>Moderate</t>
        </is>
      </c>
      <c r="AP70" s="48" t="inlineStr">
        <is>
          <t>China</t>
        </is>
      </c>
      <c r="AQ70" s="48" t="inlineStr">
        <is>
          <t>NA</t>
        </is>
      </c>
      <c r="AR70" s="48" t="inlineStr">
        <is>
          <t>English (C2)</t>
        </is>
      </c>
      <c r="AS70" s="48" t="inlineStr">
        <is>
          <t>Buddhist</t>
        </is>
      </c>
      <c r="AT70" s="48" t="inlineStr">
        <is>
          <t>Labour, Administrative &amp; Clerical</t>
        </is>
      </c>
      <c r="AU70" s="48" t="inlineStr">
        <is>
          <t>Lawyer</t>
        </is>
      </c>
      <c r="AV70" s="48" t="inlineStr">
        <is>
          <t>NA - Tutor</t>
        </is>
      </c>
      <c r="AW70" s="48" t="inlineStr">
        <is>
          <t>Gardening; Cooking; Walking</t>
        </is>
      </c>
      <c r="AX70" s="48" t="inlineStr">
        <is>
          <t>NA - Tutor</t>
        </is>
      </c>
      <c r="AY70" s="48" t="inlineStr">
        <is>
          <t>No</t>
        </is>
      </c>
      <c r="AZ70" s="48" t="inlineStr">
        <is>
          <t>Yes</t>
        </is>
      </c>
      <c r="BA70" s="48" t="inlineStr">
        <is>
          <t>Sofia Yang</t>
        </is>
      </c>
      <c r="BB70" s="48" t="inlineStr">
        <is>
          <t>Academic Referee</t>
        </is>
      </c>
      <c r="BC70" s="48" t="inlineStr">
        <is>
          <t>reza.jones568@example.com</t>
        </is>
      </c>
      <c r="BD70" s="48" t="inlineStr">
        <is>
          <t>Yes</t>
        </is>
      </c>
      <c r="BE70" s="48" t="inlineStr">
        <is>
          <t>WWC8244199V</t>
        </is>
      </c>
      <c r="BF70" s="49" t="n">
        <v>47038</v>
      </c>
      <c r="BG70" s="48" t="inlineStr">
        <is>
          <t>No</t>
        </is>
      </c>
      <c r="BH70" s="48" t="inlineStr">
        <is>
          <t>Adults Only</t>
        </is>
      </c>
      <c r="BI70" s="48" t="inlineStr">
        <is>
          <t>Supporting Asylum Seekers Sydney</t>
        </is>
      </c>
      <c r="BJ70" s="48" t="inlineStr">
        <is>
          <t>CROCK Mary</t>
        </is>
      </c>
      <c r="BK70" s="48" t="inlineStr">
        <is>
          <t>KNIJNIK Marina</t>
        </is>
      </c>
      <c r="BL70" s="48" t="inlineStr">
        <is>
          <t>Synthetic test record.</t>
        </is>
      </c>
      <c r="BM70" s="48" t="inlineStr"/>
      <c r="BN70" s="48">
        <f>TRIM(IF(AND($H70="Student",$J70="ADM-ACT-MAT-CNE"),"Invalid: Student cannot be CNE. ","")&amp;IF(AND($H70="Student",ISNUMBER($O70)),"Check: capacity set for a Student. ","")&amp;IF(AND(LEFT($J70,11)="ADM-ACT-MAT",$P70=0),"Check: matched status but 0 active pairings. ","")&amp;IF(AND($H70="Tutor",ISNUMBER($O70),$P70&gt;$O70),"Check: pairings exceed capacity. ","")&amp;IF(AND($BH70="Everyone",NOT(AND($BD70="Yes",$BG70="Yes"))),"Check: approved to tutor children but WWCC not provided/confirmed. ","")&amp;IF(AND($P70&gt;0,NOT(AND(OR(LEFT($AY70,3)="Yes",LEFT($AY70,2)="NA"),OR(LEFT($AZ70,3)="Yes",LEFT($AZ70,2)="NA")))),"Matched but vetting incomplete (interview/reference). ","")&amp;IF(COUNTIF($B$3:$B$600,$B70)&gt;1,"Duplicate participant name. ",""))</f>
        <v/>
      </c>
      <c r="BO70" s="48" t="inlineStr">
        <is>
          <t>S-O-00050</t>
        </is>
      </c>
      <c r="BP70" s="48">
        <f>IFERROR(VLOOKUP(BO70,$A:$B,2,FALSE),"")</f>
        <v/>
      </c>
      <c r="BQ70" s="49" t="n">
        <v>45701</v>
      </c>
      <c r="BR70" s="49" t="n">
        <v>45777</v>
      </c>
      <c r="BS70" s="48" t="n">
        <v>2</v>
      </c>
      <c r="BT70" s="48" t="inlineStr">
        <is>
          <t>HALLORAN Isobel</t>
        </is>
      </c>
      <c r="BU70" s="48" t="inlineStr"/>
      <c r="BV70" s="48" t="inlineStr"/>
      <c r="BW70" s="48" t="inlineStr"/>
      <c r="BX70" s="48" t="inlineStr"/>
      <c r="BY70" s="48" t="inlineStr"/>
      <c r="BZ70" s="48" t="inlineStr"/>
      <c r="CA70" s="48" t="inlineStr"/>
      <c r="CB70" s="48" t="inlineStr"/>
      <c r="CC70" s="48" t="inlineStr"/>
      <c r="CD70" s="48" t="inlineStr"/>
      <c r="CE70" s="48" t="inlineStr"/>
      <c r="CF70" s="48" t="inlineStr"/>
      <c r="CG70" s="48" t="inlineStr"/>
      <c r="CH70" s="48" t="inlineStr"/>
      <c r="CI70" s="48" t="inlineStr"/>
      <c r="CJ70" s="48" t="inlineStr"/>
      <c r="CK70" s="48" t="inlineStr"/>
      <c r="CL70" s="48" t="inlineStr"/>
      <c r="CM70" s="48" t="inlineStr"/>
      <c r="CN70" s="48" t="inlineStr"/>
      <c r="CO70" s="48" t="inlineStr"/>
      <c r="CP70" s="48" t="inlineStr"/>
      <c r="CQ70" s="48" t="inlineStr"/>
      <c r="CR70" s="48" t="inlineStr"/>
      <c r="CS70" s="48">
        <f>IF(LEFT($J70,3)="ERR",0,1)</f>
        <v/>
      </c>
      <c r="CT70" s="48">
        <f>IF(LEFT($J70,3)="ADM",1,0)</f>
        <v/>
      </c>
      <c r="CU70" s="48">
        <f>IF(OR($J70="ADM-ACT-MAT-CNE",$J70="ADM-ACT-MAT-CE",$J70="ADM-INACT-M&amp;T"),1,0)</f>
        <v/>
      </c>
      <c r="CV70" s="48">
        <f>IF(AND(CU70=1,ISNUMBER(M70),ISNUMBER(I70)),M70-I70,"")</f>
        <v/>
      </c>
      <c r="CW70" s="48">
        <f>IF(ISNUMBER(I70),TODAY()-I70,"")</f>
        <v/>
      </c>
      <c r="CX70" s="48">
        <f>IF(ISNUMBER(I70),DATE(YEAR(I70),MONTH(I70),1),"")</f>
        <v/>
      </c>
      <c r="CY70" s="48">
        <f>IFERROR(DATEDIF(AK70,TODAY(),"y"),"")</f>
        <v/>
      </c>
      <c r="CZ70" s="48">
        <f>IF(CY70="","",IF(CY70&lt;28,"18-27",IF(CY70&lt;38,"28-37",IF(CY70&lt;48,"38-47",IF(CY70&lt;58,"48-57",IF(CY70&lt;68,"58-67",IF(CY70&lt;78,"68-77","78+")))))) </f>
        <v/>
      </c>
      <c r="DA70" s="48">
        <f>IF(AND(BQ70&lt;&gt;"",BR70=""),N(BS70),0)+IF(AND(BW70&lt;&gt;"",BX70=""),N(BY70),0)+IF(AND(CC70&lt;&gt;"",CD70=""),N(CE70),0)+IF(AND(CI70&lt;&gt;"",CJ70=""),N(CK70),0)+IF(AND(CO70&lt;&gt;"",CP70=""),N(CQ70),0)</f>
        <v/>
      </c>
      <c r="DB70" s="48">
        <f>ROUND(IF(BQ70&lt;&gt;"",N(BS70)*MAX(0,((IF(BR70="",TODAY(),BR70))-BQ70)/7),0)+IF(BW70&lt;&gt;"",N(BY70)*MAX(0,((IF(BX70="",TODAY(),BX70))-BW70)/7),0)+IF(CC70&lt;&gt;"",N(CE70)*MAX(0,((IF(CD70="",TODAY(),CD70))-CC70)/7),0)+IF(CI70&lt;&gt;"",N(CK70)*MAX(0,((IF(CJ70="",TODAY(),CJ70))-CI70)/7),0)+IF(CO70&lt;&gt;"",N(CQ70)*MAX(0,((IF(CP70="",TODAY(),CP70))-CO70)/7),0),1)</f>
        <v/>
      </c>
      <c r="DC70" s="48">
        <f>IF(OR(TRIM(X70)="",TRIM(X70)="NA;",TRIM(X70)="NA"),0,1)</f>
        <v/>
      </c>
      <c r="DD70" s="48">
        <f>IF(OR(TRIM(Y70)="",TRIM(Y70)="NA;",TRIM(Y70)="NA"),0,1)</f>
        <v/>
      </c>
      <c r="DE70" s="48">
        <f>IF(OR(TRIM(Z70)="",TRIM(Z70)="NA;",TRIM(Z70)="NA"),0,1)</f>
        <v/>
      </c>
      <c r="DF70" s="48">
        <f>IF(OR(TRIM(AA70)="",TRIM(AA70)="NA;",TRIM(AA70)="NA"),0,1)</f>
        <v/>
      </c>
      <c r="DG70" s="48">
        <f>IF(OR(TRIM(AB70)="",TRIM(AB70)="NA;",TRIM(AB70)="NA"),0,1)</f>
        <v/>
      </c>
      <c r="DH70" s="48">
        <f>IF(OR(TRIM(AC70)="",TRIM(AC70)="NA;",TRIM(AC70)="NA"),0,1)</f>
        <v/>
      </c>
      <c r="DI70" s="48">
        <f>IF(OR(TRIM(AD70)="",TRIM(AD70)="NA;",TRIM(AD70)="NA"),0,1)</f>
        <v/>
      </c>
      <c r="DJ70" s="48">
        <f>TRIM(IF(DC70=1,"Mon ","")&amp;IF(DD70=1,"Tue ","")&amp;IF(DE70=1,"Wed ","")&amp;IF(DF70=1,"Thu ","")&amp;IF(DG70=1,"Fri ","")&amp;IF(DH70=1,"Sat ","")&amp;IF(DI70=1,"Sun ",""))</f>
        <v/>
      </c>
    </row>
    <row r="71">
      <c r="A71" s="48" t="inlineStr">
        <is>
          <t>T-N-00019</t>
        </is>
      </c>
      <c r="B71" s="48" t="inlineStr">
        <is>
          <t>Carlos Walker</t>
        </is>
      </c>
      <c r="C71" s="48" t="inlineStr">
        <is>
          <t>carlos.walker69@example.com</t>
        </is>
      </c>
      <c r="D71" s="48" t="inlineStr">
        <is>
          <t>+61 444 487 099</t>
        </is>
      </c>
      <c r="E71" s="48" t="inlineStr">
        <is>
          <t>Emily Ahmed</t>
        </is>
      </c>
      <c r="F71" s="48" t="inlineStr">
        <is>
          <t>+61 423 655 673</t>
        </is>
      </c>
      <c r="G71" s="48" t="inlineStr">
        <is>
          <t>Adult Child</t>
        </is>
      </c>
      <c r="H71" s="48" t="inlineStr">
        <is>
          <t>Tutor</t>
        </is>
      </c>
      <c r="I71" s="49" t="n">
        <v>45755</v>
      </c>
      <c r="J71" s="48" t="inlineStr">
        <is>
          <t>ADM-ACT-UNMAT</t>
        </is>
      </c>
      <c r="K71" s="48">
        <f>IFERROR(VLOOKUP(J71,'(A) Introduction'!$B$35:$C$45,2,FALSE),"")</f>
        <v/>
      </c>
      <c r="L71" s="48" t="inlineStr">
        <is>
          <t>No</t>
        </is>
      </c>
      <c r="M71" s="48" t="inlineStr"/>
      <c r="N71" s="48" t="inlineStr"/>
      <c r="O71" s="48" t="n">
        <v>2</v>
      </c>
      <c r="P71" s="48">
        <f>IF($H71="Tutor",((BQ71&lt;&gt;"")*(BR71=""))+((BW71&lt;&gt;"")*(BX71=""))+((CC71&lt;&gt;"")*(CD71=""))+((CI71&lt;&gt;"")*(CJ71=""))+((CO71&lt;&gt;"")*(CP71="")),SUMPRODUCT(--($BO$3:$BO$202=$A71),--($BR$3:$BR$202=""))+SUMPRODUCT(--($BU$3:$BU$202=$A71),--($BX$3:$BX$202=""))+SUMPRODUCT(--($CA$3:$CA$202=$A71),--($CD$3:$CD$202=""))+SUMPRODUCT(--($CG$3:$CG$202=$A71),--($CJ$3:$CJ$202=""))+SUMPRODUCT(--($CM$3:$CM$202=$A71),--($CP$3:$CP$202="")))</f>
        <v/>
      </c>
      <c r="Q71" s="48">
        <f>IF($H71="Tutor",(BQ71&lt;&gt;"")+(BW71&lt;&gt;"")+(CC71&lt;&gt;"")+(CI71&lt;&gt;"")+(CO71&lt;&gt;""),SUMPRODUCT(--($BO$3:$BO$202=$A71))+SUMPRODUCT(--($BU$3:$BU$202=$A71))+SUMPRODUCT(--($CA$3:$CA$202=$A71))+SUMPRODUCT(--($CG$3:$CG$202=$A71))+SUMPRODUCT(--($CM$3:$CM$202=$A71)))</f>
        <v/>
      </c>
      <c r="R71" s="48">
        <f>IF($H71="Tutor",TRIM(IF(AND(BQ71&lt;&gt;"",BR71=""),BP71&amp;"; ","")&amp;IF(AND(BW71&lt;&gt;"",BX71=""),BV71&amp;"; ","")&amp;IF(AND(CC71&lt;&gt;"",CD71=""),CB71&amp;"; ","")&amp;IF(AND(CI71&lt;&gt;"",CJ71=""),CH71&amp;"; ","")&amp;IF(AND(CO71&lt;&gt;"",CP71=""),CN71&amp;"; ","")),IFERROR(INDEX($A$3:$B$202,(SUMPRODUCT(($BO$3:$BO$202=$A71)*($BR$3:$BR$202="")*ROW($BO$3:$BO$202))+SUMPRODUCT(($BU$3:$BU$202=$A71)*($BX$3:$BX$202="")*ROW($BU$3:$BU$202))+SUMPRODUCT(($CA$3:$CA$202=$A71)*($CD$3:$CD$202="")*ROW($CA$3:$CA$202))+SUMPRODUCT(($CG$3:$CG$202=$A71)*($CJ$3:$CJ$202="")*ROW($CG$3:$CG$202))+SUMPRODUCT(($CM$3:$CM$202=$A71)*($CP$3:$CP$202="")*ROW($CM$3:$CM$202)))-2,2),""))</f>
        <v/>
      </c>
      <c r="S71" s="48" t="inlineStr">
        <is>
          <t>NA</t>
        </is>
      </c>
      <c r="T71" s="48" t="inlineStr"/>
      <c r="U71" s="48" t="inlineStr"/>
      <c r="V71" s="49" t="n">
        <v>45723</v>
      </c>
      <c r="W71" s="48" t="inlineStr">
        <is>
          <t>ACDT (UTC+10:30)</t>
        </is>
      </c>
      <c r="X71" s="48" t="inlineStr">
        <is>
          <t>6pm-9pm;</t>
        </is>
      </c>
      <c r="Y71" s="48" t="inlineStr">
        <is>
          <t>6am-9am;9am-12pm;</t>
        </is>
      </c>
      <c r="Z71" s="48" t="inlineStr">
        <is>
          <t>6pm-9pm;</t>
        </is>
      </c>
      <c r="AA71" s="48" t="inlineStr">
        <is>
          <t>3pm-6pm;</t>
        </is>
      </c>
      <c r="AB71" s="48" t="inlineStr">
        <is>
          <t>NA;</t>
        </is>
      </c>
      <c r="AC71" s="48" t="inlineStr">
        <is>
          <t>6pm-9pm;</t>
        </is>
      </c>
      <c r="AD71" s="48" t="inlineStr">
        <is>
          <t>NA;</t>
        </is>
      </c>
      <c r="AE71" s="48" t="inlineStr">
        <is>
          <t>In-Person</t>
        </is>
      </c>
      <c r="AF71" s="48" t="inlineStr">
        <is>
          <t>NA - Tutor</t>
        </is>
      </c>
      <c r="AG71" s="48" t="inlineStr">
        <is>
          <t>Australia</t>
        </is>
      </c>
      <c r="AH71" s="48" t="inlineStr">
        <is>
          <t>Victoria</t>
        </is>
      </c>
      <c r="AI71" s="48" t="inlineStr">
        <is>
          <t>Footscray</t>
        </is>
      </c>
      <c r="AJ71" s="48" t="inlineStr">
        <is>
          <t>3011</t>
        </is>
      </c>
      <c r="AK71" s="49" t="n">
        <v>33263</v>
      </c>
      <c r="AL71" s="48" t="inlineStr">
        <is>
          <t>Female</t>
        </is>
      </c>
      <c r="AM71" s="48" t="inlineStr">
        <is>
          <t>NA</t>
        </is>
      </c>
      <c r="AN71" s="48" t="inlineStr">
        <is>
          <t>NA - Tutor</t>
        </is>
      </c>
      <c r="AO71" s="48" t="inlineStr">
        <is>
          <t>Moderate</t>
        </is>
      </c>
      <c r="AP71" s="48" t="inlineStr">
        <is>
          <t>United Kingdom</t>
        </is>
      </c>
      <c r="AQ71" s="48" t="inlineStr">
        <is>
          <t>NA</t>
        </is>
      </c>
      <c r="AR71" s="48" t="inlineStr">
        <is>
          <t>English (C2)</t>
        </is>
      </c>
      <c r="AS71" s="48" t="inlineStr">
        <is>
          <t>Christian (Orthodox)</t>
        </is>
      </c>
      <c r="AT71" s="48" t="inlineStr">
        <is>
          <t>Military &amp; Public Safety</t>
        </is>
      </c>
      <c r="AU71" s="48" t="inlineStr">
        <is>
          <t>Nurse</t>
        </is>
      </c>
      <c r="AV71" s="48" t="inlineStr">
        <is>
          <t>NA - Tutor</t>
        </is>
      </c>
      <c r="AW71" s="48" t="inlineStr">
        <is>
          <t>Football; Cooking; Family</t>
        </is>
      </c>
      <c r="AX71" s="48" t="inlineStr">
        <is>
          <t>NA - Tutor</t>
        </is>
      </c>
      <c r="AY71" s="48" t="inlineStr">
        <is>
          <t>Yes</t>
        </is>
      </c>
      <c r="AZ71" s="48" t="inlineStr">
        <is>
          <t>No</t>
        </is>
      </c>
      <c r="BA71" s="48" t="inlineStr">
        <is>
          <t>Hala Drobushar</t>
        </is>
      </c>
      <c r="BB71" s="48" t="inlineStr">
        <is>
          <t>Manager</t>
        </is>
      </c>
      <c r="BC71" s="48" t="inlineStr">
        <is>
          <t>bilal.wright569@example.com</t>
        </is>
      </c>
      <c r="BD71" s="48" t="inlineStr">
        <is>
          <t>Pending</t>
        </is>
      </c>
      <c r="BE71" s="48" t="inlineStr"/>
      <c r="BF71" s="48" t="inlineStr"/>
      <c r="BG71" s="48" t="inlineStr">
        <is>
          <t>Yes</t>
        </is>
      </c>
      <c r="BH71" s="48" t="inlineStr">
        <is>
          <t>Adults Only</t>
        </is>
      </c>
      <c r="BI71" s="48" t="inlineStr">
        <is>
          <t>STARTTS</t>
        </is>
      </c>
      <c r="BJ71" s="48" t="inlineStr">
        <is>
          <t>HERVIR Oliver</t>
        </is>
      </c>
      <c r="BK71" s="48" t="inlineStr">
        <is>
          <t>MCCRORIE John</t>
        </is>
      </c>
      <c r="BL71" s="48" t="inlineStr">
        <is>
          <t>Synthetic test record.</t>
        </is>
      </c>
      <c r="BM71" s="48" t="inlineStr"/>
      <c r="BN71" s="48">
        <f>TRIM(IF(AND($H71="Student",$J71="ADM-ACT-MAT-CNE"),"Invalid: Student cannot be CNE. ","")&amp;IF(AND($H71="Student",ISNUMBER($O71)),"Check: capacity set for a Student. ","")&amp;IF(AND(LEFT($J71,11)="ADM-ACT-MAT",$P71=0),"Check: matched status but 0 active pairings. ","")&amp;IF(AND($H71="Tutor",ISNUMBER($O71),$P71&gt;$O71),"Check: pairings exceed capacity. ","")&amp;IF(AND($BH71="Everyone",NOT(AND($BD71="Yes",$BG71="Yes"))),"Check: approved to tutor children but WWCC not provided/confirmed. ","")&amp;IF(AND($P71&gt;0,NOT(AND(OR(LEFT($AY71,3)="Yes",LEFT($AY71,2)="NA"),OR(LEFT($AZ71,3)="Yes",LEFT($AZ71,2)="NA")))),"Matched but vetting incomplete (interview/reference). ","")&amp;IF(COUNTIF($B$3:$B$600,$B71)&gt;1,"Duplicate participant name. ",""))</f>
        <v/>
      </c>
      <c r="BO71" s="48" t="inlineStr"/>
      <c r="BP71" s="48" t="inlineStr"/>
      <c r="BQ71" s="48" t="inlineStr"/>
      <c r="BR71" s="48" t="inlineStr"/>
      <c r="BS71" s="48" t="inlineStr"/>
      <c r="BT71" s="48" t="inlineStr"/>
      <c r="BU71" s="48" t="inlineStr"/>
      <c r="BV71" s="48" t="inlineStr"/>
      <c r="BW71" s="48" t="inlineStr"/>
      <c r="BX71" s="48" t="inlineStr"/>
      <c r="BY71" s="48" t="inlineStr"/>
      <c r="BZ71" s="48" t="inlineStr"/>
      <c r="CA71" s="48" t="inlineStr"/>
      <c r="CB71" s="48" t="inlineStr"/>
      <c r="CC71" s="48" t="inlineStr"/>
      <c r="CD71" s="48" t="inlineStr"/>
      <c r="CE71" s="48" t="inlineStr"/>
      <c r="CF71" s="48" t="inlineStr"/>
      <c r="CG71" s="48" t="inlineStr"/>
      <c r="CH71" s="48" t="inlineStr"/>
      <c r="CI71" s="48" t="inlineStr"/>
      <c r="CJ71" s="48" t="inlineStr"/>
      <c r="CK71" s="48" t="inlineStr"/>
      <c r="CL71" s="48" t="inlineStr"/>
      <c r="CM71" s="48" t="inlineStr"/>
      <c r="CN71" s="48" t="inlineStr"/>
      <c r="CO71" s="48" t="inlineStr"/>
      <c r="CP71" s="48" t="inlineStr"/>
      <c r="CQ71" s="48" t="inlineStr"/>
      <c r="CR71" s="48" t="inlineStr"/>
      <c r="CS71" s="48">
        <f>IF(LEFT($J71,3)="ERR",0,1)</f>
        <v/>
      </c>
      <c r="CT71" s="48">
        <f>IF(LEFT($J71,3)="ADM",1,0)</f>
        <v/>
      </c>
      <c r="CU71" s="48">
        <f>IF(OR($J71="ADM-ACT-MAT-CNE",$J71="ADM-ACT-MAT-CE",$J71="ADM-INACT-M&amp;T"),1,0)</f>
        <v/>
      </c>
      <c r="CV71" s="48">
        <f>IF(AND(CU71=1,ISNUMBER(M71),ISNUMBER(I71)),M71-I71,"")</f>
        <v/>
      </c>
      <c r="CW71" s="48">
        <f>IF(ISNUMBER(I71),TODAY()-I71,"")</f>
        <v/>
      </c>
      <c r="CX71" s="48">
        <f>IF(ISNUMBER(I71),DATE(YEAR(I71),MONTH(I71),1),"")</f>
        <v/>
      </c>
      <c r="CY71" s="48">
        <f>IFERROR(DATEDIF(AK71,TODAY(),"y"),"")</f>
        <v/>
      </c>
      <c r="CZ71" s="48">
        <f>IF(CY71="","",IF(CY71&lt;28,"18-27",IF(CY71&lt;38,"28-37",IF(CY71&lt;48,"38-47",IF(CY71&lt;58,"48-57",IF(CY71&lt;68,"58-67",IF(CY71&lt;78,"68-77","78+")))))) </f>
        <v/>
      </c>
      <c r="DA71" s="48">
        <f>IF(AND(BQ71&lt;&gt;"",BR71=""),N(BS71),0)+IF(AND(BW71&lt;&gt;"",BX71=""),N(BY71),0)+IF(AND(CC71&lt;&gt;"",CD71=""),N(CE71),0)+IF(AND(CI71&lt;&gt;"",CJ71=""),N(CK71),0)+IF(AND(CO71&lt;&gt;"",CP71=""),N(CQ71),0)</f>
        <v/>
      </c>
      <c r="DB71" s="48">
        <f>ROUND(IF(BQ71&lt;&gt;"",N(BS71)*MAX(0,((IF(BR71="",TODAY(),BR71))-BQ71)/7),0)+IF(BW71&lt;&gt;"",N(BY71)*MAX(0,((IF(BX71="",TODAY(),BX71))-BW71)/7),0)+IF(CC71&lt;&gt;"",N(CE71)*MAX(0,((IF(CD71="",TODAY(),CD71))-CC71)/7),0)+IF(CI71&lt;&gt;"",N(CK71)*MAX(0,((IF(CJ71="",TODAY(),CJ71))-CI71)/7),0)+IF(CO71&lt;&gt;"",N(CQ71)*MAX(0,((IF(CP71="",TODAY(),CP71))-CO71)/7),0),1)</f>
        <v/>
      </c>
      <c r="DC71" s="48">
        <f>IF(OR(TRIM(X71)="",TRIM(X71)="NA;",TRIM(X71)="NA"),0,1)</f>
        <v/>
      </c>
      <c r="DD71" s="48">
        <f>IF(OR(TRIM(Y71)="",TRIM(Y71)="NA;",TRIM(Y71)="NA"),0,1)</f>
        <v/>
      </c>
      <c r="DE71" s="48">
        <f>IF(OR(TRIM(Z71)="",TRIM(Z71)="NA;",TRIM(Z71)="NA"),0,1)</f>
        <v/>
      </c>
      <c r="DF71" s="48">
        <f>IF(OR(TRIM(AA71)="",TRIM(AA71)="NA;",TRIM(AA71)="NA"),0,1)</f>
        <v/>
      </c>
      <c r="DG71" s="48">
        <f>IF(OR(TRIM(AB71)="",TRIM(AB71)="NA;",TRIM(AB71)="NA"),0,1)</f>
        <v/>
      </c>
      <c r="DH71" s="48">
        <f>IF(OR(TRIM(AC71)="",TRIM(AC71)="NA;",TRIM(AC71)="NA"),0,1)</f>
        <v/>
      </c>
      <c r="DI71" s="48">
        <f>IF(OR(TRIM(AD71)="",TRIM(AD71)="NA;",TRIM(AD71)="NA"),0,1)</f>
        <v/>
      </c>
      <c r="DJ71" s="48">
        <f>TRIM(IF(DC71=1,"Mon ","")&amp;IF(DD71=1,"Tue ","")&amp;IF(DE71=1,"Wed ","")&amp;IF(DF71=1,"Thu ","")&amp;IF(DG71=1,"Fri ","")&amp;IF(DH71=1,"Sat ","")&amp;IF(DI71=1,"Sun ",""))</f>
        <v/>
      </c>
    </row>
    <row r="72">
      <c r="A72" s="48" t="inlineStr">
        <is>
          <t>T-N-00020</t>
        </is>
      </c>
      <c r="B72" s="48" t="inlineStr">
        <is>
          <t>Nour Slaytor</t>
        </is>
      </c>
      <c r="C72" s="48" t="inlineStr">
        <is>
          <t>nour.slaytor70@example.com</t>
        </is>
      </c>
      <c r="D72" s="48" t="inlineStr">
        <is>
          <t>+61 490 219 210</t>
        </is>
      </c>
      <c r="E72" s="48" t="inlineStr">
        <is>
          <t>Mark Bourne</t>
        </is>
      </c>
      <c r="F72" s="48" t="inlineStr">
        <is>
          <t>+61 478 604 086</t>
        </is>
      </c>
      <c r="G72" s="48" t="inlineStr">
        <is>
          <t>Caseworker</t>
        </is>
      </c>
      <c r="H72" s="48" t="inlineStr">
        <is>
          <t>Tutor</t>
        </is>
      </c>
      <c r="I72" s="49" t="n">
        <v>45760</v>
      </c>
      <c r="J72" s="48" t="inlineStr">
        <is>
          <t>NADM-REJ-UNSUIT</t>
        </is>
      </c>
      <c r="K72" s="48">
        <f>IFERROR(VLOOKUP(J72,'(A) Introduction'!$B$35:$C$45,2,FALSE),"")</f>
        <v/>
      </c>
      <c r="L72" s="48" t="inlineStr">
        <is>
          <t>No</t>
        </is>
      </c>
      <c r="M72" s="48" t="inlineStr"/>
      <c r="N72" s="48" t="inlineStr"/>
      <c r="O72" s="48" t="n">
        <v>2</v>
      </c>
      <c r="P72" s="48">
        <f>IF($H72="Tutor",((BQ72&lt;&gt;"")*(BR72=""))+((BW72&lt;&gt;"")*(BX72=""))+((CC72&lt;&gt;"")*(CD72=""))+((CI72&lt;&gt;"")*(CJ72=""))+((CO72&lt;&gt;"")*(CP72="")),SUMPRODUCT(--($BO$3:$BO$202=$A72),--($BR$3:$BR$202=""))+SUMPRODUCT(--($BU$3:$BU$202=$A72),--($BX$3:$BX$202=""))+SUMPRODUCT(--($CA$3:$CA$202=$A72),--($CD$3:$CD$202=""))+SUMPRODUCT(--($CG$3:$CG$202=$A72),--($CJ$3:$CJ$202=""))+SUMPRODUCT(--($CM$3:$CM$202=$A72),--($CP$3:$CP$202="")))</f>
        <v/>
      </c>
      <c r="Q72" s="48">
        <f>IF($H72="Tutor",(BQ72&lt;&gt;"")+(BW72&lt;&gt;"")+(CC72&lt;&gt;"")+(CI72&lt;&gt;"")+(CO72&lt;&gt;""),SUMPRODUCT(--($BO$3:$BO$202=$A72))+SUMPRODUCT(--($BU$3:$BU$202=$A72))+SUMPRODUCT(--($CA$3:$CA$202=$A72))+SUMPRODUCT(--($CG$3:$CG$202=$A72))+SUMPRODUCT(--($CM$3:$CM$202=$A72)))</f>
        <v/>
      </c>
      <c r="R72" s="48">
        <f>IF($H72="Tutor",TRIM(IF(AND(BQ72&lt;&gt;"",BR72=""),BP72&amp;"; ","")&amp;IF(AND(BW72&lt;&gt;"",BX72=""),BV72&amp;"; ","")&amp;IF(AND(CC72&lt;&gt;"",CD72=""),CB72&amp;"; ","")&amp;IF(AND(CI72&lt;&gt;"",CJ72=""),CH72&amp;"; ","")&amp;IF(AND(CO72&lt;&gt;"",CP72=""),CN72&amp;"; ","")),IFERROR(INDEX($A$3:$B$202,(SUMPRODUCT(($BO$3:$BO$202=$A72)*($BR$3:$BR$202="")*ROW($BO$3:$BO$202))+SUMPRODUCT(($BU$3:$BU$202=$A72)*($BX$3:$BX$202="")*ROW($BU$3:$BU$202))+SUMPRODUCT(($CA$3:$CA$202=$A72)*($CD$3:$CD$202="")*ROW($CA$3:$CA$202))+SUMPRODUCT(($CG$3:$CG$202=$A72)*($CJ$3:$CJ$202="")*ROW($CG$3:$CG$202))+SUMPRODUCT(($CM$3:$CM$202=$A72)*($CP$3:$CP$202="")*ROW($CM$3:$CM$202)))-2,2),""))</f>
        <v/>
      </c>
      <c r="S72" s="48" t="inlineStr">
        <is>
          <t>NA</t>
        </is>
      </c>
      <c r="T72" s="48" t="inlineStr"/>
      <c r="U72" s="48" t="inlineStr"/>
      <c r="V72" s="48" t="inlineStr"/>
      <c r="W72" s="48" t="inlineStr">
        <is>
          <t>AWST (UTC+8)</t>
        </is>
      </c>
      <c r="X72" s="48" t="inlineStr">
        <is>
          <t>6pm-9pm;</t>
        </is>
      </c>
      <c r="Y72" s="48" t="inlineStr">
        <is>
          <t>6pm-9pm;</t>
        </is>
      </c>
      <c r="Z72" s="48" t="inlineStr">
        <is>
          <t>9am-12pm;12pm-3pm;3pm-6pm;</t>
        </is>
      </c>
      <c r="AA72" s="48" t="inlineStr">
        <is>
          <t>9am-12pm;</t>
        </is>
      </c>
      <c r="AB72" s="48" t="inlineStr">
        <is>
          <t>6am-9am;9am-12pm;</t>
        </is>
      </c>
      <c r="AC72" s="48" t="inlineStr">
        <is>
          <t>6am-9am;9am-12pm;</t>
        </is>
      </c>
      <c r="AD72" s="48" t="inlineStr">
        <is>
          <t>12pm-3pm;</t>
        </is>
      </c>
      <c r="AE72" s="48" t="inlineStr">
        <is>
          <t>In-Person</t>
        </is>
      </c>
      <c r="AF72" s="48" t="inlineStr">
        <is>
          <t>NA - Tutor</t>
        </is>
      </c>
      <c r="AG72" s="48" t="inlineStr">
        <is>
          <t>Australia</t>
        </is>
      </c>
      <c r="AH72" s="48" t="inlineStr">
        <is>
          <t>New South Wales</t>
        </is>
      </c>
      <c r="AI72" s="48" t="inlineStr">
        <is>
          <t>Bardia</t>
        </is>
      </c>
      <c r="AJ72" s="48" t="inlineStr">
        <is>
          <t>2565</t>
        </is>
      </c>
      <c r="AK72" s="49" t="n">
        <v>24514</v>
      </c>
      <c r="AL72" s="48" t="inlineStr">
        <is>
          <t>Male</t>
        </is>
      </c>
      <c r="AM72" s="48" t="inlineStr">
        <is>
          <t>NA</t>
        </is>
      </c>
      <c r="AN72" s="48" t="inlineStr">
        <is>
          <t>NA - Tutor</t>
        </is>
      </c>
      <c r="AO72" s="48" t="inlineStr">
        <is>
          <t>Outstanding</t>
        </is>
      </c>
      <c r="AP72" s="48" t="inlineStr">
        <is>
          <t>Lebanon</t>
        </is>
      </c>
      <c r="AQ72" s="48" t="inlineStr">
        <is>
          <t>NA</t>
        </is>
      </c>
      <c r="AR72" s="48" t="inlineStr">
        <is>
          <t>English (C2)</t>
        </is>
      </c>
      <c r="AS72" s="48" t="inlineStr">
        <is>
          <t>Buddhist</t>
        </is>
      </c>
      <c r="AT72" s="48" t="inlineStr">
        <is>
          <t>Social &amp; Community Services</t>
        </is>
      </c>
      <c r="AU72" s="48" t="inlineStr">
        <is>
          <t>Cleaner</t>
        </is>
      </c>
      <c r="AV72" s="48" t="inlineStr">
        <is>
          <t>NA - Tutor</t>
        </is>
      </c>
      <c r="AW72" s="48" t="inlineStr">
        <is>
          <t>Football; Cooking; Family</t>
        </is>
      </c>
      <c r="AX72" s="48" t="inlineStr">
        <is>
          <t>NA - Tutor</t>
        </is>
      </c>
      <c r="AY72" s="48" t="inlineStr">
        <is>
          <t>NA - RELT Member Verified</t>
        </is>
      </c>
      <c r="AZ72" s="48" t="inlineStr">
        <is>
          <t>Yes</t>
        </is>
      </c>
      <c r="BA72" s="48" t="inlineStr">
        <is>
          <t>Nadia Marks</t>
        </is>
      </c>
      <c r="BB72" s="48" t="inlineStr">
        <is>
          <t>Colleague</t>
        </is>
      </c>
      <c r="BC72" s="48" t="inlineStr">
        <is>
          <t>omar.bourne570@example.com</t>
        </is>
      </c>
      <c r="BD72" s="48" t="inlineStr">
        <is>
          <t>Yes</t>
        </is>
      </c>
      <c r="BE72" s="48" t="inlineStr">
        <is>
          <t>WWC5878387E</t>
        </is>
      </c>
      <c r="BF72" s="49" t="n">
        <v>47021</v>
      </c>
      <c r="BG72" s="48" t="inlineStr">
        <is>
          <t>Yes</t>
        </is>
      </c>
      <c r="BH72" s="48" t="inlineStr">
        <is>
          <t>Everyone</t>
        </is>
      </c>
      <c r="BI72" s="48" t="inlineStr">
        <is>
          <t>STARTTS</t>
        </is>
      </c>
      <c r="BJ72" s="48" t="inlineStr">
        <is>
          <t>SINGH Veera</t>
        </is>
      </c>
      <c r="BK72" s="48" t="inlineStr">
        <is>
          <t>HALLORAN Isobel</t>
        </is>
      </c>
      <c r="BL72" s="48" t="inlineStr">
        <is>
          <t>Synthetic test record.</t>
        </is>
      </c>
      <c r="BM72" s="48" t="inlineStr"/>
      <c r="BN72" s="48">
        <f>TRIM(IF(AND($H72="Student",$J72="ADM-ACT-MAT-CNE"),"Invalid: Student cannot be CNE. ","")&amp;IF(AND($H72="Student",ISNUMBER($O72)),"Check: capacity set for a Student. ","")&amp;IF(AND(LEFT($J72,11)="ADM-ACT-MAT",$P72=0),"Check: matched status but 0 active pairings. ","")&amp;IF(AND($H72="Tutor",ISNUMBER($O72),$P72&gt;$O72),"Check: pairings exceed capacity. ","")&amp;IF(AND($BH72="Everyone",NOT(AND($BD72="Yes",$BG72="Yes"))),"Check: approved to tutor children but WWCC not provided/confirmed. ","")&amp;IF(AND($P72&gt;0,NOT(AND(OR(LEFT($AY72,3)="Yes",LEFT($AY72,2)="NA"),OR(LEFT($AZ72,3)="Yes",LEFT($AZ72,2)="NA")))),"Matched but vetting incomplete (interview/reference). ","")&amp;IF(COUNTIF($B$3:$B$600,$B72)&gt;1,"Duplicate participant name. ",""))</f>
        <v/>
      </c>
      <c r="BO72" s="48" t="inlineStr"/>
      <c r="BP72" s="48" t="inlineStr"/>
      <c r="BQ72" s="48" t="inlineStr"/>
      <c r="BR72" s="48" t="inlineStr"/>
      <c r="BS72" s="48" t="inlineStr"/>
      <c r="BT72" s="48" t="inlineStr"/>
      <c r="BU72" s="48" t="inlineStr"/>
      <c r="BV72" s="48" t="inlineStr"/>
      <c r="BW72" s="48" t="inlineStr"/>
      <c r="BX72" s="48" t="inlineStr"/>
      <c r="BY72" s="48" t="inlineStr"/>
      <c r="BZ72" s="48" t="inlineStr"/>
      <c r="CA72" s="48" t="inlineStr"/>
      <c r="CB72" s="48" t="inlineStr"/>
      <c r="CC72" s="48" t="inlineStr"/>
      <c r="CD72" s="48" t="inlineStr"/>
      <c r="CE72" s="48" t="inlineStr"/>
      <c r="CF72" s="48" t="inlineStr"/>
      <c r="CG72" s="48" t="inlineStr"/>
      <c r="CH72" s="48" t="inlineStr"/>
      <c r="CI72" s="48" t="inlineStr"/>
      <c r="CJ72" s="48" t="inlineStr"/>
      <c r="CK72" s="48" t="inlineStr"/>
      <c r="CL72" s="48" t="inlineStr"/>
      <c r="CM72" s="48" t="inlineStr"/>
      <c r="CN72" s="48" t="inlineStr"/>
      <c r="CO72" s="48" t="inlineStr"/>
      <c r="CP72" s="48" t="inlineStr"/>
      <c r="CQ72" s="48" t="inlineStr"/>
      <c r="CR72" s="48" t="inlineStr"/>
      <c r="CS72" s="48">
        <f>IF(LEFT($J72,3)="ERR",0,1)</f>
        <v/>
      </c>
      <c r="CT72" s="48">
        <f>IF(LEFT($J72,3)="ADM",1,0)</f>
        <v/>
      </c>
      <c r="CU72" s="48">
        <f>IF(OR($J72="ADM-ACT-MAT-CNE",$J72="ADM-ACT-MAT-CE",$J72="ADM-INACT-M&amp;T"),1,0)</f>
        <v/>
      </c>
      <c r="CV72" s="48">
        <f>IF(AND(CU72=1,ISNUMBER(M72),ISNUMBER(I72)),M72-I72,"")</f>
        <v/>
      </c>
      <c r="CW72" s="48">
        <f>IF(ISNUMBER(I72),TODAY()-I72,"")</f>
        <v/>
      </c>
      <c r="CX72" s="48">
        <f>IF(ISNUMBER(I72),DATE(YEAR(I72),MONTH(I72),1),"")</f>
        <v/>
      </c>
      <c r="CY72" s="48">
        <f>IFERROR(DATEDIF(AK72,TODAY(),"y"),"")</f>
        <v/>
      </c>
      <c r="CZ72" s="48">
        <f>IF(CY72="","",IF(CY72&lt;28,"18-27",IF(CY72&lt;38,"28-37",IF(CY72&lt;48,"38-47",IF(CY72&lt;58,"48-57",IF(CY72&lt;68,"58-67",IF(CY72&lt;78,"68-77","78+")))))) </f>
        <v/>
      </c>
      <c r="DA72" s="48">
        <f>IF(AND(BQ72&lt;&gt;"",BR72=""),N(BS72),0)+IF(AND(BW72&lt;&gt;"",BX72=""),N(BY72),0)+IF(AND(CC72&lt;&gt;"",CD72=""),N(CE72),0)+IF(AND(CI72&lt;&gt;"",CJ72=""),N(CK72),0)+IF(AND(CO72&lt;&gt;"",CP72=""),N(CQ72),0)</f>
        <v/>
      </c>
      <c r="DB72" s="48">
        <f>ROUND(IF(BQ72&lt;&gt;"",N(BS72)*MAX(0,((IF(BR72="",TODAY(),BR72))-BQ72)/7),0)+IF(BW72&lt;&gt;"",N(BY72)*MAX(0,((IF(BX72="",TODAY(),BX72))-BW72)/7),0)+IF(CC72&lt;&gt;"",N(CE72)*MAX(0,((IF(CD72="",TODAY(),CD72))-CC72)/7),0)+IF(CI72&lt;&gt;"",N(CK72)*MAX(0,((IF(CJ72="",TODAY(),CJ72))-CI72)/7),0)+IF(CO72&lt;&gt;"",N(CQ72)*MAX(0,((IF(CP72="",TODAY(),CP72))-CO72)/7),0),1)</f>
        <v/>
      </c>
      <c r="DC72" s="48">
        <f>IF(OR(TRIM(X72)="",TRIM(X72)="NA;",TRIM(X72)="NA"),0,1)</f>
        <v/>
      </c>
      <c r="DD72" s="48">
        <f>IF(OR(TRIM(Y72)="",TRIM(Y72)="NA;",TRIM(Y72)="NA"),0,1)</f>
        <v/>
      </c>
      <c r="DE72" s="48">
        <f>IF(OR(TRIM(Z72)="",TRIM(Z72)="NA;",TRIM(Z72)="NA"),0,1)</f>
        <v/>
      </c>
      <c r="DF72" s="48">
        <f>IF(OR(TRIM(AA72)="",TRIM(AA72)="NA;",TRIM(AA72)="NA"),0,1)</f>
        <v/>
      </c>
      <c r="DG72" s="48">
        <f>IF(OR(TRIM(AB72)="",TRIM(AB72)="NA;",TRIM(AB72)="NA"),0,1)</f>
        <v/>
      </c>
      <c r="DH72" s="48">
        <f>IF(OR(TRIM(AC72)="",TRIM(AC72)="NA;",TRIM(AC72)="NA"),0,1)</f>
        <v/>
      </c>
      <c r="DI72" s="48">
        <f>IF(OR(TRIM(AD72)="",TRIM(AD72)="NA;",TRIM(AD72)="NA"),0,1)</f>
        <v/>
      </c>
      <c r="DJ72" s="48">
        <f>TRIM(IF(DC72=1,"Mon ","")&amp;IF(DD72=1,"Tue ","")&amp;IF(DE72=1,"Wed ","")&amp;IF(DF72=1,"Thu ","")&amp;IF(DG72=1,"Fri ","")&amp;IF(DH72=1,"Sat ","")&amp;IF(DI72=1,"Sun ",""))</f>
        <v/>
      </c>
    </row>
    <row r="73">
      <c r="A73" s="48" t="inlineStr">
        <is>
          <t>T-N-00021</t>
        </is>
      </c>
      <c r="B73" s="48" t="inlineStr">
        <is>
          <t>Hassan Ahmed</t>
        </is>
      </c>
      <c r="C73" s="48" t="inlineStr">
        <is>
          <t>hassan.ahmed71@example.com</t>
        </is>
      </c>
      <c r="D73" s="48" t="inlineStr">
        <is>
          <t>+61 488 144 523</t>
        </is>
      </c>
      <c r="E73" s="48" t="inlineStr">
        <is>
          <t>Pedro Wilson</t>
        </is>
      </c>
      <c r="F73" s="48" t="inlineStr">
        <is>
          <t>+61 453 727 860</t>
        </is>
      </c>
      <c r="G73" s="48" t="inlineStr">
        <is>
          <t>Adult Child</t>
        </is>
      </c>
      <c r="H73" s="48" t="inlineStr">
        <is>
          <t>Tutor</t>
        </is>
      </c>
      <c r="I73" s="49" t="n">
        <v>45766</v>
      </c>
      <c r="J73" s="48" t="inlineStr">
        <is>
          <t>NADM-REJ-UNRES</t>
        </is>
      </c>
      <c r="K73" s="48">
        <f>IFERROR(VLOOKUP(J73,'(A) Introduction'!$B$35:$C$45,2,FALSE),"")</f>
        <v/>
      </c>
      <c r="L73" s="48" t="inlineStr">
        <is>
          <t>No</t>
        </is>
      </c>
      <c r="M73" s="48" t="inlineStr"/>
      <c r="N73" s="48" t="inlineStr"/>
      <c r="O73" s="48" t="n">
        <v>2</v>
      </c>
      <c r="P73" s="48">
        <f>IF($H73="Tutor",((BQ73&lt;&gt;"")*(BR73=""))+((BW73&lt;&gt;"")*(BX73=""))+((CC73&lt;&gt;"")*(CD73=""))+((CI73&lt;&gt;"")*(CJ73=""))+((CO73&lt;&gt;"")*(CP73="")),SUMPRODUCT(--($BO$3:$BO$202=$A73),--($BR$3:$BR$202=""))+SUMPRODUCT(--($BU$3:$BU$202=$A73),--($BX$3:$BX$202=""))+SUMPRODUCT(--($CA$3:$CA$202=$A73),--($CD$3:$CD$202=""))+SUMPRODUCT(--($CG$3:$CG$202=$A73),--($CJ$3:$CJ$202=""))+SUMPRODUCT(--($CM$3:$CM$202=$A73),--($CP$3:$CP$202="")))</f>
        <v/>
      </c>
      <c r="Q73" s="48">
        <f>IF($H73="Tutor",(BQ73&lt;&gt;"")+(BW73&lt;&gt;"")+(CC73&lt;&gt;"")+(CI73&lt;&gt;"")+(CO73&lt;&gt;""),SUMPRODUCT(--($BO$3:$BO$202=$A73))+SUMPRODUCT(--($BU$3:$BU$202=$A73))+SUMPRODUCT(--($CA$3:$CA$202=$A73))+SUMPRODUCT(--($CG$3:$CG$202=$A73))+SUMPRODUCT(--($CM$3:$CM$202=$A73)))</f>
        <v/>
      </c>
      <c r="R73" s="48">
        <f>IF($H73="Tutor",TRIM(IF(AND(BQ73&lt;&gt;"",BR73=""),BP73&amp;"; ","")&amp;IF(AND(BW73&lt;&gt;"",BX73=""),BV73&amp;"; ","")&amp;IF(AND(CC73&lt;&gt;"",CD73=""),CB73&amp;"; ","")&amp;IF(AND(CI73&lt;&gt;"",CJ73=""),CH73&amp;"; ","")&amp;IF(AND(CO73&lt;&gt;"",CP73=""),CN73&amp;"; ","")),IFERROR(INDEX($A$3:$B$202,(SUMPRODUCT(($BO$3:$BO$202=$A73)*($BR$3:$BR$202="")*ROW($BO$3:$BO$202))+SUMPRODUCT(($BU$3:$BU$202=$A73)*($BX$3:$BX$202="")*ROW($BU$3:$BU$202))+SUMPRODUCT(($CA$3:$CA$202=$A73)*($CD$3:$CD$202="")*ROW($CA$3:$CA$202))+SUMPRODUCT(($CG$3:$CG$202=$A73)*($CJ$3:$CJ$202="")*ROW($CG$3:$CG$202))+SUMPRODUCT(($CM$3:$CM$202=$A73)*($CP$3:$CP$202="")*ROW($CM$3:$CM$202)))-2,2),""))</f>
        <v/>
      </c>
      <c r="S73" s="48" t="inlineStr">
        <is>
          <t>Not Provided</t>
        </is>
      </c>
      <c r="T73" s="48" t="inlineStr"/>
      <c r="U73" s="48" t="inlineStr"/>
      <c r="V73" s="48" t="inlineStr"/>
      <c r="W73" s="48" t="inlineStr">
        <is>
          <t>ACST (UTC+9:30)</t>
        </is>
      </c>
      <c r="X73" s="48" t="inlineStr">
        <is>
          <t>9am-12pm;</t>
        </is>
      </c>
      <c r="Y73" s="48" t="inlineStr">
        <is>
          <t>12pm-3pm;6pm-9pm;</t>
        </is>
      </c>
      <c r="Z73" s="48" t="inlineStr">
        <is>
          <t>12pm-3pm;6pm-9pm;</t>
        </is>
      </c>
      <c r="AA73" s="48" t="inlineStr">
        <is>
          <t>9am-12pm;</t>
        </is>
      </c>
      <c r="AB73" s="48" t="inlineStr">
        <is>
          <t>6pm-9pm;</t>
        </is>
      </c>
      <c r="AC73" s="48" t="inlineStr">
        <is>
          <t>9am-12pm;12pm-3pm;3pm-6pm;</t>
        </is>
      </c>
      <c r="AD73" s="48" t="inlineStr">
        <is>
          <t>9am-12pm;</t>
        </is>
      </c>
      <c r="AE73" s="48" t="inlineStr">
        <is>
          <t>Either</t>
        </is>
      </c>
      <c r="AF73" s="48" t="inlineStr">
        <is>
          <t>NA - Tutor</t>
        </is>
      </c>
      <c r="AG73" s="48" t="inlineStr">
        <is>
          <t>Australia</t>
        </is>
      </c>
      <c r="AH73" s="48" t="inlineStr">
        <is>
          <t>New South Wales</t>
        </is>
      </c>
      <c r="AI73" s="48" t="inlineStr">
        <is>
          <t>Liverpool</t>
        </is>
      </c>
      <c r="AJ73" s="48" t="inlineStr">
        <is>
          <t>2170</t>
        </is>
      </c>
      <c r="AK73" s="49" t="n">
        <v>25380</v>
      </c>
      <c r="AL73" s="48" t="inlineStr">
        <is>
          <t>Male</t>
        </is>
      </c>
      <c r="AM73" s="48" t="inlineStr">
        <is>
          <t>NA</t>
        </is>
      </c>
      <c r="AN73" s="48" t="inlineStr">
        <is>
          <t>NA - Tutor</t>
        </is>
      </c>
      <c r="AO73" s="48" t="inlineStr">
        <is>
          <t>High</t>
        </is>
      </c>
      <c r="AP73" s="48" t="inlineStr">
        <is>
          <t>Australia; Ukraine</t>
        </is>
      </c>
      <c r="AQ73" s="48" t="inlineStr">
        <is>
          <t>NA</t>
        </is>
      </c>
      <c r="AR73" s="48" t="inlineStr">
        <is>
          <t>English (C2)</t>
        </is>
      </c>
      <c r="AS73" s="48" t="inlineStr">
        <is>
          <t>Muslim</t>
        </is>
      </c>
      <c r="AT73" s="48" t="inlineStr">
        <is>
          <t>Hospitality &amp; Retail</t>
        </is>
      </c>
      <c r="AU73" s="48" t="inlineStr">
        <is>
          <t>Engineer</t>
        </is>
      </c>
      <c r="AV73" s="48" t="inlineStr">
        <is>
          <t>NA - Tutor</t>
        </is>
      </c>
      <c r="AW73" s="48" t="inlineStr">
        <is>
          <t>Art; Photography; Travel</t>
        </is>
      </c>
      <c r="AX73" s="48" t="inlineStr">
        <is>
          <t>NA - Tutor</t>
        </is>
      </c>
      <c r="AY73" s="48" t="inlineStr">
        <is>
          <t>Yes</t>
        </is>
      </c>
      <c r="AZ73" s="48" t="inlineStr">
        <is>
          <t>Yes</t>
        </is>
      </c>
      <c r="BA73" s="48" t="inlineStr">
        <is>
          <t>Iryna Silva</t>
        </is>
      </c>
      <c r="BB73" s="48" t="inlineStr">
        <is>
          <t>Colleague</t>
        </is>
      </c>
      <c r="BC73" s="48" t="inlineStr">
        <is>
          <t>grace.drobushar571@example.com</t>
        </is>
      </c>
      <c r="BD73" s="48" t="inlineStr">
        <is>
          <t>Yes</t>
        </is>
      </c>
      <c r="BE73" s="48" t="inlineStr">
        <is>
          <t>WWC9612679V</t>
        </is>
      </c>
      <c r="BF73" s="49" t="n">
        <v>46497</v>
      </c>
      <c r="BG73" s="48" t="inlineStr">
        <is>
          <t>No</t>
        </is>
      </c>
      <c r="BH73" s="48" t="inlineStr">
        <is>
          <t>Adults Only</t>
        </is>
      </c>
      <c r="BI73" s="48" t="inlineStr">
        <is>
          <t>University of Sydney (including St. Paul's College)</t>
        </is>
      </c>
      <c r="BJ73" s="48" t="inlineStr">
        <is>
          <t>THET Moh Moh</t>
        </is>
      </c>
      <c r="BK73" s="48" t="inlineStr">
        <is>
          <t>NUICH Curtis</t>
        </is>
      </c>
      <c r="BL73" s="48" t="inlineStr">
        <is>
          <t>Synthetic test record.</t>
        </is>
      </c>
      <c r="BM73" s="48" t="inlineStr"/>
      <c r="BN73" s="48">
        <f>TRIM(IF(AND($H73="Student",$J73="ADM-ACT-MAT-CNE"),"Invalid: Student cannot be CNE. ","")&amp;IF(AND($H73="Student",ISNUMBER($O73)),"Check: capacity set for a Student. ","")&amp;IF(AND(LEFT($J73,11)="ADM-ACT-MAT",$P73=0),"Check: matched status but 0 active pairings. ","")&amp;IF(AND($H73="Tutor",ISNUMBER($O73),$P73&gt;$O73),"Check: pairings exceed capacity. ","")&amp;IF(AND($BH73="Everyone",NOT(AND($BD73="Yes",$BG73="Yes"))),"Check: approved to tutor children but WWCC not provided/confirmed. ","")&amp;IF(AND($P73&gt;0,NOT(AND(OR(LEFT($AY73,3)="Yes",LEFT($AY73,2)="NA"),OR(LEFT($AZ73,3)="Yes",LEFT($AZ73,2)="NA")))),"Matched but vetting incomplete (interview/reference). ","")&amp;IF(COUNTIF($B$3:$B$600,$B73)&gt;1,"Duplicate participant name. ",""))</f>
        <v/>
      </c>
      <c r="BO73" s="48" t="inlineStr"/>
      <c r="BP73" s="48" t="inlineStr"/>
      <c r="BQ73" s="48" t="inlineStr"/>
      <c r="BR73" s="48" t="inlineStr"/>
      <c r="BS73" s="48" t="inlineStr"/>
      <c r="BT73" s="48" t="inlineStr"/>
      <c r="BU73" s="48" t="inlineStr"/>
      <c r="BV73" s="48" t="inlineStr"/>
      <c r="BW73" s="48" t="inlineStr"/>
      <c r="BX73" s="48" t="inlineStr"/>
      <c r="BY73" s="48" t="inlineStr"/>
      <c r="BZ73" s="48" t="inlineStr"/>
      <c r="CA73" s="48" t="inlineStr"/>
      <c r="CB73" s="48" t="inlineStr"/>
      <c r="CC73" s="48" t="inlineStr"/>
      <c r="CD73" s="48" t="inlineStr"/>
      <c r="CE73" s="48" t="inlineStr"/>
      <c r="CF73" s="48" t="inlineStr"/>
      <c r="CG73" s="48" t="inlineStr"/>
      <c r="CH73" s="48" t="inlineStr"/>
      <c r="CI73" s="48" t="inlineStr"/>
      <c r="CJ73" s="48" t="inlineStr"/>
      <c r="CK73" s="48" t="inlineStr"/>
      <c r="CL73" s="48" t="inlineStr"/>
      <c r="CM73" s="48" t="inlineStr"/>
      <c r="CN73" s="48" t="inlineStr"/>
      <c r="CO73" s="48" t="inlineStr"/>
      <c r="CP73" s="48" t="inlineStr"/>
      <c r="CQ73" s="48" t="inlineStr"/>
      <c r="CR73" s="48" t="inlineStr"/>
      <c r="CS73" s="48">
        <f>IF(LEFT($J73,3)="ERR",0,1)</f>
        <v/>
      </c>
      <c r="CT73" s="48">
        <f>IF(LEFT($J73,3)="ADM",1,0)</f>
        <v/>
      </c>
      <c r="CU73" s="48">
        <f>IF(OR($J73="ADM-ACT-MAT-CNE",$J73="ADM-ACT-MAT-CE",$J73="ADM-INACT-M&amp;T"),1,0)</f>
        <v/>
      </c>
      <c r="CV73" s="48">
        <f>IF(AND(CU73=1,ISNUMBER(M73),ISNUMBER(I73)),M73-I73,"")</f>
        <v/>
      </c>
      <c r="CW73" s="48">
        <f>IF(ISNUMBER(I73),TODAY()-I73,"")</f>
        <v/>
      </c>
      <c r="CX73" s="48">
        <f>IF(ISNUMBER(I73),DATE(YEAR(I73),MONTH(I73),1),"")</f>
        <v/>
      </c>
      <c r="CY73" s="48">
        <f>IFERROR(DATEDIF(AK73,TODAY(),"y"),"")</f>
        <v/>
      </c>
      <c r="CZ73" s="48">
        <f>IF(CY73="","",IF(CY73&lt;28,"18-27",IF(CY73&lt;38,"28-37",IF(CY73&lt;48,"38-47",IF(CY73&lt;58,"48-57",IF(CY73&lt;68,"58-67",IF(CY73&lt;78,"68-77","78+")))))) </f>
        <v/>
      </c>
      <c r="DA73" s="48">
        <f>IF(AND(BQ73&lt;&gt;"",BR73=""),N(BS73),0)+IF(AND(BW73&lt;&gt;"",BX73=""),N(BY73),0)+IF(AND(CC73&lt;&gt;"",CD73=""),N(CE73),0)+IF(AND(CI73&lt;&gt;"",CJ73=""),N(CK73),0)+IF(AND(CO73&lt;&gt;"",CP73=""),N(CQ73),0)</f>
        <v/>
      </c>
      <c r="DB73" s="48">
        <f>ROUND(IF(BQ73&lt;&gt;"",N(BS73)*MAX(0,((IF(BR73="",TODAY(),BR73))-BQ73)/7),0)+IF(BW73&lt;&gt;"",N(BY73)*MAX(0,((IF(BX73="",TODAY(),BX73))-BW73)/7),0)+IF(CC73&lt;&gt;"",N(CE73)*MAX(0,((IF(CD73="",TODAY(),CD73))-CC73)/7),0)+IF(CI73&lt;&gt;"",N(CK73)*MAX(0,((IF(CJ73="",TODAY(),CJ73))-CI73)/7),0)+IF(CO73&lt;&gt;"",N(CQ73)*MAX(0,((IF(CP73="",TODAY(),CP73))-CO73)/7),0),1)</f>
        <v/>
      </c>
      <c r="DC73" s="48">
        <f>IF(OR(TRIM(X73)="",TRIM(X73)="NA;",TRIM(X73)="NA"),0,1)</f>
        <v/>
      </c>
      <c r="DD73" s="48">
        <f>IF(OR(TRIM(Y73)="",TRIM(Y73)="NA;",TRIM(Y73)="NA"),0,1)</f>
        <v/>
      </c>
      <c r="DE73" s="48">
        <f>IF(OR(TRIM(Z73)="",TRIM(Z73)="NA;",TRIM(Z73)="NA"),0,1)</f>
        <v/>
      </c>
      <c r="DF73" s="48">
        <f>IF(OR(TRIM(AA73)="",TRIM(AA73)="NA;",TRIM(AA73)="NA"),0,1)</f>
        <v/>
      </c>
      <c r="DG73" s="48">
        <f>IF(OR(TRIM(AB73)="",TRIM(AB73)="NA;",TRIM(AB73)="NA"),0,1)</f>
        <v/>
      </c>
      <c r="DH73" s="48">
        <f>IF(OR(TRIM(AC73)="",TRIM(AC73)="NA;",TRIM(AC73)="NA"),0,1)</f>
        <v/>
      </c>
      <c r="DI73" s="48">
        <f>IF(OR(TRIM(AD73)="",TRIM(AD73)="NA;",TRIM(AD73)="NA"),0,1)</f>
        <v/>
      </c>
      <c r="DJ73" s="48">
        <f>TRIM(IF(DC73=1,"Mon ","")&amp;IF(DD73=1,"Tue ","")&amp;IF(DE73=1,"Wed ","")&amp;IF(DF73=1,"Thu ","")&amp;IF(DG73=1,"Fri ","")&amp;IF(DH73=1,"Sat ","")&amp;IF(DI73=1,"Sun ",""))</f>
        <v/>
      </c>
    </row>
    <row r="74">
      <c r="A74" s="48" t="inlineStr">
        <is>
          <t>T-N-00022</t>
        </is>
      </c>
      <c r="B74" s="48" t="inlineStr">
        <is>
          <t>Ava Lopez</t>
        </is>
      </c>
      <c r="C74" s="48" t="inlineStr">
        <is>
          <t>ava.lopez72@example.com</t>
        </is>
      </c>
      <c r="D74" s="48" t="inlineStr">
        <is>
          <t>+61 404 281 230</t>
        </is>
      </c>
      <c r="E74" s="48" t="inlineStr">
        <is>
          <t>Sara Garcia</t>
        </is>
      </c>
      <c r="F74" s="48" t="inlineStr">
        <is>
          <t>+61 456 886 120</t>
        </is>
      </c>
      <c r="G74" s="48" t="inlineStr">
        <is>
          <t>Parent</t>
        </is>
      </c>
      <c r="H74" s="48" t="inlineStr">
        <is>
          <t>Tutor</t>
        </is>
      </c>
      <c r="I74" s="49" t="n">
        <v>45769</v>
      </c>
      <c r="J74" s="48" t="inlineStr">
        <is>
          <t>ADM-ACT-MAT-CNE</t>
        </is>
      </c>
      <c r="K74" s="48">
        <f>IFERROR(VLOOKUP(J74,'(A) Introduction'!$B$35:$C$45,2,FALSE),"")</f>
        <v/>
      </c>
      <c r="L74" s="48" t="inlineStr">
        <is>
          <t>No</t>
        </is>
      </c>
      <c r="M74" s="48" t="inlineStr"/>
      <c r="N74" s="48" t="inlineStr"/>
      <c r="O74" s="48" t="n">
        <v>2</v>
      </c>
      <c r="P74" s="48">
        <f>IF($H74="Tutor",((BQ74&lt;&gt;"")*(BR74=""))+((BW74&lt;&gt;"")*(BX74=""))+((CC74&lt;&gt;"")*(CD74=""))+((CI74&lt;&gt;"")*(CJ74=""))+((CO74&lt;&gt;"")*(CP74="")),SUMPRODUCT(--($BO$3:$BO$202=$A74),--($BR$3:$BR$202=""))+SUMPRODUCT(--($BU$3:$BU$202=$A74),--($BX$3:$BX$202=""))+SUMPRODUCT(--($CA$3:$CA$202=$A74),--($CD$3:$CD$202=""))+SUMPRODUCT(--($CG$3:$CG$202=$A74),--($CJ$3:$CJ$202=""))+SUMPRODUCT(--($CM$3:$CM$202=$A74),--($CP$3:$CP$202="")))</f>
        <v/>
      </c>
      <c r="Q74" s="48">
        <f>IF($H74="Tutor",(BQ74&lt;&gt;"")+(BW74&lt;&gt;"")+(CC74&lt;&gt;"")+(CI74&lt;&gt;"")+(CO74&lt;&gt;""),SUMPRODUCT(--($BO$3:$BO$202=$A74))+SUMPRODUCT(--($BU$3:$BU$202=$A74))+SUMPRODUCT(--($CA$3:$CA$202=$A74))+SUMPRODUCT(--($CG$3:$CG$202=$A74))+SUMPRODUCT(--($CM$3:$CM$202=$A74)))</f>
        <v/>
      </c>
      <c r="R74" s="48">
        <f>IF($H74="Tutor",TRIM(IF(AND(BQ74&lt;&gt;"",BR74=""),BP74&amp;"; ","")&amp;IF(AND(BW74&lt;&gt;"",BX74=""),BV74&amp;"; ","")&amp;IF(AND(CC74&lt;&gt;"",CD74=""),CB74&amp;"; ","")&amp;IF(AND(CI74&lt;&gt;"",CJ74=""),CH74&amp;"; ","")&amp;IF(AND(CO74&lt;&gt;"",CP74=""),CN74&amp;"; ","")),IFERROR(INDEX($A$3:$B$202,(SUMPRODUCT(($BO$3:$BO$202=$A74)*($BR$3:$BR$202="")*ROW($BO$3:$BO$202))+SUMPRODUCT(($BU$3:$BU$202=$A74)*($BX$3:$BX$202="")*ROW($BU$3:$BU$202))+SUMPRODUCT(($CA$3:$CA$202=$A74)*($CD$3:$CD$202="")*ROW($CA$3:$CA$202))+SUMPRODUCT(($CG$3:$CG$202=$A74)*($CJ$3:$CJ$202="")*ROW($CG$3:$CG$202))+SUMPRODUCT(($CM$3:$CM$202=$A74)*($CP$3:$CP$202="")*ROW($CM$3:$CM$202)))-2,2),""))</f>
        <v/>
      </c>
      <c r="S74" s="48" t="inlineStr">
        <is>
          <t>Not Provided</t>
        </is>
      </c>
      <c r="T74" s="48" t="inlineStr"/>
      <c r="U74" s="48" t="inlineStr"/>
      <c r="V74" s="49" t="n">
        <v>46161</v>
      </c>
      <c r="W74" s="48" t="inlineStr">
        <is>
          <t>AEST (UTC+10)</t>
        </is>
      </c>
      <c r="X74" s="48" t="inlineStr">
        <is>
          <t>6pm-9pm;</t>
        </is>
      </c>
      <c r="Y74" s="48" t="inlineStr">
        <is>
          <t>6pm-9pm;</t>
        </is>
      </c>
      <c r="Z74" s="48" t="inlineStr">
        <is>
          <t>9am-12pm;12pm-3pm;3pm-6pm;</t>
        </is>
      </c>
      <c r="AA74" s="48" t="inlineStr">
        <is>
          <t>9am-12pm;12pm-3pm;3pm-6pm;</t>
        </is>
      </c>
      <c r="AB74" s="48" t="inlineStr">
        <is>
          <t>6pm-9pm;</t>
        </is>
      </c>
      <c r="AC74" s="48" t="inlineStr">
        <is>
          <t>6pm-9pm;</t>
        </is>
      </c>
      <c r="AD74" s="48" t="inlineStr">
        <is>
          <t>3pm-6pm;</t>
        </is>
      </c>
      <c r="AE74" s="48" t="inlineStr">
        <is>
          <t>Either</t>
        </is>
      </c>
      <c r="AF74" s="48" t="inlineStr">
        <is>
          <t>NA - Tutor</t>
        </is>
      </c>
      <c r="AG74" s="48" t="inlineStr">
        <is>
          <t>Australia</t>
        </is>
      </c>
      <c r="AH74" s="48" t="inlineStr">
        <is>
          <t>New South Wales</t>
        </is>
      </c>
      <c r="AI74" s="48" t="inlineStr">
        <is>
          <t>Auburn</t>
        </is>
      </c>
      <c r="AJ74" s="48" t="inlineStr">
        <is>
          <t>2144</t>
        </is>
      </c>
      <c r="AK74" s="49" t="n">
        <v>36135</v>
      </c>
      <c r="AL74" s="48" t="inlineStr">
        <is>
          <t>Male</t>
        </is>
      </c>
      <c r="AM74" s="48" t="inlineStr">
        <is>
          <t>NA</t>
        </is>
      </c>
      <c r="AN74" s="48" t="inlineStr">
        <is>
          <t>NA - Tutor</t>
        </is>
      </c>
      <c r="AO74" s="48" t="inlineStr">
        <is>
          <t>Low</t>
        </is>
      </c>
      <c r="AP74" s="48" t="inlineStr">
        <is>
          <t>United Kingdom</t>
        </is>
      </c>
      <c r="AQ74" s="48" t="inlineStr">
        <is>
          <t>NA</t>
        </is>
      </c>
      <c r="AR74" s="48" t="inlineStr">
        <is>
          <t>Ukrainian (C2); Farsi (B2)</t>
        </is>
      </c>
      <c r="AS74" s="48" t="inlineStr">
        <is>
          <t>NA</t>
        </is>
      </c>
      <c r="AT74" s="48" t="inlineStr">
        <is>
          <t>Military &amp; Public Safety</t>
        </is>
      </c>
      <c r="AU74" s="48" t="inlineStr">
        <is>
          <t>Student</t>
        </is>
      </c>
      <c r="AV74" s="48" t="inlineStr">
        <is>
          <t>NA - Tutor</t>
        </is>
      </c>
      <c r="AW74" s="48" t="inlineStr">
        <is>
          <t>Art; Photography; Travel</t>
        </is>
      </c>
      <c r="AX74" s="48" t="inlineStr">
        <is>
          <t>NA - Tutor</t>
        </is>
      </c>
      <c r="AY74" s="48" t="inlineStr">
        <is>
          <t>Yes</t>
        </is>
      </c>
      <c r="AZ74" s="48" t="inlineStr">
        <is>
          <t>Yes</t>
        </is>
      </c>
      <c r="BA74" s="48" t="inlineStr">
        <is>
          <t>Carlos Wright</t>
        </is>
      </c>
      <c r="BB74" s="48" t="inlineStr">
        <is>
          <t>Academic Referee</t>
        </is>
      </c>
      <c r="BC74" s="48" t="inlineStr">
        <is>
          <t>ben.baker572@example.com</t>
        </is>
      </c>
      <c r="BD74" s="48" t="inlineStr">
        <is>
          <t>Yes</t>
        </is>
      </c>
      <c r="BE74" s="48" t="inlineStr">
        <is>
          <t>WWC2018455E</t>
        </is>
      </c>
      <c r="BF74" s="49" t="n">
        <v>46887</v>
      </c>
      <c r="BG74" s="48" t="inlineStr">
        <is>
          <t>No</t>
        </is>
      </c>
      <c r="BH74" s="48" t="inlineStr">
        <is>
          <t>Adults Only</t>
        </is>
      </c>
      <c r="BI74" s="48" t="inlineStr">
        <is>
          <t>Asylum Seeker Resource Centre</t>
        </is>
      </c>
      <c r="BJ74" s="48" t="inlineStr">
        <is>
          <t>NUICH Curtis</t>
        </is>
      </c>
      <c r="BK74" s="48" t="inlineStr">
        <is>
          <t>KNIJNIK Marina</t>
        </is>
      </c>
      <c r="BL74" s="48" t="inlineStr">
        <is>
          <t>Synthetic test record.</t>
        </is>
      </c>
      <c r="BM74" s="48" t="inlineStr"/>
      <c r="BN74" s="48">
        <f>TRIM(IF(AND($H74="Student",$J74="ADM-ACT-MAT-CNE"),"Invalid: Student cannot be CNE. ","")&amp;IF(AND($H74="Student",ISNUMBER($O74)),"Check: capacity set for a Student. ","")&amp;IF(AND(LEFT($J74,11)="ADM-ACT-MAT",$P74=0),"Check: matched status but 0 active pairings. ","")&amp;IF(AND($H74="Tutor",ISNUMBER($O74),$P74&gt;$O74),"Check: pairings exceed capacity. ","")&amp;IF(AND($BH74="Everyone",NOT(AND($BD74="Yes",$BG74="Yes"))),"Check: approved to tutor children but WWCC not provided/confirmed. ","")&amp;IF(AND($P74&gt;0,NOT(AND(OR(LEFT($AY74,3)="Yes",LEFT($AY74,2)="NA"),OR(LEFT($AZ74,3)="Yes",LEFT($AZ74,2)="NA")))),"Matched but vetting incomplete (interview/reference). ","")&amp;IF(COUNTIF($B$3:$B$600,$B74)&gt;1,"Duplicate participant name. ",""))</f>
        <v/>
      </c>
      <c r="BO74" s="48" t="inlineStr">
        <is>
          <t>S-O-00026</t>
        </is>
      </c>
      <c r="BP74" s="48">
        <f>IFERROR(VLOOKUP(BO74,$A:$B,2,FALSE),"")</f>
        <v/>
      </c>
      <c r="BQ74" s="49" t="n">
        <v>45497</v>
      </c>
      <c r="BR74" s="48" t="inlineStr"/>
      <c r="BS74" s="48" t="n">
        <v>1</v>
      </c>
      <c r="BT74" s="48" t="inlineStr">
        <is>
          <t>KNIJNIK Marina</t>
        </is>
      </c>
      <c r="BU74" s="48" t="inlineStr"/>
      <c r="BV74" s="48" t="inlineStr"/>
      <c r="BW74" s="48" t="inlineStr"/>
      <c r="BX74" s="48" t="inlineStr"/>
      <c r="BY74" s="48" t="inlineStr"/>
      <c r="BZ74" s="48" t="inlineStr"/>
      <c r="CA74" s="48" t="inlineStr"/>
      <c r="CB74" s="48" t="inlineStr"/>
      <c r="CC74" s="48" t="inlineStr"/>
      <c r="CD74" s="48" t="inlineStr"/>
      <c r="CE74" s="48" t="inlineStr"/>
      <c r="CF74" s="48" t="inlineStr"/>
      <c r="CG74" s="48" t="inlineStr"/>
      <c r="CH74" s="48" t="inlineStr"/>
      <c r="CI74" s="48" t="inlineStr"/>
      <c r="CJ74" s="48" t="inlineStr"/>
      <c r="CK74" s="48" t="inlineStr"/>
      <c r="CL74" s="48" t="inlineStr"/>
      <c r="CM74" s="48" t="inlineStr"/>
      <c r="CN74" s="48" t="inlineStr"/>
      <c r="CO74" s="48" t="inlineStr"/>
      <c r="CP74" s="48" t="inlineStr"/>
      <c r="CQ74" s="48" t="inlineStr"/>
      <c r="CR74" s="48" t="inlineStr"/>
      <c r="CS74" s="48">
        <f>IF(LEFT($J74,3)="ERR",0,1)</f>
        <v/>
      </c>
      <c r="CT74" s="48">
        <f>IF(LEFT($J74,3)="ADM",1,0)</f>
        <v/>
      </c>
      <c r="CU74" s="48">
        <f>IF(OR($J74="ADM-ACT-MAT-CNE",$J74="ADM-ACT-MAT-CE",$J74="ADM-INACT-M&amp;T"),1,0)</f>
        <v/>
      </c>
      <c r="CV74" s="48">
        <f>IF(AND(CU74=1,ISNUMBER(M74),ISNUMBER(I74)),M74-I74,"")</f>
        <v/>
      </c>
      <c r="CW74" s="48">
        <f>IF(ISNUMBER(I74),TODAY()-I74,"")</f>
        <v/>
      </c>
      <c r="CX74" s="48">
        <f>IF(ISNUMBER(I74),DATE(YEAR(I74),MONTH(I74),1),"")</f>
        <v/>
      </c>
      <c r="CY74" s="48">
        <f>IFERROR(DATEDIF(AK74,TODAY(),"y"),"")</f>
        <v/>
      </c>
      <c r="CZ74" s="48">
        <f>IF(CY74="","",IF(CY74&lt;28,"18-27",IF(CY74&lt;38,"28-37",IF(CY74&lt;48,"38-47",IF(CY74&lt;58,"48-57",IF(CY74&lt;68,"58-67",IF(CY74&lt;78,"68-77","78+")))))) </f>
        <v/>
      </c>
      <c r="DA74" s="48">
        <f>IF(AND(BQ74&lt;&gt;"",BR74=""),N(BS74),0)+IF(AND(BW74&lt;&gt;"",BX74=""),N(BY74),0)+IF(AND(CC74&lt;&gt;"",CD74=""),N(CE74),0)+IF(AND(CI74&lt;&gt;"",CJ74=""),N(CK74),0)+IF(AND(CO74&lt;&gt;"",CP74=""),N(CQ74),0)</f>
        <v/>
      </c>
      <c r="DB74" s="48">
        <f>ROUND(IF(BQ74&lt;&gt;"",N(BS74)*MAX(0,((IF(BR74="",TODAY(),BR74))-BQ74)/7),0)+IF(BW74&lt;&gt;"",N(BY74)*MAX(0,((IF(BX74="",TODAY(),BX74))-BW74)/7),0)+IF(CC74&lt;&gt;"",N(CE74)*MAX(0,((IF(CD74="",TODAY(),CD74))-CC74)/7),0)+IF(CI74&lt;&gt;"",N(CK74)*MAX(0,((IF(CJ74="",TODAY(),CJ74))-CI74)/7),0)+IF(CO74&lt;&gt;"",N(CQ74)*MAX(0,((IF(CP74="",TODAY(),CP74))-CO74)/7),0),1)</f>
        <v/>
      </c>
      <c r="DC74" s="48">
        <f>IF(OR(TRIM(X74)="",TRIM(X74)="NA;",TRIM(X74)="NA"),0,1)</f>
        <v/>
      </c>
      <c r="DD74" s="48">
        <f>IF(OR(TRIM(Y74)="",TRIM(Y74)="NA;",TRIM(Y74)="NA"),0,1)</f>
        <v/>
      </c>
      <c r="DE74" s="48">
        <f>IF(OR(TRIM(Z74)="",TRIM(Z74)="NA;",TRIM(Z74)="NA"),0,1)</f>
        <v/>
      </c>
      <c r="DF74" s="48">
        <f>IF(OR(TRIM(AA74)="",TRIM(AA74)="NA;",TRIM(AA74)="NA"),0,1)</f>
        <v/>
      </c>
      <c r="DG74" s="48">
        <f>IF(OR(TRIM(AB74)="",TRIM(AB74)="NA;",TRIM(AB74)="NA"),0,1)</f>
        <v/>
      </c>
      <c r="DH74" s="48">
        <f>IF(OR(TRIM(AC74)="",TRIM(AC74)="NA;",TRIM(AC74)="NA"),0,1)</f>
        <v/>
      </c>
      <c r="DI74" s="48">
        <f>IF(OR(TRIM(AD74)="",TRIM(AD74)="NA;",TRIM(AD74)="NA"),0,1)</f>
        <v/>
      </c>
      <c r="DJ74" s="48">
        <f>TRIM(IF(DC74=1,"Mon ","")&amp;IF(DD74=1,"Tue ","")&amp;IF(DE74=1,"Wed ","")&amp;IF(DF74=1,"Thu ","")&amp;IF(DG74=1,"Fri ","")&amp;IF(DH74=1,"Sat ","")&amp;IF(DI74=1,"Sun ",""))</f>
        <v/>
      </c>
    </row>
    <row r="75">
      <c r="A75" s="48" t="inlineStr">
        <is>
          <t>T-N-00023</t>
        </is>
      </c>
      <c r="B75" s="48" t="inlineStr">
        <is>
          <t>Emily Brown</t>
        </is>
      </c>
      <c r="C75" s="48" t="inlineStr">
        <is>
          <t>emily.brown73@example.com</t>
        </is>
      </c>
      <c r="D75" s="48" t="inlineStr">
        <is>
          <t>+61 478 142 803</t>
        </is>
      </c>
      <c r="E75" s="48" t="inlineStr">
        <is>
          <t>Mariam Schaffer</t>
        </is>
      </c>
      <c r="F75" s="48" t="inlineStr">
        <is>
          <t>+61 497 863 692</t>
        </is>
      </c>
      <c r="G75" s="48" t="inlineStr">
        <is>
          <t>Adult Child</t>
        </is>
      </c>
      <c r="H75" s="48" t="inlineStr">
        <is>
          <t>Tutor</t>
        </is>
      </c>
      <c r="I75" s="49" t="n">
        <v>45813</v>
      </c>
      <c r="J75" s="48" t="inlineStr">
        <is>
          <t>ADM-INACT-M&amp;T</t>
        </is>
      </c>
      <c r="K75" s="48">
        <f>IFERROR(VLOOKUP(J75,'(A) Introduction'!$B$35:$C$45,2,FALSE),"")</f>
        <v/>
      </c>
      <c r="L75" s="48" t="inlineStr">
        <is>
          <t>No</t>
        </is>
      </c>
      <c r="M75" s="48" t="inlineStr"/>
      <c r="N75" s="48" t="inlineStr"/>
      <c r="O75" s="48" t="n">
        <v>1</v>
      </c>
      <c r="P75" s="48">
        <f>IF($H75="Tutor",((BQ75&lt;&gt;"")*(BR75=""))+((BW75&lt;&gt;"")*(BX75=""))+((CC75&lt;&gt;"")*(CD75=""))+((CI75&lt;&gt;"")*(CJ75=""))+((CO75&lt;&gt;"")*(CP75="")),SUMPRODUCT(--($BO$3:$BO$202=$A75),--($BR$3:$BR$202=""))+SUMPRODUCT(--($BU$3:$BU$202=$A75),--($BX$3:$BX$202=""))+SUMPRODUCT(--($CA$3:$CA$202=$A75),--($CD$3:$CD$202=""))+SUMPRODUCT(--($CG$3:$CG$202=$A75),--($CJ$3:$CJ$202=""))+SUMPRODUCT(--($CM$3:$CM$202=$A75),--($CP$3:$CP$202="")))</f>
        <v/>
      </c>
      <c r="Q75" s="48">
        <f>IF($H75="Tutor",(BQ75&lt;&gt;"")+(BW75&lt;&gt;"")+(CC75&lt;&gt;"")+(CI75&lt;&gt;"")+(CO75&lt;&gt;""),SUMPRODUCT(--($BO$3:$BO$202=$A75))+SUMPRODUCT(--($BU$3:$BU$202=$A75))+SUMPRODUCT(--($CA$3:$CA$202=$A75))+SUMPRODUCT(--($CG$3:$CG$202=$A75))+SUMPRODUCT(--($CM$3:$CM$202=$A75)))</f>
        <v/>
      </c>
      <c r="R75" s="48">
        <f>IF($H75="Tutor",TRIM(IF(AND(BQ75&lt;&gt;"",BR75=""),BP75&amp;"; ","")&amp;IF(AND(BW75&lt;&gt;"",BX75=""),BV75&amp;"; ","")&amp;IF(AND(CC75&lt;&gt;"",CD75=""),CB75&amp;"; ","")&amp;IF(AND(CI75&lt;&gt;"",CJ75=""),CH75&amp;"; ","")&amp;IF(AND(CO75&lt;&gt;"",CP75=""),CN75&amp;"; ","")),IFERROR(INDEX($A$3:$B$202,(SUMPRODUCT(($BO$3:$BO$202=$A75)*($BR$3:$BR$202="")*ROW($BO$3:$BO$202))+SUMPRODUCT(($BU$3:$BU$202=$A75)*($BX$3:$BX$202="")*ROW($BU$3:$BU$202))+SUMPRODUCT(($CA$3:$CA$202=$A75)*($CD$3:$CD$202="")*ROW($CA$3:$CA$202))+SUMPRODUCT(($CG$3:$CG$202=$A75)*($CJ$3:$CJ$202="")*ROW($CG$3:$CG$202))+SUMPRODUCT(($CM$3:$CM$202=$A75)*($CP$3:$CP$202="")*ROW($CM$3:$CM$202)))-2,2),""))</f>
        <v/>
      </c>
      <c r="S75" s="48" t="inlineStr">
        <is>
          <t>Provided</t>
        </is>
      </c>
      <c r="T75" s="48" t="inlineStr"/>
      <c r="U75" s="48" t="inlineStr"/>
      <c r="V75" s="49" t="n">
        <v>45681</v>
      </c>
      <c r="W75" s="48" t="inlineStr">
        <is>
          <t>AWST (UTC+8)</t>
        </is>
      </c>
      <c r="X75" s="48" t="inlineStr">
        <is>
          <t>NA;</t>
        </is>
      </c>
      <c r="Y75" s="48" t="inlineStr">
        <is>
          <t>6am-9am;9am-12pm;</t>
        </is>
      </c>
      <c r="Z75" s="48" t="inlineStr">
        <is>
          <t>9am-12pm;12pm-3pm;3pm-6pm;</t>
        </is>
      </c>
      <c r="AA75" s="48" t="inlineStr">
        <is>
          <t>3pm-6pm;</t>
        </is>
      </c>
      <c r="AB75" s="48" t="inlineStr">
        <is>
          <t>9am-12pm;12pm-3pm;3pm-6pm;</t>
        </is>
      </c>
      <c r="AC75" s="48" t="inlineStr">
        <is>
          <t>9am-12pm;</t>
        </is>
      </c>
      <c r="AD75" s="48" t="inlineStr">
        <is>
          <t>6am-9am;9am-12pm;</t>
        </is>
      </c>
      <c r="AE75" s="48" t="inlineStr">
        <is>
          <t>Either</t>
        </is>
      </c>
      <c r="AF75" s="48" t="inlineStr">
        <is>
          <t>NA - Tutor</t>
        </is>
      </c>
      <c r="AG75" s="48" t="inlineStr">
        <is>
          <t>Australia</t>
        </is>
      </c>
      <c r="AH75" s="48" t="inlineStr">
        <is>
          <t>New South Wales</t>
        </is>
      </c>
      <c r="AI75" s="48" t="inlineStr">
        <is>
          <t>Greenacre</t>
        </is>
      </c>
      <c r="AJ75" s="48" t="inlineStr">
        <is>
          <t>2190</t>
        </is>
      </c>
      <c r="AK75" s="49" t="n">
        <v>27441</v>
      </c>
      <c r="AL75" s="48" t="inlineStr">
        <is>
          <t>Male</t>
        </is>
      </c>
      <c r="AM75" s="48" t="inlineStr">
        <is>
          <t>NA</t>
        </is>
      </c>
      <c r="AN75" s="48" t="inlineStr">
        <is>
          <t>NA - Tutor</t>
        </is>
      </c>
      <c r="AO75" s="48" t="inlineStr">
        <is>
          <t>High</t>
        </is>
      </c>
      <c r="AP75" s="48" t="inlineStr">
        <is>
          <t>Lebanon</t>
        </is>
      </c>
      <c r="AQ75" s="48" t="inlineStr">
        <is>
          <t>NA</t>
        </is>
      </c>
      <c r="AR75" s="48" t="inlineStr">
        <is>
          <t>English (C2)</t>
        </is>
      </c>
      <c r="AS75" s="48" t="inlineStr">
        <is>
          <t>Christian</t>
        </is>
      </c>
      <c r="AT75" s="48" t="inlineStr">
        <is>
          <t>Childcare &amp; Aged Care</t>
        </is>
      </c>
      <c r="AU75" s="48" t="inlineStr">
        <is>
          <t>Cleaner</t>
        </is>
      </c>
      <c r="AV75" s="48" t="inlineStr">
        <is>
          <t>NA - Tutor</t>
        </is>
      </c>
      <c r="AW75" s="48" t="inlineStr">
        <is>
          <t>Cooking; Reading; Music</t>
        </is>
      </c>
      <c r="AX75" s="48" t="inlineStr">
        <is>
          <t>NA - Tutor</t>
        </is>
      </c>
      <c r="AY75" s="48" t="inlineStr">
        <is>
          <t>NA - Partner Organisation Verified</t>
        </is>
      </c>
      <c r="AZ75" s="48" t="inlineStr">
        <is>
          <t>Yes</t>
        </is>
      </c>
      <c r="BA75" s="48" t="inlineStr">
        <is>
          <t>Iryna Petrov</t>
        </is>
      </c>
      <c r="BB75" s="48" t="inlineStr">
        <is>
          <t>Academic Referee</t>
        </is>
      </c>
      <c r="BC75" s="48" t="inlineStr">
        <is>
          <t>emily.levi573@example.com</t>
        </is>
      </c>
      <c r="BD75" s="48" t="inlineStr">
        <is>
          <t>Pending</t>
        </is>
      </c>
      <c r="BE75" s="48" t="inlineStr"/>
      <c r="BF75" s="48" t="inlineStr"/>
      <c r="BG75" s="48" t="inlineStr">
        <is>
          <t>No</t>
        </is>
      </c>
      <c r="BH75" s="48" t="inlineStr">
        <is>
          <t>Adults Only</t>
        </is>
      </c>
      <c r="BI75" s="48" t="inlineStr">
        <is>
          <t>Kaldor Centre for International Refugee Law</t>
        </is>
      </c>
      <c r="BJ75" s="48" t="inlineStr">
        <is>
          <t>HALLORAN Isobel</t>
        </is>
      </c>
      <c r="BK75" s="48" t="inlineStr">
        <is>
          <t>ZULMAN Levi</t>
        </is>
      </c>
      <c r="BL75" s="48" t="inlineStr">
        <is>
          <t>Synthetic test record.</t>
        </is>
      </c>
      <c r="BM75" s="48" t="inlineStr"/>
      <c r="BN75" s="48">
        <f>TRIM(IF(AND($H75="Student",$J75="ADM-ACT-MAT-CNE"),"Invalid: Student cannot be CNE. ","")&amp;IF(AND($H75="Student",ISNUMBER($O75)),"Check: capacity set for a Student. ","")&amp;IF(AND(LEFT($J75,11)="ADM-ACT-MAT",$P75=0),"Check: matched status but 0 active pairings. ","")&amp;IF(AND($H75="Tutor",ISNUMBER($O75),$P75&gt;$O75),"Check: pairings exceed capacity. ","")&amp;IF(AND($BH75="Everyone",NOT(AND($BD75="Yes",$BG75="Yes"))),"Check: approved to tutor children but WWCC not provided/confirmed. ","")&amp;IF(AND($P75&gt;0,NOT(AND(OR(LEFT($AY75,3)="Yes",LEFT($AY75,2)="NA"),OR(LEFT($AZ75,3)="Yes",LEFT($AZ75,2)="NA")))),"Matched but vetting incomplete (interview/reference). ","")&amp;IF(COUNTIF($B$3:$B$600,$B75)&gt;1,"Duplicate participant name. ",""))</f>
        <v/>
      </c>
      <c r="BO75" s="48" t="inlineStr">
        <is>
          <t>S-N-00007</t>
        </is>
      </c>
      <c r="BP75" s="48">
        <f>IFERROR(VLOOKUP(BO75,$A:$B,2,FALSE),"")</f>
        <v/>
      </c>
      <c r="BQ75" s="49" t="n">
        <v>45802</v>
      </c>
      <c r="BR75" s="49" t="n">
        <v>46093</v>
      </c>
      <c r="BS75" s="48" t="n">
        <v>2</v>
      </c>
      <c r="BT75" s="48" t="inlineStr">
        <is>
          <t>HERVIR Oliver</t>
        </is>
      </c>
      <c r="BU75" s="48" t="inlineStr"/>
      <c r="BV75" s="48" t="inlineStr"/>
      <c r="BW75" s="48" t="inlineStr"/>
      <c r="BX75" s="48" t="inlineStr"/>
      <c r="BY75" s="48" t="inlineStr"/>
      <c r="BZ75" s="48" t="inlineStr"/>
      <c r="CA75" s="48" t="inlineStr"/>
      <c r="CB75" s="48" t="inlineStr"/>
      <c r="CC75" s="48" t="inlineStr"/>
      <c r="CD75" s="48" t="inlineStr"/>
      <c r="CE75" s="48" t="inlineStr"/>
      <c r="CF75" s="48" t="inlineStr"/>
      <c r="CG75" s="48" t="inlineStr"/>
      <c r="CH75" s="48" t="inlineStr"/>
      <c r="CI75" s="48" t="inlineStr"/>
      <c r="CJ75" s="48" t="inlineStr"/>
      <c r="CK75" s="48" t="inlineStr"/>
      <c r="CL75" s="48" t="inlineStr"/>
      <c r="CM75" s="48" t="inlineStr"/>
      <c r="CN75" s="48" t="inlineStr"/>
      <c r="CO75" s="48" t="inlineStr"/>
      <c r="CP75" s="48" t="inlineStr"/>
      <c r="CQ75" s="48" t="inlineStr"/>
      <c r="CR75" s="48" t="inlineStr"/>
      <c r="CS75" s="48">
        <f>IF(LEFT($J75,3)="ERR",0,1)</f>
        <v/>
      </c>
      <c r="CT75" s="48">
        <f>IF(LEFT($J75,3)="ADM",1,0)</f>
        <v/>
      </c>
      <c r="CU75" s="48">
        <f>IF(OR($J75="ADM-ACT-MAT-CNE",$J75="ADM-ACT-MAT-CE",$J75="ADM-INACT-M&amp;T"),1,0)</f>
        <v/>
      </c>
      <c r="CV75" s="48">
        <f>IF(AND(CU75=1,ISNUMBER(M75),ISNUMBER(I75)),M75-I75,"")</f>
        <v/>
      </c>
      <c r="CW75" s="48">
        <f>IF(ISNUMBER(I75),TODAY()-I75,"")</f>
        <v/>
      </c>
      <c r="CX75" s="48">
        <f>IF(ISNUMBER(I75),DATE(YEAR(I75),MONTH(I75),1),"")</f>
        <v/>
      </c>
      <c r="CY75" s="48">
        <f>IFERROR(DATEDIF(AK75,TODAY(),"y"),"")</f>
        <v/>
      </c>
      <c r="CZ75" s="48">
        <f>IF(CY75="","",IF(CY75&lt;28,"18-27",IF(CY75&lt;38,"28-37",IF(CY75&lt;48,"38-47",IF(CY75&lt;58,"48-57",IF(CY75&lt;68,"58-67",IF(CY75&lt;78,"68-77","78+")))))) </f>
        <v/>
      </c>
      <c r="DA75" s="48">
        <f>IF(AND(BQ75&lt;&gt;"",BR75=""),N(BS75),0)+IF(AND(BW75&lt;&gt;"",BX75=""),N(BY75),0)+IF(AND(CC75&lt;&gt;"",CD75=""),N(CE75),0)+IF(AND(CI75&lt;&gt;"",CJ75=""),N(CK75),0)+IF(AND(CO75&lt;&gt;"",CP75=""),N(CQ75),0)</f>
        <v/>
      </c>
      <c r="DB75" s="48">
        <f>ROUND(IF(BQ75&lt;&gt;"",N(BS75)*MAX(0,((IF(BR75="",TODAY(),BR75))-BQ75)/7),0)+IF(BW75&lt;&gt;"",N(BY75)*MAX(0,((IF(BX75="",TODAY(),BX75))-BW75)/7),0)+IF(CC75&lt;&gt;"",N(CE75)*MAX(0,((IF(CD75="",TODAY(),CD75))-CC75)/7),0)+IF(CI75&lt;&gt;"",N(CK75)*MAX(0,((IF(CJ75="",TODAY(),CJ75))-CI75)/7),0)+IF(CO75&lt;&gt;"",N(CQ75)*MAX(0,((IF(CP75="",TODAY(),CP75))-CO75)/7),0),1)</f>
        <v/>
      </c>
      <c r="DC75" s="48">
        <f>IF(OR(TRIM(X75)="",TRIM(X75)="NA;",TRIM(X75)="NA"),0,1)</f>
        <v/>
      </c>
      <c r="DD75" s="48">
        <f>IF(OR(TRIM(Y75)="",TRIM(Y75)="NA;",TRIM(Y75)="NA"),0,1)</f>
        <v/>
      </c>
      <c r="DE75" s="48">
        <f>IF(OR(TRIM(Z75)="",TRIM(Z75)="NA;",TRIM(Z75)="NA"),0,1)</f>
        <v/>
      </c>
      <c r="DF75" s="48">
        <f>IF(OR(TRIM(AA75)="",TRIM(AA75)="NA;",TRIM(AA75)="NA"),0,1)</f>
        <v/>
      </c>
      <c r="DG75" s="48">
        <f>IF(OR(TRIM(AB75)="",TRIM(AB75)="NA;",TRIM(AB75)="NA"),0,1)</f>
        <v/>
      </c>
      <c r="DH75" s="48">
        <f>IF(OR(TRIM(AC75)="",TRIM(AC75)="NA;",TRIM(AC75)="NA"),0,1)</f>
        <v/>
      </c>
      <c r="DI75" s="48">
        <f>IF(OR(TRIM(AD75)="",TRIM(AD75)="NA;",TRIM(AD75)="NA"),0,1)</f>
        <v/>
      </c>
      <c r="DJ75" s="48">
        <f>TRIM(IF(DC75=1,"Mon ","")&amp;IF(DD75=1,"Tue ","")&amp;IF(DE75=1,"Wed ","")&amp;IF(DF75=1,"Thu ","")&amp;IF(DG75=1,"Fri ","")&amp;IF(DH75=1,"Sat ","")&amp;IF(DI75=1,"Sun ",""))</f>
        <v/>
      </c>
    </row>
    <row r="76">
      <c r="A76" s="48" t="inlineStr">
        <is>
          <t>T-N-00024</t>
        </is>
      </c>
      <c r="B76" s="48" t="inlineStr">
        <is>
          <t>Tariq Smith</t>
        </is>
      </c>
      <c r="C76" s="48" t="inlineStr">
        <is>
          <t>tariq.smith74@example.com</t>
        </is>
      </c>
      <c r="D76" s="48" t="inlineStr">
        <is>
          <t>+61 481 813 901</t>
        </is>
      </c>
      <c r="E76" s="48" t="inlineStr">
        <is>
          <t>Grace Ali</t>
        </is>
      </c>
      <c r="F76" s="48" t="inlineStr">
        <is>
          <t>+61 472 872 496</t>
        </is>
      </c>
      <c r="G76" s="48" t="inlineStr">
        <is>
          <t>Sibling</t>
        </is>
      </c>
      <c r="H76" s="48" t="inlineStr">
        <is>
          <t>Tutor</t>
        </is>
      </c>
      <c r="I76" s="49" t="n">
        <v>45842</v>
      </c>
      <c r="J76" s="48" t="inlineStr">
        <is>
          <t>ADM-ACT-UNMAT</t>
        </is>
      </c>
      <c r="K76" s="48">
        <f>IFERROR(VLOOKUP(J76,'(A) Introduction'!$B$35:$C$45,2,FALSE),"")</f>
        <v/>
      </c>
      <c r="L76" s="48" t="inlineStr">
        <is>
          <t>No</t>
        </is>
      </c>
      <c r="M76" s="48" t="inlineStr"/>
      <c r="N76" s="48" t="inlineStr"/>
      <c r="O76" s="48" t="n">
        <v>1</v>
      </c>
      <c r="P76" s="48">
        <f>IF($H76="Tutor",((BQ76&lt;&gt;"")*(BR76=""))+((BW76&lt;&gt;"")*(BX76=""))+((CC76&lt;&gt;"")*(CD76=""))+((CI76&lt;&gt;"")*(CJ76=""))+((CO76&lt;&gt;"")*(CP76="")),SUMPRODUCT(--($BO$3:$BO$202=$A76),--($BR$3:$BR$202=""))+SUMPRODUCT(--($BU$3:$BU$202=$A76),--($BX$3:$BX$202=""))+SUMPRODUCT(--($CA$3:$CA$202=$A76),--($CD$3:$CD$202=""))+SUMPRODUCT(--($CG$3:$CG$202=$A76),--($CJ$3:$CJ$202=""))+SUMPRODUCT(--($CM$3:$CM$202=$A76),--($CP$3:$CP$202="")))</f>
        <v/>
      </c>
      <c r="Q76" s="48">
        <f>IF($H76="Tutor",(BQ76&lt;&gt;"")+(BW76&lt;&gt;"")+(CC76&lt;&gt;"")+(CI76&lt;&gt;"")+(CO76&lt;&gt;""),SUMPRODUCT(--($BO$3:$BO$202=$A76))+SUMPRODUCT(--($BU$3:$BU$202=$A76))+SUMPRODUCT(--($CA$3:$CA$202=$A76))+SUMPRODUCT(--($CG$3:$CG$202=$A76))+SUMPRODUCT(--($CM$3:$CM$202=$A76)))</f>
        <v/>
      </c>
      <c r="R76" s="48">
        <f>IF($H76="Tutor",TRIM(IF(AND(BQ76&lt;&gt;"",BR76=""),BP76&amp;"; ","")&amp;IF(AND(BW76&lt;&gt;"",BX76=""),BV76&amp;"; ","")&amp;IF(AND(CC76&lt;&gt;"",CD76=""),CB76&amp;"; ","")&amp;IF(AND(CI76&lt;&gt;"",CJ76=""),CH76&amp;"; ","")&amp;IF(AND(CO76&lt;&gt;"",CP76=""),CN76&amp;"; ","")),IFERROR(INDEX($A$3:$B$202,(SUMPRODUCT(($BO$3:$BO$202=$A76)*($BR$3:$BR$202="")*ROW($BO$3:$BO$202))+SUMPRODUCT(($BU$3:$BU$202=$A76)*($BX$3:$BX$202="")*ROW($BU$3:$BU$202))+SUMPRODUCT(($CA$3:$CA$202=$A76)*($CD$3:$CD$202="")*ROW($CA$3:$CA$202))+SUMPRODUCT(($CG$3:$CG$202=$A76)*($CJ$3:$CJ$202="")*ROW($CG$3:$CG$202))+SUMPRODUCT(($CM$3:$CM$202=$A76)*($CP$3:$CP$202="")*ROW($CM$3:$CM$202)))-2,2),""))</f>
        <v/>
      </c>
      <c r="S76" s="48" t="inlineStr">
        <is>
          <t>Not Provided</t>
        </is>
      </c>
      <c r="T76" s="48" t="inlineStr"/>
      <c r="U76" s="48" t="inlineStr"/>
      <c r="V76" s="49" t="n">
        <v>46033</v>
      </c>
      <c r="W76" s="48" t="inlineStr">
        <is>
          <t>ACST (UTC+9:30)</t>
        </is>
      </c>
      <c r="X76" s="48" t="inlineStr">
        <is>
          <t>3pm-6pm;</t>
        </is>
      </c>
      <c r="Y76" s="48" t="inlineStr">
        <is>
          <t>6am-9am;9am-12pm;</t>
        </is>
      </c>
      <c r="Z76" s="48" t="inlineStr">
        <is>
          <t>6pm-9pm;</t>
        </is>
      </c>
      <c r="AA76" s="48" t="inlineStr">
        <is>
          <t>6pm-9pm;</t>
        </is>
      </c>
      <c r="AB76" s="48" t="inlineStr">
        <is>
          <t>6am-9am;9am-12pm;</t>
        </is>
      </c>
      <c r="AC76" s="48" t="inlineStr">
        <is>
          <t>NA;</t>
        </is>
      </c>
      <c r="AD76" s="48" t="inlineStr">
        <is>
          <t>6pm-9pm;</t>
        </is>
      </c>
      <c r="AE76" s="48" t="inlineStr">
        <is>
          <t>Either</t>
        </is>
      </c>
      <c r="AF76" s="48" t="inlineStr">
        <is>
          <t>NA - Tutor</t>
        </is>
      </c>
      <c r="AG76" s="48" t="inlineStr">
        <is>
          <t>Australia</t>
        </is>
      </c>
      <c r="AH76" s="48" t="inlineStr">
        <is>
          <t>New South Wales</t>
        </is>
      </c>
      <c r="AI76" s="48" t="inlineStr">
        <is>
          <t>Parramatta</t>
        </is>
      </c>
      <c r="AJ76" s="48" t="inlineStr">
        <is>
          <t>2150</t>
        </is>
      </c>
      <c r="AK76" s="49" t="n">
        <v>38574</v>
      </c>
      <c r="AL76" s="48" t="inlineStr">
        <is>
          <t>Male</t>
        </is>
      </c>
      <c r="AM76" s="48" t="inlineStr">
        <is>
          <t>NA</t>
        </is>
      </c>
      <c r="AN76" s="48" t="inlineStr">
        <is>
          <t>NA - Tutor</t>
        </is>
      </c>
      <c r="AO76" s="48" t="inlineStr">
        <is>
          <t>High</t>
        </is>
      </c>
      <c r="AP76" s="48" t="inlineStr">
        <is>
          <t>Australia</t>
        </is>
      </c>
      <c r="AQ76" s="48" t="inlineStr">
        <is>
          <t>NA</t>
        </is>
      </c>
      <c r="AR76" s="48" t="inlineStr">
        <is>
          <t>English (C2)</t>
        </is>
      </c>
      <c r="AS76" s="48" t="inlineStr">
        <is>
          <t>Hindu</t>
        </is>
      </c>
      <c r="AT76" s="48" t="inlineStr">
        <is>
          <t>Education &amp; Academia</t>
        </is>
      </c>
      <c r="AU76" s="48" t="inlineStr">
        <is>
          <t>Cleaner</t>
        </is>
      </c>
      <c r="AV76" s="48" t="inlineStr">
        <is>
          <t>NA - Tutor</t>
        </is>
      </c>
      <c r="AW76" s="48" t="inlineStr">
        <is>
          <t>Gardening; Cooking; Walking</t>
        </is>
      </c>
      <c r="AX76" s="48" t="inlineStr">
        <is>
          <t>NA - Tutor</t>
        </is>
      </c>
      <c r="AY76" s="48" t="inlineStr">
        <is>
          <t>Yes</t>
        </is>
      </c>
      <c r="AZ76" s="48" t="inlineStr">
        <is>
          <t>NA - Partner Organisation Verified</t>
        </is>
      </c>
      <c r="BA76" s="48" t="inlineStr">
        <is>
          <t>Mark Rafipour</t>
        </is>
      </c>
      <c r="BB76" s="48" t="inlineStr">
        <is>
          <t>Colleague</t>
        </is>
      </c>
      <c r="BC76" s="48" t="inlineStr">
        <is>
          <t>fatima.jones574@example.com</t>
        </is>
      </c>
      <c r="BD76" s="48" t="inlineStr">
        <is>
          <t>Yes</t>
        </is>
      </c>
      <c r="BE76" s="48" t="inlineStr">
        <is>
          <t>WWC6299086E</t>
        </is>
      </c>
      <c r="BF76" s="49" t="n">
        <v>46571</v>
      </c>
      <c r="BG76" s="48" t="inlineStr">
        <is>
          <t>Yes</t>
        </is>
      </c>
      <c r="BH76" s="48" t="inlineStr">
        <is>
          <t>Adults Only</t>
        </is>
      </c>
      <c r="BI76" s="48" t="inlineStr">
        <is>
          <t>Notice Board</t>
        </is>
      </c>
      <c r="BJ76" s="48" t="inlineStr">
        <is>
          <t>MCCLELLAND Reeve</t>
        </is>
      </c>
      <c r="BK76" s="48" t="inlineStr">
        <is>
          <t>SHANAHAN Jack</t>
        </is>
      </c>
      <c r="BL76" s="48" t="inlineStr">
        <is>
          <t>Synthetic test record.</t>
        </is>
      </c>
      <c r="BM76" s="48" t="inlineStr"/>
      <c r="BN76" s="48">
        <f>TRIM(IF(AND($H76="Student",$J76="ADM-ACT-MAT-CNE"),"Invalid: Student cannot be CNE. ","")&amp;IF(AND($H76="Student",ISNUMBER($O76)),"Check: capacity set for a Student. ","")&amp;IF(AND(LEFT($J76,11)="ADM-ACT-MAT",$P76=0),"Check: matched status but 0 active pairings. ","")&amp;IF(AND($H76="Tutor",ISNUMBER($O76),$P76&gt;$O76),"Check: pairings exceed capacity. ","")&amp;IF(AND($BH76="Everyone",NOT(AND($BD76="Yes",$BG76="Yes"))),"Check: approved to tutor children but WWCC not provided/confirmed. ","")&amp;IF(AND($P76&gt;0,NOT(AND(OR(LEFT($AY76,3)="Yes",LEFT($AY76,2)="NA"),OR(LEFT($AZ76,3)="Yes",LEFT($AZ76,2)="NA")))),"Matched but vetting incomplete (interview/reference). ","")&amp;IF(COUNTIF($B$3:$B$600,$B76)&gt;1,"Duplicate participant name. ",""))</f>
        <v/>
      </c>
      <c r="BO76" s="48" t="inlineStr"/>
      <c r="BP76" s="48" t="inlineStr"/>
      <c r="BQ76" s="48" t="inlineStr"/>
      <c r="BR76" s="48" t="inlineStr"/>
      <c r="BS76" s="48" t="inlineStr"/>
      <c r="BT76" s="48" t="inlineStr"/>
      <c r="BU76" s="48" t="inlineStr"/>
      <c r="BV76" s="48" t="inlineStr"/>
      <c r="BW76" s="48" t="inlineStr"/>
      <c r="BX76" s="48" t="inlineStr"/>
      <c r="BY76" s="48" t="inlineStr"/>
      <c r="BZ76" s="48" t="inlineStr"/>
      <c r="CA76" s="48" t="inlineStr"/>
      <c r="CB76" s="48" t="inlineStr"/>
      <c r="CC76" s="48" t="inlineStr"/>
      <c r="CD76" s="48" t="inlineStr"/>
      <c r="CE76" s="48" t="inlineStr"/>
      <c r="CF76" s="48" t="inlineStr"/>
      <c r="CG76" s="48" t="inlineStr"/>
      <c r="CH76" s="48" t="inlineStr"/>
      <c r="CI76" s="48" t="inlineStr"/>
      <c r="CJ76" s="48" t="inlineStr"/>
      <c r="CK76" s="48" t="inlineStr"/>
      <c r="CL76" s="48" t="inlineStr"/>
      <c r="CM76" s="48" t="inlineStr"/>
      <c r="CN76" s="48" t="inlineStr"/>
      <c r="CO76" s="48" t="inlineStr"/>
      <c r="CP76" s="48" t="inlineStr"/>
      <c r="CQ76" s="48" t="inlineStr"/>
      <c r="CR76" s="48" t="inlineStr"/>
      <c r="CS76" s="48">
        <f>IF(LEFT($J76,3)="ERR",0,1)</f>
        <v/>
      </c>
      <c r="CT76" s="48">
        <f>IF(LEFT($J76,3)="ADM",1,0)</f>
        <v/>
      </c>
      <c r="CU76" s="48">
        <f>IF(OR($J76="ADM-ACT-MAT-CNE",$J76="ADM-ACT-MAT-CE",$J76="ADM-INACT-M&amp;T"),1,0)</f>
        <v/>
      </c>
      <c r="CV76" s="48">
        <f>IF(AND(CU76=1,ISNUMBER(M76),ISNUMBER(I76)),M76-I76,"")</f>
        <v/>
      </c>
      <c r="CW76" s="48">
        <f>IF(ISNUMBER(I76),TODAY()-I76,"")</f>
        <v/>
      </c>
      <c r="CX76" s="48">
        <f>IF(ISNUMBER(I76),DATE(YEAR(I76),MONTH(I76),1),"")</f>
        <v/>
      </c>
      <c r="CY76" s="48">
        <f>IFERROR(DATEDIF(AK76,TODAY(),"y"),"")</f>
        <v/>
      </c>
      <c r="CZ76" s="48">
        <f>IF(CY76="","",IF(CY76&lt;28,"18-27",IF(CY76&lt;38,"28-37",IF(CY76&lt;48,"38-47",IF(CY76&lt;58,"48-57",IF(CY76&lt;68,"58-67",IF(CY76&lt;78,"68-77","78+")))))) </f>
        <v/>
      </c>
      <c r="DA76" s="48">
        <f>IF(AND(BQ76&lt;&gt;"",BR76=""),N(BS76),0)+IF(AND(BW76&lt;&gt;"",BX76=""),N(BY76),0)+IF(AND(CC76&lt;&gt;"",CD76=""),N(CE76),0)+IF(AND(CI76&lt;&gt;"",CJ76=""),N(CK76),0)+IF(AND(CO76&lt;&gt;"",CP76=""),N(CQ76),0)</f>
        <v/>
      </c>
      <c r="DB76" s="48">
        <f>ROUND(IF(BQ76&lt;&gt;"",N(BS76)*MAX(0,((IF(BR76="",TODAY(),BR76))-BQ76)/7),0)+IF(BW76&lt;&gt;"",N(BY76)*MAX(0,((IF(BX76="",TODAY(),BX76))-BW76)/7),0)+IF(CC76&lt;&gt;"",N(CE76)*MAX(0,((IF(CD76="",TODAY(),CD76))-CC76)/7),0)+IF(CI76&lt;&gt;"",N(CK76)*MAX(0,((IF(CJ76="",TODAY(),CJ76))-CI76)/7),0)+IF(CO76&lt;&gt;"",N(CQ76)*MAX(0,((IF(CP76="",TODAY(),CP76))-CO76)/7),0),1)</f>
        <v/>
      </c>
      <c r="DC76" s="48">
        <f>IF(OR(TRIM(X76)="",TRIM(X76)="NA;",TRIM(X76)="NA"),0,1)</f>
        <v/>
      </c>
      <c r="DD76" s="48">
        <f>IF(OR(TRIM(Y76)="",TRIM(Y76)="NA;",TRIM(Y76)="NA"),0,1)</f>
        <v/>
      </c>
      <c r="DE76" s="48">
        <f>IF(OR(TRIM(Z76)="",TRIM(Z76)="NA;",TRIM(Z76)="NA"),0,1)</f>
        <v/>
      </c>
      <c r="DF76" s="48">
        <f>IF(OR(TRIM(AA76)="",TRIM(AA76)="NA;",TRIM(AA76)="NA"),0,1)</f>
        <v/>
      </c>
      <c r="DG76" s="48">
        <f>IF(OR(TRIM(AB76)="",TRIM(AB76)="NA;",TRIM(AB76)="NA"),0,1)</f>
        <v/>
      </c>
      <c r="DH76" s="48">
        <f>IF(OR(TRIM(AC76)="",TRIM(AC76)="NA;",TRIM(AC76)="NA"),0,1)</f>
        <v/>
      </c>
      <c r="DI76" s="48">
        <f>IF(OR(TRIM(AD76)="",TRIM(AD76)="NA;",TRIM(AD76)="NA"),0,1)</f>
        <v/>
      </c>
      <c r="DJ76" s="48">
        <f>TRIM(IF(DC76=1,"Mon ","")&amp;IF(DD76=1,"Tue ","")&amp;IF(DE76=1,"Wed ","")&amp;IF(DF76=1,"Thu ","")&amp;IF(DG76=1,"Fri ","")&amp;IF(DH76=1,"Sat ","")&amp;IF(DI76=1,"Sun ",""))</f>
        <v/>
      </c>
    </row>
    <row r="77">
      <c r="A77" s="48" t="inlineStr">
        <is>
          <t>T-N-00025</t>
        </is>
      </c>
      <c r="B77" s="48" t="inlineStr">
        <is>
          <t>Layla Khan</t>
        </is>
      </c>
      <c r="C77" s="48" t="inlineStr">
        <is>
          <t>layla.khan75@example.com</t>
        </is>
      </c>
      <c r="D77" s="48" t="inlineStr">
        <is>
          <t>+61 456 467 000</t>
        </is>
      </c>
      <c r="E77" s="48" t="inlineStr">
        <is>
          <t>Zara Walker</t>
        </is>
      </c>
      <c r="F77" s="48" t="inlineStr">
        <is>
          <t>+61 487 455 009</t>
        </is>
      </c>
      <c r="G77" s="48" t="inlineStr">
        <is>
          <t>Spouse</t>
        </is>
      </c>
      <c r="H77" s="48" t="inlineStr">
        <is>
          <t>Tutor</t>
        </is>
      </c>
      <c r="I77" s="49" t="n">
        <v>45845</v>
      </c>
      <c r="J77" s="48" t="inlineStr">
        <is>
          <t>ADM-ACT-MAT-CNE</t>
        </is>
      </c>
      <c r="K77" s="48">
        <f>IFERROR(VLOOKUP(J77,'(A) Introduction'!$B$35:$C$45,2,FALSE),"")</f>
        <v/>
      </c>
      <c r="L77" s="48" t="inlineStr">
        <is>
          <t>No</t>
        </is>
      </c>
      <c r="M77" s="48" t="inlineStr"/>
      <c r="N77" s="48" t="inlineStr"/>
      <c r="O77" s="48" t="n">
        <v>3</v>
      </c>
      <c r="P77" s="48">
        <f>IF($H77="Tutor",((BQ77&lt;&gt;"")*(BR77=""))+((BW77&lt;&gt;"")*(BX77=""))+((CC77&lt;&gt;"")*(CD77=""))+((CI77&lt;&gt;"")*(CJ77=""))+((CO77&lt;&gt;"")*(CP77="")),SUMPRODUCT(--($BO$3:$BO$202=$A77),--($BR$3:$BR$202=""))+SUMPRODUCT(--($BU$3:$BU$202=$A77),--($BX$3:$BX$202=""))+SUMPRODUCT(--($CA$3:$CA$202=$A77),--($CD$3:$CD$202=""))+SUMPRODUCT(--($CG$3:$CG$202=$A77),--($CJ$3:$CJ$202=""))+SUMPRODUCT(--($CM$3:$CM$202=$A77),--($CP$3:$CP$202="")))</f>
        <v/>
      </c>
      <c r="Q77" s="48">
        <f>IF($H77="Tutor",(BQ77&lt;&gt;"")+(BW77&lt;&gt;"")+(CC77&lt;&gt;"")+(CI77&lt;&gt;"")+(CO77&lt;&gt;""),SUMPRODUCT(--($BO$3:$BO$202=$A77))+SUMPRODUCT(--($BU$3:$BU$202=$A77))+SUMPRODUCT(--($CA$3:$CA$202=$A77))+SUMPRODUCT(--($CG$3:$CG$202=$A77))+SUMPRODUCT(--($CM$3:$CM$202=$A77)))</f>
        <v/>
      </c>
      <c r="R77" s="48">
        <f>IF($H77="Tutor",TRIM(IF(AND(BQ77&lt;&gt;"",BR77=""),BP77&amp;"; ","")&amp;IF(AND(BW77&lt;&gt;"",BX77=""),BV77&amp;"; ","")&amp;IF(AND(CC77&lt;&gt;"",CD77=""),CB77&amp;"; ","")&amp;IF(AND(CI77&lt;&gt;"",CJ77=""),CH77&amp;"; ","")&amp;IF(AND(CO77&lt;&gt;"",CP77=""),CN77&amp;"; ","")),IFERROR(INDEX($A$3:$B$202,(SUMPRODUCT(($BO$3:$BO$202=$A77)*($BR$3:$BR$202="")*ROW($BO$3:$BO$202))+SUMPRODUCT(($BU$3:$BU$202=$A77)*($BX$3:$BX$202="")*ROW($BU$3:$BU$202))+SUMPRODUCT(($CA$3:$CA$202=$A77)*($CD$3:$CD$202="")*ROW($CA$3:$CA$202))+SUMPRODUCT(($CG$3:$CG$202=$A77)*($CJ$3:$CJ$202="")*ROW($CG$3:$CG$202))+SUMPRODUCT(($CM$3:$CM$202=$A77)*($CP$3:$CP$202="")*ROW($CM$3:$CM$202)))-2,2),""))</f>
        <v/>
      </c>
      <c r="S77" s="48" t="inlineStr">
        <is>
          <t>Provided</t>
        </is>
      </c>
      <c r="T77" s="48" t="inlineStr"/>
      <c r="U77" s="48" t="inlineStr"/>
      <c r="V77" s="49" t="n">
        <v>45894</v>
      </c>
      <c r="W77" s="48" t="inlineStr">
        <is>
          <t>ACDT (UTC+10:30)</t>
        </is>
      </c>
      <c r="X77" s="48" t="inlineStr">
        <is>
          <t>9am-12pm;</t>
        </is>
      </c>
      <c r="Y77" s="48" t="inlineStr">
        <is>
          <t>3pm-6pm;</t>
        </is>
      </c>
      <c r="Z77" s="48" t="inlineStr">
        <is>
          <t>9am-12pm;</t>
        </is>
      </c>
      <c r="AA77" s="48" t="inlineStr">
        <is>
          <t>3pm-6pm;</t>
        </is>
      </c>
      <c r="AB77" s="48" t="inlineStr">
        <is>
          <t>6pm-9pm;</t>
        </is>
      </c>
      <c r="AC77" s="48" t="inlineStr">
        <is>
          <t>6am-9am;9am-12pm;</t>
        </is>
      </c>
      <c r="AD77" s="48" t="inlineStr">
        <is>
          <t>3pm-6pm;</t>
        </is>
      </c>
      <c r="AE77" s="48" t="inlineStr">
        <is>
          <t>Online</t>
        </is>
      </c>
      <c r="AF77" s="48" t="inlineStr">
        <is>
          <t>NA - Tutor</t>
        </is>
      </c>
      <c r="AG77" s="48" t="inlineStr">
        <is>
          <t>Australia</t>
        </is>
      </c>
      <c r="AH77" s="48" t="inlineStr">
        <is>
          <t>New South Wales</t>
        </is>
      </c>
      <c r="AI77" s="48" t="inlineStr">
        <is>
          <t>Greenacre</t>
        </is>
      </c>
      <c r="AJ77" s="48" t="inlineStr">
        <is>
          <t>2190</t>
        </is>
      </c>
      <c r="AK77" s="49" t="n">
        <v>28739</v>
      </c>
      <c r="AL77" s="48" t="inlineStr">
        <is>
          <t>Other</t>
        </is>
      </c>
      <c r="AM77" s="48" t="inlineStr">
        <is>
          <t>NA</t>
        </is>
      </c>
      <c r="AN77" s="48" t="inlineStr">
        <is>
          <t>NA - Tutor</t>
        </is>
      </c>
      <c r="AO77" s="48" t="inlineStr">
        <is>
          <t>Moderate</t>
        </is>
      </c>
      <c r="AP77" s="48" t="inlineStr">
        <is>
          <t>Australia</t>
        </is>
      </c>
      <c r="AQ77" s="48" t="inlineStr">
        <is>
          <t>NA</t>
        </is>
      </c>
      <c r="AR77" s="48" t="inlineStr">
        <is>
          <t>English (C2)</t>
        </is>
      </c>
      <c r="AS77" s="48" t="inlineStr">
        <is>
          <t>None</t>
        </is>
      </c>
      <c r="AT77" s="48" t="inlineStr">
        <is>
          <t>Trades &amp; Construction</t>
        </is>
      </c>
      <c r="AU77" s="48" t="inlineStr">
        <is>
          <t>Student</t>
        </is>
      </c>
      <c r="AV77" s="48" t="inlineStr">
        <is>
          <t>NA - Tutor</t>
        </is>
      </c>
      <c r="AW77" s="48" t="inlineStr">
        <is>
          <t>Art; Photography; Travel</t>
        </is>
      </c>
      <c r="AX77" s="48" t="inlineStr">
        <is>
          <t>NA - Tutor</t>
        </is>
      </c>
      <c r="AY77" s="48" t="inlineStr">
        <is>
          <t>Yes</t>
        </is>
      </c>
      <c r="AZ77" s="48" t="inlineStr">
        <is>
          <t>Yes</t>
        </is>
      </c>
      <c r="BA77" s="48" t="inlineStr">
        <is>
          <t>Laura Fernando</t>
        </is>
      </c>
      <c r="BB77" s="48" t="inlineStr">
        <is>
          <t>Colleague</t>
        </is>
      </c>
      <c r="BC77" s="48" t="inlineStr">
        <is>
          <t>nour.ali575@example.com</t>
        </is>
      </c>
      <c r="BD77" s="48" t="inlineStr">
        <is>
          <t>Yes</t>
        </is>
      </c>
      <c r="BE77" s="48" t="inlineStr">
        <is>
          <t>WWC7998405V</t>
        </is>
      </c>
      <c r="BF77" s="49" t="n">
        <v>46262</v>
      </c>
      <c r="BG77" s="48" t="inlineStr">
        <is>
          <t>Yes</t>
        </is>
      </c>
      <c r="BH77" s="48" t="inlineStr">
        <is>
          <t>Everyone</t>
        </is>
      </c>
      <c r="BI77" s="48" t="inlineStr">
        <is>
          <t>Ayelet</t>
        </is>
      </c>
      <c r="BJ77" s="48" t="inlineStr">
        <is>
          <t>HALLORAN Isobel</t>
        </is>
      </c>
      <c r="BK77" s="48" t="inlineStr">
        <is>
          <t>SINGH Veera</t>
        </is>
      </c>
      <c r="BL77" s="48" t="inlineStr">
        <is>
          <t>Synthetic test record.</t>
        </is>
      </c>
      <c r="BM77" s="48" t="inlineStr"/>
      <c r="BN77" s="48">
        <f>TRIM(IF(AND($H77="Student",$J77="ADM-ACT-MAT-CNE"),"Invalid: Student cannot be CNE. ","")&amp;IF(AND($H77="Student",ISNUMBER($O77)),"Check: capacity set for a Student. ","")&amp;IF(AND(LEFT($J77,11)="ADM-ACT-MAT",$P77=0),"Check: matched status but 0 active pairings. ","")&amp;IF(AND($H77="Tutor",ISNUMBER($O77),$P77&gt;$O77),"Check: pairings exceed capacity. ","")&amp;IF(AND($BH77="Everyone",NOT(AND($BD77="Yes",$BG77="Yes"))),"Check: approved to tutor children but WWCC not provided/confirmed. ","")&amp;IF(AND($P77&gt;0,NOT(AND(OR(LEFT($AY77,3)="Yes",LEFT($AY77,2)="NA"),OR(LEFT($AZ77,3)="Yes",LEFT($AZ77,2)="NA")))),"Matched but vetting incomplete (interview/reference). ","")&amp;IF(COUNTIF($B$3:$B$600,$B77)&gt;1,"Duplicate participant name. ",""))</f>
        <v/>
      </c>
      <c r="BO77" s="48" t="inlineStr">
        <is>
          <t>S-O-00035</t>
        </is>
      </c>
      <c r="BP77" s="48">
        <f>IFERROR(VLOOKUP(BO77,$A:$B,2,FALSE),"")</f>
        <v/>
      </c>
      <c r="BQ77" s="49" t="n">
        <v>45640</v>
      </c>
      <c r="BR77" s="48" t="inlineStr"/>
      <c r="BS77" s="48" t="n">
        <v>1</v>
      </c>
      <c r="BT77" s="48" t="inlineStr">
        <is>
          <t>THET Moh Moh</t>
        </is>
      </c>
      <c r="BU77" s="48" t="inlineStr">
        <is>
          <t>S-N-00036</t>
        </is>
      </c>
      <c r="BV77" s="48">
        <f>IFERROR(VLOOKUP(BU77,$A:$B,2,FALSE),"")</f>
        <v/>
      </c>
      <c r="BW77" s="49" t="n">
        <v>45954</v>
      </c>
      <c r="BX77" s="48" t="inlineStr"/>
      <c r="BY77" s="48" t="n">
        <v>1</v>
      </c>
      <c r="BZ77" s="48" t="inlineStr">
        <is>
          <t>ZULMAN Levi</t>
        </is>
      </c>
      <c r="CA77" s="48" t="inlineStr">
        <is>
          <t>S-O-00030</t>
        </is>
      </c>
      <c r="CB77" s="48">
        <f>IFERROR(VLOOKUP(CA77,$A:$B,2,FALSE),"")</f>
        <v/>
      </c>
      <c r="CC77" s="49" t="n">
        <v>45544</v>
      </c>
      <c r="CD77" s="49" t="n">
        <v>45829</v>
      </c>
      <c r="CE77" s="48" t="n">
        <v>2</v>
      </c>
      <c r="CF77" s="48" t="inlineStr">
        <is>
          <t>AGARWAL Akanksha</t>
        </is>
      </c>
      <c r="CG77" s="48" t="inlineStr"/>
      <c r="CH77" s="48" t="inlineStr"/>
      <c r="CI77" s="48" t="inlineStr"/>
      <c r="CJ77" s="48" t="inlineStr"/>
      <c r="CK77" s="48" t="inlineStr"/>
      <c r="CL77" s="48" t="inlineStr"/>
      <c r="CM77" s="48" t="inlineStr"/>
      <c r="CN77" s="48" t="inlineStr"/>
      <c r="CO77" s="48" t="inlineStr"/>
      <c r="CP77" s="48" t="inlineStr"/>
      <c r="CQ77" s="48" t="inlineStr"/>
      <c r="CR77" s="48" t="inlineStr"/>
      <c r="CS77" s="48">
        <f>IF(LEFT($J77,3)="ERR",0,1)</f>
        <v/>
      </c>
      <c r="CT77" s="48">
        <f>IF(LEFT($J77,3)="ADM",1,0)</f>
        <v/>
      </c>
      <c r="CU77" s="48">
        <f>IF(OR($J77="ADM-ACT-MAT-CNE",$J77="ADM-ACT-MAT-CE",$J77="ADM-INACT-M&amp;T"),1,0)</f>
        <v/>
      </c>
      <c r="CV77" s="48">
        <f>IF(AND(CU77=1,ISNUMBER(M77),ISNUMBER(I77)),M77-I77,"")</f>
        <v/>
      </c>
      <c r="CW77" s="48">
        <f>IF(ISNUMBER(I77),TODAY()-I77,"")</f>
        <v/>
      </c>
      <c r="CX77" s="48">
        <f>IF(ISNUMBER(I77),DATE(YEAR(I77),MONTH(I77),1),"")</f>
        <v/>
      </c>
      <c r="CY77" s="48">
        <f>IFERROR(DATEDIF(AK77,TODAY(),"y"),"")</f>
        <v/>
      </c>
      <c r="CZ77" s="48">
        <f>IF(CY77="","",IF(CY77&lt;28,"18-27",IF(CY77&lt;38,"28-37",IF(CY77&lt;48,"38-47",IF(CY77&lt;58,"48-57",IF(CY77&lt;68,"58-67",IF(CY77&lt;78,"68-77","78+")))))) </f>
        <v/>
      </c>
      <c r="DA77" s="48">
        <f>IF(AND(BQ77&lt;&gt;"",BR77=""),N(BS77),0)+IF(AND(BW77&lt;&gt;"",BX77=""),N(BY77),0)+IF(AND(CC77&lt;&gt;"",CD77=""),N(CE77),0)+IF(AND(CI77&lt;&gt;"",CJ77=""),N(CK77),0)+IF(AND(CO77&lt;&gt;"",CP77=""),N(CQ77),0)</f>
        <v/>
      </c>
      <c r="DB77" s="48">
        <f>ROUND(IF(BQ77&lt;&gt;"",N(BS77)*MAX(0,((IF(BR77="",TODAY(),BR77))-BQ77)/7),0)+IF(BW77&lt;&gt;"",N(BY77)*MAX(0,((IF(BX77="",TODAY(),BX77))-BW77)/7),0)+IF(CC77&lt;&gt;"",N(CE77)*MAX(0,((IF(CD77="",TODAY(),CD77))-CC77)/7),0)+IF(CI77&lt;&gt;"",N(CK77)*MAX(0,((IF(CJ77="",TODAY(),CJ77))-CI77)/7),0)+IF(CO77&lt;&gt;"",N(CQ77)*MAX(0,((IF(CP77="",TODAY(),CP77))-CO77)/7),0),1)</f>
        <v/>
      </c>
      <c r="DC77" s="48">
        <f>IF(OR(TRIM(X77)="",TRIM(X77)="NA;",TRIM(X77)="NA"),0,1)</f>
        <v/>
      </c>
      <c r="DD77" s="48">
        <f>IF(OR(TRIM(Y77)="",TRIM(Y77)="NA;",TRIM(Y77)="NA"),0,1)</f>
        <v/>
      </c>
      <c r="DE77" s="48">
        <f>IF(OR(TRIM(Z77)="",TRIM(Z77)="NA;",TRIM(Z77)="NA"),0,1)</f>
        <v/>
      </c>
      <c r="DF77" s="48">
        <f>IF(OR(TRIM(AA77)="",TRIM(AA77)="NA;",TRIM(AA77)="NA"),0,1)</f>
        <v/>
      </c>
      <c r="DG77" s="48">
        <f>IF(OR(TRIM(AB77)="",TRIM(AB77)="NA;",TRIM(AB77)="NA"),0,1)</f>
        <v/>
      </c>
      <c r="DH77" s="48">
        <f>IF(OR(TRIM(AC77)="",TRIM(AC77)="NA;",TRIM(AC77)="NA"),0,1)</f>
        <v/>
      </c>
      <c r="DI77" s="48">
        <f>IF(OR(TRIM(AD77)="",TRIM(AD77)="NA;",TRIM(AD77)="NA"),0,1)</f>
        <v/>
      </c>
      <c r="DJ77" s="48">
        <f>TRIM(IF(DC77=1,"Mon ","")&amp;IF(DD77=1,"Tue ","")&amp;IF(DE77=1,"Wed ","")&amp;IF(DF77=1,"Thu ","")&amp;IF(DG77=1,"Fri ","")&amp;IF(DH77=1,"Sat ","")&amp;IF(DI77=1,"Sun ",""))</f>
        <v/>
      </c>
    </row>
    <row r="78">
      <c r="A78" s="48" t="inlineStr">
        <is>
          <t>T-N-00026</t>
        </is>
      </c>
      <c r="B78" s="48" t="inlineStr">
        <is>
          <t>Viktor Hassan</t>
        </is>
      </c>
      <c r="C78" s="48" t="inlineStr">
        <is>
          <t>viktor.hassan76@example.com</t>
        </is>
      </c>
      <c r="D78" s="48" t="inlineStr">
        <is>
          <t>+61 449 091 748</t>
        </is>
      </c>
      <c r="E78" s="48" t="inlineStr">
        <is>
          <t>Nadia Khan</t>
        </is>
      </c>
      <c r="F78" s="48" t="inlineStr">
        <is>
          <t>+61 475 747 393</t>
        </is>
      </c>
      <c r="G78" s="48" t="inlineStr">
        <is>
          <t>Sibling</t>
        </is>
      </c>
      <c r="H78" s="48" t="inlineStr">
        <is>
          <t>Tutor</t>
        </is>
      </c>
      <c r="I78" s="49" t="n">
        <v>45854</v>
      </c>
      <c r="J78" s="48" t="inlineStr">
        <is>
          <t>ADM-INACT-NOM&amp;T</t>
        </is>
      </c>
      <c r="K78" s="48">
        <f>IFERROR(VLOOKUP(J78,'(A) Introduction'!$B$35:$C$45,2,FALSE),"")</f>
        <v/>
      </c>
      <c r="L78" s="48" t="inlineStr">
        <is>
          <t>No</t>
        </is>
      </c>
      <c r="M78" s="48" t="inlineStr"/>
      <c r="N78" s="48" t="inlineStr"/>
      <c r="O78" s="48" t="n">
        <v>1</v>
      </c>
      <c r="P78" s="48">
        <f>IF($H78="Tutor",((BQ78&lt;&gt;"")*(BR78=""))+((BW78&lt;&gt;"")*(BX78=""))+((CC78&lt;&gt;"")*(CD78=""))+((CI78&lt;&gt;"")*(CJ78=""))+((CO78&lt;&gt;"")*(CP78="")),SUMPRODUCT(--($BO$3:$BO$202=$A78),--($BR$3:$BR$202=""))+SUMPRODUCT(--($BU$3:$BU$202=$A78),--($BX$3:$BX$202=""))+SUMPRODUCT(--($CA$3:$CA$202=$A78),--($CD$3:$CD$202=""))+SUMPRODUCT(--($CG$3:$CG$202=$A78),--($CJ$3:$CJ$202=""))+SUMPRODUCT(--($CM$3:$CM$202=$A78),--($CP$3:$CP$202="")))</f>
        <v/>
      </c>
      <c r="Q78" s="48">
        <f>IF($H78="Tutor",(BQ78&lt;&gt;"")+(BW78&lt;&gt;"")+(CC78&lt;&gt;"")+(CI78&lt;&gt;"")+(CO78&lt;&gt;""),SUMPRODUCT(--($BO$3:$BO$202=$A78))+SUMPRODUCT(--($BU$3:$BU$202=$A78))+SUMPRODUCT(--($CA$3:$CA$202=$A78))+SUMPRODUCT(--($CG$3:$CG$202=$A78))+SUMPRODUCT(--($CM$3:$CM$202=$A78)))</f>
        <v/>
      </c>
      <c r="R78" s="48">
        <f>IF($H78="Tutor",TRIM(IF(AND(BQ78&lt;&gt;"",BR78=""),BP78&amp;"; ","")&amp;IF(AND(BW78&lt;&gt;"",BX78=""),BV78&amp;"; ","")&amp;IF(AND(CC78&lt;&gt;"",CD78=""),CB78&amp;"; ","")&amp;IF(AND(CI78&lt;&gt;"",CJ78=""),CH78&amp;"; ","")&amp;IF(AND(CO78&lt;&gt;"",CP78=""),CN78&amp;"; ","")),IFERROR(INDEX($A$3:$B$202,(SUMPRODUCT(($BO$3:$BO$202=$A78)*($BR$3:$BR$202="")*ROW($BO$3:$BO$202))+SUMPRODUCT(($BU$3:$BU$202=$A78)*($BX$3:$BX$202="")*ROW($BU$3:$BU$202))+SUMPRODUCT(($CA$3:$CA$202=$A78)*($CD$3:$CD$202="")*ROW($CA$3:$CA$202))+SUMPRODUCT(($CG$3:$CG$202=$A78)*($CJ$3:$CJ$202="")*ROW($CG$3:$CG$202))+SUMPRODUCT(($CM$3:$CM$202=$A78)*($CP$3:$CP$202="")*ROW($CM$3:$CM$202)))-2,2),""))</f>
        <v/>
      </c>
      <c r="S78" s="48" t="inlineStr">
        <is>
          <t>Provided</t>
        </is>
      </c>
      <c r="T78" s="48" t="inlineStr"/>
      <c r="U78" s="48" t="inlineStr"/>
      <c r="V78" s="49" t="n">
        <v>45472</v>
      </c>
      <c r="W78" s="48" t="inlineStr">
        <is>
          <t>AEST (UTC+10)</t>
        </is>
      </c>
      <c r="X78" s="48" t="inlineStr">
        <is>
          <t>6am-9am;9am-12pm;</t>
        </is>
      </c>
      <c r="Y78" s="48" t="inlineStr">
        <is>
          <t>3pm-6pm;</t>
        </is>
      </c>
      <c r="Z78" s="48" t="inlineStr">
        <is>
          <t>9am-12pm;</t>
        </is>
      </c>
      <c r="AA78" s="48" t="inlineStr">
        <is>
          <t>12pm-3pm;6pm-9pm;</t>
        </is>
      </c>
      <c r="AB78" s="48" t="inlineStr">
        <is>
          <t>9am-12pm;</t>
        </is>
      </c>
      <c r="AC78" s="48" t="inlineStr">
        <is>
          <t>9am-12pm;</t>
        </is>
      </c>
      <c r="AD78" s="48" t="inlineStr">
        <is>
          <t>6pm-9pm;</t>
        </is>
      </c>
      <c r="AE78" s="48" t="inlineStr">
        <is>
          <t>Either</t>
        </is>
      </c>
      <c r="AF78" s="48" t="inlineStr">
        <is>
          <t>NA - Tutor</t>
        </is>
      </c>
      <c r="AG78" s="48" t="inlineStr">
        <is>
          <t>Australia</t>
        </is>
      </c>
      <c r="AH78" s="48" t="inlineStr">
        <is>
          <t>New South Wales</t>
        </is>
      </c>
      <c r="AI78" s="48" t="inlineStr">
        <is>
          <t>Eastlakes</t>
        </is>
      </c>
      <c r="AJ78" s="48" t="inlineStr">
        <is>
          <t>2018</t>
        </is>
      </c>
      <c r="AK78" s="49" t="n">
        <v>31875</v>
      </c>
      <c r="AL78" s="48" t="inlineStr">
        <is>
          <t>Female</t>
        </is>
      </c>
      <c r="AM78" s="48" t="inlineStr">
        <is>
          <t>NA</t>
        </is>
      </c>
      <c r="AN78" s="48" t="inlineStr">
        <is>
          <t>NA - Tutor</t>
        </is>
      </c>
      <c r="AO78" s="48" t="inlineStr">
        <is>
          <t>Moderate</t>
        </is>
      </c>
      <c r="AP78" s="48" t="inlineStr">
        <is>
          <t>China</t>
        </is>
      </c>
      <c r="AQ78" s="48" t="inlineStr">
        <is>
          <t>NA</t>
        </is>
      </c>
      <c r="AR78" s="48" t="inlineStr">
        <is>
          <t>English (C2)</t>
        </is>
      </c>
      <c r="AS78" s="48" t="inlineStr">
        <is>
          <t>Buddhist</t>
        </is>
      </c>
      <c r="AT78" s="48" t="inlineStr">
        <is>
          <t>Trades &amp; Construction</t>
        </is>
      </c>
      <c r="AU78" s="48" t="inlineStr">
        <is>
          <t>Student</t>
        </is>
      </c>
      <c r="AV78" s="48" t="inlineStr">
        <is>
          <t>NA - Tutor</t>
        </is>
      </c>
      <c r="AW78" s="48" t="inlineStr">
        <is>
          <t>Reading; Politics; Music</t>
        </is>
      </c>
      <c r="AX78" s="48" t="inlineStr">
        <is>
          <t>NA - Tutor</t>
        </is>
      </c>
      <c r="AY78" s="48" t="inlineStr">
        <is>
          <t>Yes</t>
        </is>
      </c>
      <c r="AZ78" s="48" t="inlineStr">
        <is>
          <t>NA - Partner Organisation Verified</t>
        </is>
      </c>
      <c r="BA78" s="48" t="inlineStr">
        <is>
          <t>Nour Marks</t>
        </is>
      </c>
      <c r="BB78" s="48" t="inlineStr">
        <is>
          <t>Manager</t>
        </is>
      </c>
      <c r="BC78" s="48" t="inlineStr">
        <is>
          <t>omar.ng576@example.com</t>
        </is>
      </c>
      <c r="BD78" s="48" t="inlineStr">
        <is>
          <t>Pending</t>
        </is>
      </c>
      <c r="BE78" s="48" t="inlineStr"/>
      <c r="BF78" s="48" t="inlineStr"/>
      <c r="BG78" s="48" t="inlineStr">
        <is>
          <t>No</t>
        </is>
      </c>
      <c r="BH78" s="48" t="inlineStr">
        <is>
          <t>Adults Only</t>
        </is>
      </c>
      <c r="BI78" s="48" t="inlineStr">
        <is>
          <t>Jesuit Refugee Service</t>
        </is>
      </c>
      <c r="BJ78" s="48" t="inlineStr">
        <is>
          <t>CROCK Mary</t>
        </is>
      </c>
      <c r="BK78" s="48" t="inlineStr">
        <is>
          <t>CROCK Mary</t>
        </is>
      </c>
      <c r="BL78" s="48" t="inlineStr">
        <is>
          <t>Synthetic test record.</t>
        </is>
      </c>
      <c r="BM78" s="48" t="inlineStr"/>
      <c r="BN78" s="48">
        <f>TRIM(IF(AND($H78="Student",$J78="ADM-ACT-MAT-CNE"),"Invalid: Student cannot be CNE. ","")&amp;IF(AND($H78="Student",ISNUMBER($O78)),"Check: capacity set for a Student. ","")&amp;IF(AND(LEFT($J78,11)="ADM-ACT-MAT",$P78=0),"Check: matched status but 0 active pairings. ","")&amp;IF(AND($H78="Tutor",ISNUMBER($O78),$P78&gt;$O78),"Check: pairings exceed capacity. ","")&amp;IF(AND($BH78="Everyone",NOT(AND($BD78="Yes",$BG78="Yes"))),"Check: approved to tutor children but WWCC not provided/confirmed. ","")&amp;IF(AND($P78&gt;0,NOT(AND(OR(LEFT($AY78,3)="Yes",LEFT($AY78,2)="NA"),OR(LEFT($AZ78,3)="Yes",LEFT($AZ78,2)="NA")))),"Matched but vetting incomplete (interview/reference). ","")&amp;IF(COUNTIF($B$3:$B$600,$B78)&gt;1,"Duplicate participant name. ",""))</f>
        <v/>
      </c>
      <c r="BO78" s="48" t="inlineStr"/>
      <c r="BP78" s="48" t="inlineStr"/>
      <c r="BQ78" s="48" t="inlineStr"/>
      <c r="BR78" s="48" t="inlineStr"/>
      <c r="BS78" s="48" t="inlineStr"/>
      <c r="BT78" s="48" t="inlineStr"/>
      <c r="BU78" s="48" t="inlineStr"/>
      <c r="BV78" s="48" t="inlineStr"/>
      <c r="BW78" s="48" t="inlineStr"/>
      <c r="BX78" s="48" t="inlineStr"/>
      <c r="BY78" s="48" t="inlineStr"/>
      <c r="BZ78" s="48" t="inlineStr"/>
      <c r="CA78" s="48" t="inlineStr"/>
      <c r="CB78" s="48" t="inlineStr"/>
      <c r="CC78" s="48" t="inlineStr"/>
      <c r="CD78" s="48" t="inlineStr"/>
      <c r="CE78" s="48" t="inlineStr"/>
      <c r="CF78" s="48" t="inlineStr"/>
      <c r="CG78" s="48" t="inlineStr"/>
      <c r="CH78" s="48" t="inlineStr"/>
      <c r="CI78" s="48" t="inlineStr"/>
      <c r="CJ78" s="48" t="inlineStr"/>
      <c r="CK78" s="48" t="inlineStr"/>
      <c r="CL78" s="48" t="inlineStr"/>
      <c r="CM78" s="48" t="inlineStr"/>
      <c r="CN78" s="48" t="inlineStr"/>
      <c r="CO78" s="48" t="inlineStr"/>
      <c r="CP78" s="48" t="inlineStr"/>
      <c r="CQ78" s="48" t="inlineStr"/>
      <c r="CR78" s="48" t="inlineStr"/>
      <c r="CS78" s="48">
        <f>IF(LEFT($J78,3)="ERR",0,1)</f>
        <v/>
      </c>
      <c r="CT78" s="48">
        <f>IF(LEFT($J78,3)="ADM",1,0)</f>
        <v/>
      </c>
      <c r="CU78" s="48">
        <f>IF(OR($J78="ADM-ACT-MAT-CNE",$J78="ADM-ACT-MAT-CE",$J78="ADM-INACT-M&amp;T"),1,0)</f>
        <v/>
      </c>
      <c r="CV78" s="48">
        <f>IF(AND(CU78=1,ISNUMBER(M78),ISNUMBER(I78)),M78-I78,"")</f>
        <v/>
      </c>
      <c r="CW78" s="48">
        <f>IF(ISNUMBER(I78),TODAY()-I78,"")</f>
        <v/>
      </c>
      <c r="CX78" s="48">
        <f>IF(ISNUMBER(I78),DATE(YEAR(I78),MONTH(I78),1),"")</f>
        <v/>
      </c>
      <c r="CY78" s="48">
        <f>IFERROR(DATEDIF(AK78,TODAY(),"y"),"")</f>
        <v/>
      </c>
      <c r="CZ78" s="48">
        <f>IF(CY78="","",IF(CY78&lt;28,"18-27",IF(CY78&lt;38,"28-37",IF(CY78&lt;48,"38-47",IF(CY78&lt;58,"48-57",IF(CY78&lt;68,"58-67",IF(CY78&lt;78,"68-77","78+")))))) </f>
        <v/>
      </c>
      <c r="DA78" s="48">
        <f>IF(AND(BQ78&lt;&gt;"",BR78=""),N(BS78),0)+IF(AND(BW78&lt;&gt;"",BX78=""),N(BY78),0)+IF(AND(CC78&lt;&gt;"",CD78=""),N(CE78),0)+IF(AND(CI78&lt;&gt;"",CJ78=""),N(CK78),0)+IF(AND(CO78&lt;&gt;"",CP78=""),N(CQ78),0)</f>
        <v/>
      </c>
      <c r="DB78" s="48">
        <f>ROUND(IF(BQ78&lt;&gt;"",N(BS78)*MAX(0,((IF(BR78="",TODAY(),BR78))-BQ78)/7),0)+IF(BW78&lt;&gt;"",N(BY78)*MAX(0,((IF(BX78="",TODAY(),BX78))-BW78)/7),0)+IF(CC78&lt;&gt;"",N(CE78)*MAX(0,((IF(CD78="",TODAY(),CD78))-CC78)/7),0)+IF(CI78&lt;&gt;"",N(CK78)*MAX(0,((IF(CJ78="",TODAY(),CJ78))-CI78)/7),0)+IF(CO78&lt;&gt;"",N(CQ78)*MAX(0,((IF(CP78="",TODAY(),CP78))-CO78)/7),0),1)</f>
        <v/>
      </c>
      <c r="DC78" s="48">
        <f>IF(OR(TRIM(X78)="",TRIM(X78)="NA;",TRIM(X78)="NA"),0,1)</f>
        <v/>
      </c>
      <c r="DD78" s="48">
        <f>IF(OR(TRIM(Y78)="",TRIM(Y78)="NA;",TRIM(Y78)="NA"),0,1)</f>
        <v/>
      </c>
      <c r="DE78" s="48">
        <f>IF(OR(TRIM(Z78)="",TRIM(Z78)="NA;",TRIM(Z78)="NA"),0,1)</f>
        <v/>
      </c>
      <c r="DF78" s="48">
        <f>IF(OR(TRIM(AA78)="",TRIM(AA78)="NA;",TRIM(AA78)="NA"),0,1)</f>
        <v/>
      </c>
      <c r="DG78" s="48">
        <f>IF(OR(TRIM(AB78)="",TRIM(AB78)="NA;",TRIM(AB78)="NA"),0,1)</f>
        <v/>
      </c>
      <c r="DH78" s="48">
        <f>IF(OR(TRIM(AC78)="",TRIM(AC78)="NA;",TRIM(AC78)="NA"),0,1)</f>
        <v/>
      </c>
      <c r="DI78" s="48">
        <f>IF(OR(TRIM(AD78)="",TRIM(AD78)="NA;",TRIM(AD78)="NA"),0,1)</f>
        <v/>
      </c>
      <c r="DJ78" s="48">
        <f>TRIM(IF(DC78=1,"Mon ","")&amp;IF(DD78=1,"Tue ","")&amp;IF(DE78=1,"Wed ","")&amp;IF(DF78=1,"Thu ","")&amp;IF(DG78=1,"Fri ","")&amp;IF(DH78=1,"Sat ","")&amp;IF(DI78=1,"Sun ",""))</f>
        <v/>
      </c>
    </row>
    <row r="79">
      <c r="A79" s="48" t="inlineStr">
        <is>
          <t>T-N-00027</t>
        </is>
      </c>
      <c r="B79" s="48" t="inlineStr">
        <is>
          <t>James Garcia</t>
        </is>
      </c>
      <c r="C79" s="48" t="inlineStr">
        <is>
          <t>james.garcia77@example.com</t>
        </is>
      </c>
      <c r="D79" s="48" t="inlineStr">
        <is>
          <t>+61 470 615 614</t>
        </is>
      </c>
      <c r="E79" s="48" t="inlineStr">
        <is>
          <t>Nadia Slaytor</t>
        </is>
      </c>
      <c r="F79" s="48" t="inlineStr">
        <is>
          <t>+61 472 430 374</t>
        </is>
      </c>
      <c r="G79" s="48" t="inlineStr">
        <is>
          <t>Friend</t>
        </is>
      </c>
      <c r="H79" s="48" t="inlineStr">
        <is>
          <t>Tutor</t>
        </is>
      </c>
      <c r="I79" s="49" t="n">
        <v>45854</v>
      </c>
      <c r="J79" s="48" t="inlineStr">
        <is>
          <t>ADM-ACT-MAT-CE</t>
        </is>
      </c>
      <c r="K79" s="48">
        <f>IFERROR(VLOOKUP(J79,'(A) Introduction'!$B$35:$C$45,2,FALSE),"")</f>
        <v/>
      </c>
      <c r="L79" s="48" t="inlineStr">
        <is>
          <t>No</t>
        </is>
      </c>
      <c r="M79" s="48" t="inlineStr"/>
      <c r="N79" s="48" t="inlineStr"/>
      <c r="O79" s="48" t="n">
        <v>1</v>
      </c>
      <c r="P79" s="48">
        <f>IF($H79="Tutor",((BQ79&lt;&gt;"")*(BR79=""))+((BW79&lt;&gt;"")*(BX79=""))+((CC79&lt;&gt;"")*(CD79=""))+((CI79&lt;&gt;"")*(CJ79=""))+((CO79&lt;&gt;"")*(CP79="")),SUMPRODUCT(--($BO$3:$BO$202=$A79),--($BR$3:$BR$202=""))+SUMPRODUCT(--($BU$3:$BU$202=$A79),--($BX$3:$BX$202=""))+SUMPRODUCT(--($CA$3:$CA$202=$A79),--($CD$3:$CD$202=""))+SUMPRODUCT(--($CG$3:$CG$202=$A79),--($CJ$3:$CJ$202=""))+SUMPRODUCT(--($CM$3:$CM$202=$A79),--($CP$3:$CP$202="")))</f>
        <v/>
      </c>
      <c r="Q79" s="48">
        <f>IF($H79="Tutor",(BQ79&lt;&gt;"")+(BW79&lt;&gt;"")+(CC79&lt;&gt;"")+(CI79&lt;&gt;"")+(CO79&lt;&gt;""),SUMPRODUCT(--($BO$3:$BO$202=$A79))+SUMPRODUCT(--($BU$3:$BU$202=$A79))+SUMPRODUCT(--($CA$3:$CA$202=$A79))+SUMPRODUCT(--($CG$3:$CG$202=$A79))+SUMPRODUCT(--($CM$3:$CM$202=$A79)))</f>
        <v/>
      </c>
      <c r="R79" s="48">
        <f>IF($H79="Tutor",TRIM(IF(AND(BQ79&lt;&gt;"",BR79=""),BP79&amp;"; ","")&amp;IF(AND(BW79&lt;&gt;"",BX79=""),BV79&amp;"; ","")&amp;IF(AND(CC79&lt;&gt;"",CD79=""),CB79&amp;"; ","")&amp;IF(AND(CI79&lt;&gt;"",CJ79=""),CH79&amp;"; ","")&amp;IF(AND(CO79&lt;&gt;"",CP79=""),CN79&amp;"; ","")),IFERROR(INDEX($A$3:$B$202,(SUMPRODUCT(($BO$3:$BO$202=$A79)*($BR$3:$BR$202="")*ROW($BO$3:$BO$202))+SUMPRODUCT(($BU$3:$BU$202=$A79)*($BX$3:$BX$202="")*ROW($BU$3:$BU$202))+SUMPRODUCT(($CA$3:$CA$202=$A79)*($CD$3:$CD$202="")*ROW($CA$3:$CA$202))+SUMPRODUCT(($CG$3:$CG$202=$A79)*($CJ$3:$CJ$202="")*ROW($CG$3:$CG$202))+SUMPRODUCT(($CM$3:$CM$202=$A79)*($CP$3:$CP$202="")*ROW($CM$3:$CM$202)))-2,2),""))</f>
        <v/>
      </c>
      <c r="S79" s="48" t="inlineStr">
        <is>
          <t>Not Provided</t>
        </is>
      </c>
      <c r="T79" s="48" t="inlineStr"/>
      <c r="U79" s="48" t="inlineStr"/>
      <c r="V79" s="49" t="n">
        <v>45802</v>
      </c>
      <c r="W79" s="48" t="inlineStr">
        <is>
          <t>AWST (UTC+8)</t>
        </is>
      </c>
      <c r="X79" s="48" t="inlineStr">
        <is>
          <t>NA;</t>
        </is>
      </c>
      <c r="Y79" s="48" t="inlineStr">
        <is>
          <t>3pm-6pm;</t>
        </is>
      </c>
      <c r="Z79" s="48" t="inlineStr">
        <is>
          <t>12pm-3pm;</t>
        </is>
      </c>
      <c r="AA79" s="48" t="inlineStr">
        <is>
          <t>9am-12pm;12pm-3pm;3pm-6pm;</t>
        </is>
      </c>
      <c r="AB79" s="48" t="inlineStr">
        <is>
          <t>9am-12pm;12pm-3pm;3pm-6pm;</t>
        </is>
      </c>
      <c r="AC79" s="48" t="inlineStr">
        <is>
          <t>12pm-3pm;</t>
        </is>
      </c>
      <c r="AD79" s="48" t="inlineStr">
        <is>
          <t>12pm-3pm;6pm-9pm;</t>
        </is>
      </c>
      <c r="AE79" s="48" t="inlineStr">
        <is>
          <t>In-Person</t>
        </is>
      </c>
      <c r="AF79" s="48" t="inlineStr">
        <is>
          <t>NA - Tutor</t>
        </is>
      </c>
      <c r="AG79" s="48" t="inlineStr">
        <is>
          <t>Australia</t>
        </is>
      </c>
      <c r="AH79" s="48" t="inlineStr">
        <is>
          <t>New South Wales</t>
        </is>
      </c>
      <c r="AI79" s="48" t="inlineStr">
        <is>
          <t>Eastlakes</t>
        </is>
      </c>
      <c r="AJ79" s="48" t="inlineStr">
        <is>
          <t>2018</t>
        </is>
      </c>
      <c r="AK79" s="49" t="n">
        <v>33233</v>
      </c>
      <c r="AL79" s="48" t="inlineStr">
        <is>
          <t>Female</t>
        </is>
      </c>
      <c r="AM79" s="48" t="inlineStr">
        <is>
          <t>NA</t>
        </is>
      </c>
      <c r="AN79" s="48" t="inlineStr">
        <is>
          <t>NA - Tutor</t>
        </is>
      </c>
      <c r="AO79" s="48" t="inlineStr">
        <is>
          <t>Moderate</t>
        </is>
      </c>
      <c r="AP79" s="48" t="inlineStr">
        <is>
          <t>China</t>
        </is>
      </c>
      <c r="AQ79" s="48" t="inlineStr">
        <is>
          <t>NA</t>
        </is>
      </c>
      <c r="AR79" s="48" t="inlineStr">
        <is>
          <t>Ukrainian (C2)</t>
        </is>
      </c>
      <c r="AS79" s="48" t="inlineStr">
        <is>
          <t>Hindu</t>
        </is>
      </c>
      <c r="AT79" s="48" t="inlineStr">
        <is>
          <t>Business &amp; Finance</t>
        </is>
      </c>
      <c r="AU79" s="48" t="inlineStr">
        <is>
          <t>Student</t>
        </is>
      </c>
      <c r="AV79" s="48" t="inlineStr">
        <is>
          <t>NA - Tutor</t>
        </is>
      </c>
      <c r="AW79" s="48" t="inlineStr">
        <is>
          <t>Art; Photography; Travel</t>
        </is>
      </c>
      <c r="AX79" s="48" t="inlineStr">
        <is>
          <t>NA - Tutor</t>
        </is>
      </c>
      <c r="AY79" s="48" t="inlineStr">
        <is>
          <t>No</t>
        </is>
      </c>
      <c r="AZ79" s="48" t="inlineStr">
        <is>
          <t>Yes</t>
        </is>
      </c>
      <c r="BA79" s="48" t="inlineStr">
        <is>
          <t>Mark Ahmed</t>
        </is>
      </c>
      <c r="BB79" s="48" t="inlineStr">
        <is>
          <t>Friend</t>
        </is>
      </c>
      <c r="BC79" s="48" t="inlineStr">
        <is>
          <t>luke.hassan577@example.com</t>
        </is>
      </c>
      <c r="BD79" s="48" t="inlineStr">
        <is>
          <t>Pending</t>
        </is>
      </c>
      <c r="BE79" s="48" t="inlineStr"/>
      <c r="BF79" s="48" t="inlineStr"/>
      <c r="BG79" s="48" t="inlineStr">
        <is>
          <t>No</t>
        </is>
      </c>
      <c r="BH79" s="48" t="inlineStr">
        <is>
          <t>Adults Only</t>
        </is>
      </c>
      <c r="BI79" s="48" t="inlineStr">
        <is>
          <t>AMES Australia</t>
        </is>
      </c>
      <c r="BJ79" s="48" t="inlineStr">
        <is>
          <t>MCCLELLAND Reeve</t>
        </is>
      </c>
      <c r="BK79" s="48" t="inlineStr">
        <is>
          <t>MCCLELLAND Reeve</t>
        </is>
      </c>
      <c r="BL79" s="48" t="inlineStr">
        <is>
          <t>Synthetic test record.</t>
        </is>
      </c>
      <c r="BM79" s="48" t="inlineStr"/>
      <c r="BN79" s="48">
        <f>TRIM(IF(AND($H79="Student",$J79="ADM-ACT-MAT-CNE"),"Invalid: Student cannot be CNE. ","")&amp;IF(AND($H79="Student",ISNUMBER($O79)),"Check: capacity set for a Student. ","")&amp;IF(AND(LEFT($J79,11)="ADM-ACT-MAT",$P79=0),"Check: matched status but 0 active pairings. ","")&amp;IF(AND($H79="Tutor",ISNUMBER($O79),$P79&gt;$O79),"Check: pairings exceed capacity. ","")&amp;IF(AND($BH79="Everyone",NOT(AND($BD79="Yes",$BG79="Yes"))),"Check: approved to tutor children but WWCC not provided/confirmed. ","")&amp;IF(AND($P79&gt;0,NOT(AND(OR(LEFT($AY79,3)="Yes",LEFT($AY79,2)="NA"),OR(LEFT($AZ79,3)="Yes",LEFT($AZ79,2)="NA")))),"Matched but vetting incomplete (interview/reference). ","")&amp;IF(COUNTIF($B$3:$B$600,$B79)&gt;1,"Duplicate participant name. ",""))</f>
        <v/>
      </c>
      <c r="BO79" s="48" t="inlineStr">
        <is>
          <t>S-O-00005</t>
        </is>
      </c>
      <c r="BP79" s="48">
        <f>IFERROR(VLOOKUP(BO79,$A:$B,2,FALSE),"")</f>
        <v/>
      </c>
      <c r="BQ79" s="49" t="n">
        <v>45457</v>
      </c>
      <c r="BR79" s="48" t="inlineStr"/>
      <c r="BS79" s="48" t="n">
        <v>1</v>
      </c>
      <c r="BT79" s="48" t="inlineStr">
        <is>
          <t>HALLORAN Isobel</t>
        </is>
      </c>
      <c r="BU79" s="48" t="inlineStr"/>
      <c r="BV79" s="48" t="inlineStr"/>
      <c r="BW79" s="48" t="inlineStr"/>
      <c r="BX79" s="48" t="inlineStr"/>
      <c r="BY79" s="48" t="inlineStr"/>
      <c r="BZ79" s="48" t="inlineStr"/>
      <c r="CA79" s="48" t="inlineStr"/>
      <c r="CB79" s="48" t="inlineStr"/>
      <c r="CC79" s="48" t="inlineStr"/>
      <c r="CD79" s="48" t="inlineStr"/>
      <c r="CE79" s="48" t="inlineStr"/>
      <c r="CF79" s="48" t="inlineStr"/>
      <c r="CG79" s="48" t="inlineStr"/>
      <c r="CH79" s="48" t="inlineStr"/>
      <c r="CI79" s="48" t="inlineStr"/>
      <c r="CJ79" s="48" t="inlineStr"/>
      <c r="CK79" s="48" t="inlineStr"/>
      <c r="CL79" s="48" t="inlineStr"/>
      <c r="CM79" s="48" t="inlineStr"/>
      <c r="CN79" s="48" t="inlineStr"/>
      <c r="CO79" s="48" t="inlineStr"/>
      <c r="CP79" s="48" t="inlineStr"/>
      <c r="CQ79" s="48" t="inlineStr"/>
      <c r="CR79" s="48" t="inlineStr"/>
      <c r="CS79" s="48">
        <f>IF(LEFT($J79,3)="ERR",0,1)</f>
        <v/>
      </c>
      <c r="CT79" s="48">
        <f>IF(LEFT($J79,3)="ADM",1,0)</f>
        <v/>
      </c>
      <c r="CU79" s="48">
        <f>IF(OR($J79="ADM-ACT-MAT-CNE",$J79="ADM-ACT-MAT-CE",$J79="ADM-INACT-M&amp;T"),1,0)</f>
        <v/>
      </c>
      <c r="CV79" s="48">
        <f>IF(AND(CU79=1,ISNUMBER(M79),ISNUMBER(I79)),M79-I79,"")</f>
        <v/>
      </c>
      <c r="CW79" s="48">
        <f>IF(ISNUMBER(I79),TODAY()-I79,"")</f>
        <v/>
      </c>
      <c r="CX79" s="48">
        <f>IF(ISNUMBER(I79),DATE(YEAR(I79),MONTH(I79),1),"")</f>
        <v/>
      </c>
      <c r="CY79" s="48">
        <f>IFERROR(DATEDIF(AK79,TODAY(),"y"),"")</f>
        <v/>
      </c>
      <c r="CZ79" s="48">
        <f>IF(CY79="","",IF(CY79&lt;28,"18-27",IF(CY79&lt;38,"28-37",IF(CY79&lt;48,"38-47",IF(CY79&lt;58,"48-57",IF(CY79&lt;68,"58-67",IF(CY79&lt;78,"68-77","78+")))))) </f>
        <v/>
      </c>
      <c r="DA79" s="48">
        <f>IF(AND(BQ79&lt;&gt;"",BR79=""),N(BS79),0)+IF(AND(BW79&lt;&gt;"",BX79=""),N(BY79),0)+IF(AND(CC79&lt;&gt;"",CD79=""),N(CE79),0)+IF(AND(CI79&lt;&gt;"",CJ79=""),N(CK79),0)+IF(AND(CO79&lt;&gt;"",CP79=""),N(CQ79),0)</f>
        <v/>
      </c>
      <c r="DB79" s="48">
        <f>ROUND(IF(BQ79&lt;&gt;"",N(BS79)*MAX(0,((IF(BR79="",TODAY(),BR79))-BQ79)/7),0)+IF(BW79&lt;&gt;"",N(BY79)*MAX(0,((IF(BX79="",TODAY(),BX79))-BW79)/7),0)+IF(CC79&lt;&gt;"",N(CE79)*MAX(0,((IF(CD79="",TODAY(),CD79))-CC79)/7),0)+IF(CI79&lt;&gt;"",N(CK79)*MAX(0,((IF(CJ79="",TODAY(),CJ79))-CI79)/7),0)+IF(CO79&lt;&gt;"",N(CQ79)*MAX(0,((IF(CP79="",TODAY(),CP79))-CO79)/7),0),1)</f>
        <v/>
      </c>
      <c r="DC79" s="48">
        <f>IF(OR(TRIM(X79)="",TRIM(X79)="NA;",TRIM(X79)="NA"),0,1)</f>
        <v/>
      </c>
      <c r="DD79" s="48">
        <f>IF(OR(TRIM(Y79)="",TRIM(Y79)="NA;",TRIM(Y79)="NA"),0,1)</f>
        <v/>
      </c>
      <c r="DE79" s="48">
        <f>IF(OR(TRIM(Z79)="",TRIM(Z79)="NA;",TRIM(Z79)="NA"),0,1)</f>
        <v/>
      </c>
      <c r="DF79" s="48">
        <f>IF(OR(TRIM(AA79)="",TRIM(AA79)="NA;",TRIM(AA79)="NA"),0,1)</f>
        <v/>
      </c>
      <c r="DG79" s="48">
        <f>IF(OR(TRIM(AB79)="",TRIM(AB79)="NA;",TRIM(AB79)="NA"),0,1)</f>
        <v/>
      </c>
      <c r="DH79" s="48">
        <f>IF(OR(TRIM(AC79)="",TRIM(AC79)="NA;",TRIM(AC79)="NA"),0,1)</f>
        <v/>
      </c>
      <c r="DI79" s="48">
        <f>IF(OR(TRIM(AD79)="",TRIM(AD79)="NA;",TRIM(AD79)="NA"),0,1)</f>
        <v/>
      </c>
      <c r="DJ79" s="48">
        <f>TRIM(IF(DC79=1,"Mon ","")&amp;IF(DD79=1,"Tue ","")&amp;IF(DE79=1,"Wed ","")&amp;IF(DF79=1,"Thu ","")&amp;IF(DG79=1,"Fri ","")&amp;IF(DH79=1,"Sat ","")&amp;IF(DI79=1,"Sun ",""))</f>
        <v/>
      </c>
    </row>
    <row r="80">
      <c r="A80" s="48" t="inlineStr">
        <is>
          <t>T-N-00028</t>
        </is>
      </c>
      <c r="B80" s="48" t="inlineStr">
        <is>
          <t>Layla Wright</t>
        </is>
      </c>
      <c r="C80" s="48" t="inlineStr">
        <is>
          <t>layla.wright78@example.com</t>
        </is>
      </c>
      <c r="D80" s="48" t="inlineStr">
        <is>
          <t>+61 401 268 220</t>
        </is>
      </c>
      <c r="E80" s="48" t="inlineStr">
        <is>
          <t>Mark Hassan</t>
        </is>
      </c>
      <c r="F80" s="48" t="inlineStr">
        <is>
          <t>+61 439 715 447</t>
        </is>
      </c>
      <c r="G80" s="48" t="inlineStr">
        <is>
          <t>Caseworker</t>
        </is>
      </c>
      <c r="H80" s="48" t="inlineStr">
        <is>
          <t>Tutor</t>
        </is>
      </c>
      <c r="I80" s="49" t="n">
        <v>45861</v>
      </c>
      <c r="J80" s="48" t="inlineStr">
        <is>
          <t>ADM-ACT-UNMAT</t>
        </is>
      </c>
      <c r="K80" s="48">
        <f>IFERROR(VLOOKUP(J80,'(A) Introduction'!$B$35:$C$45,2,FALSE),"")</f>
        <v/>
      </c>
      <c r="L80" s="48" t="inlineStr">
        <is>
          <t>No</t>
        </is>
      </c>
      <c r="M80" s="48" t="inlineStr"/>
      <c r="N80" s="48" t="inlineStr"/>
      <c r="O80" s="48" t="n">
        <v>1</v>
      </c>
      <c r="P80" s="48">
        <f>IF($H80="Tutor",((BQ80&lt;&gt;"")*(BR80=""))+((BW80&lt;&gt;"")*(BX80=""))+((CC80&lt;&gt;"")*(CD80=""))+((CI80&lt;&gt;"")*(CJ80=""))+((CO80&lt;&gt;"")*(CP80="")),SUMPRODUCT(--($BO$3:$BO$202=$A80),--($BR$3:$BR$202=""))+SUMPRODUCT(--($BU$3:$BU$202=$A80),--($BX$3:$BX$202=""))+SUMPRODUCT(--($CA$3:$CA$202=$A80),--($CD$3:$CD$202=""))+SUMPRODUCT(--($CG$3:$CG$202=$A80),--($CJ$3:$CJ$202=""))+SUMPRODUCT(--($CM$3:$CM$202=$A80),--($CP$3:$CP$202="")))</f>
        <v/>
      </c>
      <c r="Q80" s="48">
        <f>IF($H80="Tutor",(BQ80&lt;&gt;"")+(BW80&lt;&gt;"")+(CC80&lt;&gt;"")+(CI80&lt;&gt;"")+(CO80&lt;&gt;""),SUMPRODUCT(--($BO$3:$BO$202=$A80))+SUMPRODUCT(--($BU$3:$BU$202=$A80))+SUMPRODUCT(--($CA$3:$CA$202=$A80))+SUMPRODUCT(--($CG$3:$CG$202=$A80))+SUMPRODUCT(--($CM$3:$CM$202=$A80)))</f>
        <v/>
      </c>
      <c r="R80" s="48">
        <f>IF($H80="Tutor",TRIM(IF(AND(BQ80&lt;&gt;"",BR80=""),BP80&amp;"; ","")&amp;IF(AND(BW80&lt;&gt;"",BX80=""),BV80&amp;"; ","")&amp;IF(AND(CC80&lt;&gt;"",CD80=""),CB80&amp;"; ","")&amp;IF(AND(CI80&lt;&gt;"",CJ80=""),CH80&amp;"; ","")&amp;IF(AND(CO80&lt;&gt;"",CP80=""),CN80&amp;"; ","")),IFERROR(INDEX($A$3:$B$202,(SUMPRODUCT(($BO$3:$BO$202=$A80)*($BR$3:$BR$202="")*ROW($BO$3:$BO$202))+SUMPRODUCT(($BU$3:$BU$202=$A80)*($BX$3:$BX$202="")*ROW($BU$3:$BU$202))+SUMPRODUCT(($CA$3:$CA$202=$A80)*($CD$3:$CD$202="")*ROW($CA$3:$CA$202))+SUMPRODUCT(($CG$3:$CG$202=$A80)*($CJ$3:$CJ$202="")*ROW($CG$3:$CG$202))+SUMPRODUCT(($CM$3:$CM$202=$A80)*($CP$3:$CP$202="")*ROW($CM$3:$CM$202)))-2,2),""))</f>
        <v/>
      </c>
      <c r="S80" s="48" t="inlineStr">
        <is>
          <t>Provided</t>
        </is>
      </c>
      <c r="T80" s="48" t="inlineStr"/>
      <c r="U80" s="48" t="inlineStr"/>
      <c r="V80" s="49" t="n">
        <v>45709</v>
      </c>
      <c r="W80" s="48" t="inlineStr">
        <is>
          <t>AWST (UTC+8)</t>
        </is>
      </c>
      <c r="X80" s="48" t="inlineStr">
        <is>
          <t>12pm-3pm;6pm-9pm;</t>
        </is>
      </c>
      <c r="Y80" s="48" t="inlineStr">
        <is>
          <t>9am-12pm;12pm-3pm;3pm-6pm;</t>
        </is>
      </c>
      <c r="Z80" s="48" t="inlineStr">
        <is>
          <t>3pm-6pm;</t>
        </is>
      </c>
      <c r="AA80" s="48" t="inlineStr">
        <is>
          <t>9am-12pm;12pm-3pm;3pm-6pm;</t>
        </is>
      </c>
      <c r="AB80" s="48" t="inlineStr">
        <is>
          <t>12pm-3pm;6pm-9pm;</t>
        </is>
      </c>
      <c r="AC80" s="48" t="inlineStr">
        <is>
          <t>12pm-3pm;6pm-9pm;</t>
        </is>
      </c>
      <c r="AD80" s="48" t="inlineStr">
        <is>
          <t>12pm-3pm;6pm-9pm;</t>
        </is>
      </c>
      <c r="AE80" s="48" t="inlineStr">
        <is>
          <t>Online</t>
        </is>
      </c>
      <c r="AF80" s="48" t="inlineStr">
        <is>
          <t>NA - Tutor</t>
        </is>
      </c>
      <c r="AG80" s="48" t="inlineStr">
        <is>
          <t>Australia</t>
        </is>
      </c>
      <c r="AH80" s="48" t="inlineStr">
        <is>
          <t>New South Wales</t>
        </is>
      </c>
      <c r="AI80" s="48" t="inlineStr">
        <is>
          <t>Parramatta</t>
        </is>
      </c>
      <c r="AJ80" s="48" t="inlineStr">
        <is>
          <t>2150</t>
        </is>
      </c>
      <c r="AK80" s="49" t="n">
        <v>33141</v>
      </c>
      <c r="AL80" s="48" t="inlineStr">
        <is>
          <t>Other</t>
        </is>
      </c>
      <c r="AM80" s="48" t="inlineStr">
        <is>
          <t>NA</t>
        </is>
      </c>
      <c r="AN80" s="48" t="inlineStr">
        <is>
          <t>NA - Tutor</t>
        </is>
      </c>
      <c r="AO80" s="48" t="inlineStr">
        <is>
          <t>Moderate</t>
        </is>
      </c>
      <c r="AP80" s="48" t="inlineStr">
        <is>
          <t>Russia</t>
        </is>
      </c>
      <c r="AQ80" s="48" t="inlineStr">
        <is>
          <t>NA</t>
        </is>
      </c>
      <c r="AR80" s="48" t="inlineStr">
        <is>
          <t>Farsi (C2)</t>
        </is>
      </c>
      <c r="AS80" s="48" t="inlineStr">
        <is>
          <t>Christian</t>
        </is>
      </c>
      <c r="AT80" s="48" t="inlineStr">
        <is>
          <t>Health &amp; Medicine</t>
        </is>
      </c>
      <c r="AU80" s="48" t="inlineStr">
        <is>
          <t>Teacher</t>
        </is>
      </c>
      <c r="AV80" s="48" t="inlineStr">
        <is>
          <t>NA - Tutor</t>
        </is>
      </c>
      <c r="AW80" s="48" t="inlineStr">
        <is>
          <t>Football; Cooking; Family</t>
        </is>
      </c>
      <c r="AX80" s="48" t="inlineStr">
        <is>
          <t>NA - Tutor</t>
        </is>
      </c>
      <c r="AY80" s="48" t="inlineStr">
        <is>
          <t>Yes</t>
        </is>
      </c>
      <c r="AZ80" s="48" t="inlineStr">
        <is>
          <t>Yes</t>
        </is>
      </c>
      <c r="BA80" s="48" t="inlineStr">
        <is>
          <t>Omar Rafipour</t>
        </is>
      </c>
      <c r="BB80" s="48" t="inlineStr">
        <is>
          <t>Manager</t>
        </is>
      </c>
      <c r="BC80" s="48" t="inlineStr">
        <is>
          <t>jose.brown578@example.com</t>
        </is>
      </c>
      <c r="BD80" s="48" t="inlineStr">
        <is>
          <t>Pending</t>
        </is>
      </c>
      <c r="BE80" s="48" t="inlineStr"/>
      <c r="BF80" s="48" t="inlineStr"/>
      <c r="BG80" s="48" t="inlineStr">
        <is>
          <t>Yes</t>
        </is>
      </c>
      <c r="BH80" s="48" t="inlineStr">
        <is>
          <t>Adults Only</t>
        </is>
      </c>
      <c r="BI80" s="48" t="inlineStr">
        <is>
          <t>University of Western Sydney (including the Law Students' Society)</t>
        </is>
      </c>
      <c r="BJ80" s="48" t="inlineStr">
        <is>
          <t>THET Moh Moh</t>
        </is>
      </c>
      <c r="BK80" s="48" t="inlineStr">
        <is>
          <t>THET Moh Moh</t>
        </is>
      </c>
      <c r="BL80" s="48" t="inlineStr">
        <is>
          <t>Synthetic test record.</t>
        </is>
      </c>
      <c r="BM80" s="48" t="inlineStr"/>
      <c r="BN80" s="48">
        <f>TRIM(IF(AND($H80="Student",$J80="ADM-ACT-MAT-CNE"),"Invalid: Student cannot be CNE. ","")&amp;IF(AND($H80="Student",ISNUMBER($O80)),"Check: capacity set for a Student. ","")&amp;IF(AND(LEFT($J80,11)="ADM-ACT-MAT",$P80=0),"Check: matched status but 0 active pairings. ","")&amp;IF(AND($H80="Tutor",ISNUMBER($O80),$P80&gt;$O80),"Check: pairings exceed capacity. ","")&amp;IF(AND($BH80="Everyone",NOT(AND($BD80="Yes",$BG80="Yes"))),"Check: approved to tutor children but WWCC not provided/confirmed. ","")&amp;IF(AND($P80&gt;0,NOT(AND(OR(LEFT($AY80,3)="Yes",LEFT($AY80,2)="NA"),OR(LEFT($AZ80,3)="Yes",LEFT($AZ80,2)="NA")))),"Matched but vetting incomplete (interview/reference). ","")&amp;IF(COUNTIF($B$3:$B$600,$B80)&gt;1,"Duplicate participant name. ",""))</f>
        <v/>
      </c>
      <c r="BO80" s="48" t="inlineStr"/>
      <c r="BP80" s="48" t="inlineStr"/>
      <c r="BQ80" s="48" t="inlineStr"/>
      <c r="BR80" s="48" t="inlineStr"/>
      <c r="BS80" s="48" t="inlineStr"/>
      <c r="BT80" s="48" t="inlineStr"/>
      <c r="BU80" s="48" t="inlineStr"/>
      <c r="BV80" s="48" t="inlineStr"/>
      <c r="BW80" s="48" t="inlineStr"/>
      <c r="BX80" s="48" t="inlineStr"/>
      <c r="BY80" s="48" t="inlineStr"/>
      <c r="BZ80" s="48" t="inlineStr"/>
      <c r="CA80" s="48" t="inlineStr"/>
      <c r="CB80" s="48" t="inlineStr"/>
      <c r="CC80" s="48" t="inlineStr"/>
      <c r="CD80" s="48" t="inlineStr"/>
      <c r="CE80" s="48" t="inlineStr"/>
      <c r="CF80" s="48" t="inlineStr"/>
      <c r="CG80" s="48" t="inlineStr"/>
      <c r="CH80" s="48" t="inlineStr"/>
      <c r="CI80" s="48" t="inlineStr"/>
      <c r="CJ80" s="48" t="inlineStr"/>
      <c r="CK80" s="48" t="inlineStr"/>
      <c r="CL80" s="48" t="inlineStr"/>
      <c r="CM80" s="48" t="inlineStr"/>
      <c r="CN80" s="48" t="inlineStr"/>
      <c r="CO80" s="48" t="inlineStr"/>
      <c r="CP80" s="48" t="inlineStr"/>
      <c r="CQ80" s="48" t="inlineStr"/>
      <c r="CR80" s="48" t="inlineStr"/>
      <c r="CS80" s="48">
        <f>IF(LEFT($J80,3)="ERR",0,1)</f>
        <v/>
      </c>
      <c r="CT80" s="48">
        <f>IF(LEFT($J80,3)="ADM",1,0)</f>
        <v/>
      </c>
      <c r="CU80" s="48">
        <f>IF(OR($J80="ADM-ACT-MAT-CNE",$J80="ADM-ACT-MAT-CE",$J80="ADM-INACT-M&amp;T"),1,0)</f>
        <v/>
      </c>
      <c r="CV80" s="48">
        <f>IF(AND(CU80=1,ISNUMBER(M80),ISNUMBER(I80)),M80-I80,"")</f>
        <v/>
      </c>
      <c r="CW80" s="48">
        <f>IF(ISNUMBER(I80),TODAY()-I80,"")</f>
        <v/>
      </c>
      <c r="CX80" s="48">
        <f>IF(ISNUMBER(I80),DATE(YEAR(I80),MONTH(I80),1),"")</f>
        <v/>
      </c>
      <c r="CY80" s="48">
        <f>IFERROR(DATEDIF(AK80,TODAY(),"y"),"")</f>
        <v/>
      </c>
      <c r="CZ80" s="48">
        <f>IF(CY80="","",IF(CY80&lt;28,"18-27",IF(CY80&lt;38,"28-37",IF(CY80&lt;48,"38-47",IF(CY80&lt;58,"48-57",IF(CY80&lt;68,"58-67",IF(CY80&lt;78,"68-77","78+")))))) </f>
        <v/>
      </c>
      <c r="DA80" s="48">
        <f>IF(AND(BQ80&lt;&gt;"",BR80=""),N(BS80),0)+IF(AND(BW80&lt;&gt;"",BX80=""),N(BY80),0)+IF(AND(CC80&lt;&gt;"",CD80=""),N(CE80),0)+IF(AND(CI80&lt;&gt;"",CJ80=""),N(CK80),0)+IF(AND(CO80&lt;&gt;"",CP80=""),N(CQ80),0)</f>
        <v/>
      </c>
      <c r="DB80" s="48">
        <f>ROUND(IF(BQ80&lt;&gt;"",N(BS80)*MAX(0,((IF(BR80="",TODAY(),BR80))-BQ80)/7),0)+IF(BW80&lt;&gt;"",N(BY80)*MAX(0,((IF(BX80="",TODAY(),BX80))-BW80)/7),0)+IF(CC80&lt;&gt;"",N(CE80)*MAX(0,((IF(CD80="",TODAY(),CD80))-CC80)/7),0)+IF(CI80&lt;&gt;"",N(CK80)*MAX(0,((IF(CJ80="",TODAY(),CJ80))-CI80)/7),0)+IF(CO80&lt;&gt;"",N(CQ80)*MAX(0,((IF(CP80="",TODAY(),CP80))-CO80)/7),0),1)</f>
        <v/>
      </c>
      <c r="DC80" s="48">
        <f>IF(OR(TRIM(X80)="",TRIM(X80)="NA;",TRIM(X80)="NA"),0,1)</f>
        <v/>
      </c>
      <c r="DD80" s="48">
        <f>IF(OR(TRIM(Y80)="",TRIM(Y80)="NA;",TRIM(Y80)="NA"),0,1)</f>
        <v/>
      </c>
      <c r="DE80" s="48">
        <f>IF(OR(TRIM(Z80)="",TRIM(Z80)="NA;",TRIM(Z80)="NA"),0,1)</f>
        <v/>
      </c>
      <c r="DF80" s="48">
        <f>IF(OR(TRIM(AA80)="",TRIM(AA80)="NA;",TRIM(AA80)="NA"),0,1)</f>
        <v/>
      </c>
      <c r="DG80" s="48">
        <f>IF(OR(TRIM(AB80)="",TRIM(AB80)="NA;",TRIM(AB80)="NA"),0,1)</f>
        <v/>
      </c>
      <c r="DH80" s="48">
        <f>IF(OR(TRIM(AC80)="",TRIM(AC80)="NA;",TRIM(AC80)="NA"),0,1)</f>
        <v/>
      </c>
      <c r="DI80" s="48">
        <f>IF(OR(TRIM(AD80)="",TRIM(AD80)="NA;",TRIM(AD80)="NA"),0,1)</f>
        <v/>
      </c>
      <c r="DJ80" s="48">
        <f>TRIM(IF(DC80=1,"Mon ","")&amp;IF(DD80=1,"Tue ","")&amp;IF(DE80=1,"Wed ","")&amp;IF(DF80=1,"Thu ","")&amp;IF(DG80=1,"Fri ","")&amp;IF(DH80=1,"Sat ","")&amp;IF(DI80=1,"Sun ",""))</f>
        <v/>
      </c>
    </row>
    <row r="81">
      <c r="A81" s="48" t="inlineStr">
        <is>
          <t>T-N-00029</t>
        </is>
      </c>
      <c r="B81" s="48" t="inlineStr">
        <is>
          <t>Hassan Jones</t>
        </is>
      </c>
      <c r="C81" s="48" t="inlineStr">
        <is>
          <t>hassan.jones79@example.com</t>
        </is>
      </c>
      <c r="D81" s="48" t="inlineStr">
        <is>
          <t>+61 477 056 316</t>
        </is>
      </c>
      <c r="E81" s="48" t="inlineStr">
        <is>
          <t>Grace Hassan</t>
        </is>
      </c>
      <c r="F81" s="48" t="inlineStr">
        <is>
          <t>+61 463 466 523</t>
        </is>
      </c>
      <c r="G81" s="48" t="inlineStr">
        <is>
          <t>Sibling</t>
        </is>
      </c>
      <c r="H81" s="48" t="inlineStr">
        <is>
          <t>Tutor</t>
        </is>
      </c>
      <c r="I81" s="49" t="n">
        <v>45866</v>
      </c>
      <c r="J81" s="48" t="inlineStr">
        <is>
          <t>ADM-INACT-M&amp;T</t>
        </is>
      </c>
      <c r="K81" s="48">
        <f>IFERROR(VLOOKUP(J81,'(A) Introduction'!$B$35:$C$45,2,FALSE),"")</f>
        <v/>
      </c>
      <c r="L81" s="48" t="inlineStr">
        <is>
          <t>No</t>
        </is>
      </c>
      <c r="M81" s="48" t="inlineStr"/>
      <c r="N81" s="48" t="inlineStr"/>
      <c r="O81" s="48" t="n">
        <v>1</v>
      </c>
      <c r="P81" s="48">
        <f>IF($H81="Tutor",((BQ81&lt;&gt;"")*(BR81=""))+((BW81&lt;&gt;"")*(BX81=""))+((CC81&lt;&gt;"")*(CD81=""))+((CI81&lt;&gt;"")*(CJ81=""))+((CO81&lt;&gt;"")*(CP81="")),SUMPRODUCT(--($BO$3:$BO$202=$A81),--($BR$3:$BR$202=""))+SUMPRODUCT(--($BU$3:$BU$202=$A81),--($BX$3:$BX$202=""))+SUMPRODUCT(--($CA$3:$CA$202=$A81),--($CD$3:$CD$202=""))+SUMPRODUCT(--($CG$3:$CG$202=$A81),--($CJ$3:$CJ$202=""))+SUMPRODUCT(--($CM$3:$CM$202=$A81),--($CP$3:$CP$202="")))</f>
        <v/>
      </c>
      <c r="Q81" s="48">
        <f>IF($H81="Tutor",(BQ81&lt;&gt;"")+(BW81&lt;&gt;"")+(CC81&lt;&gt;"")+(CI81&lt;&gt;"")+(CO81&lt;&gt;""),SUMPRODUCT(--($BO$3:$BO$202=$A81))+SUMPRODUCT(--($BU$3:$BU$202=$A81))+SUMPRODUCT(--($CA$3:$CA$202=$A81))+SUMPRODUCT(--($CG$3:$CG$202=$A81))+SUMPRODUCT(--($CM$3:$CM$202=$A81)))</f>
        <v/>
      </c>
      <c r="R81" s="48">
        <f>IF($H81="Tutor",TRIM(IF(AND(BQ81&lt;&gt;"",BR81=""),BP81&amp;"; ","")&amp;IF(AND(BW81&lt;&gt;"",BX81=""),BV81&amp;"; ","")&amp;IF(AND(CC81&lt;&gt;"",CD81=""),CB81&amp;"; ","")&amp;IF(AND(CI81&lt;&gt;"",CJ81=""),CH81&amp;"; ","")&amp;IF(AND(CO81&lt;&gt;"",CP81=""),CN81&amp;"; ","")),IFERROR(INDEX($A$3:$B$202,(SUMPRODUCT(($BO$3:$BO$202=$A81)*($BR$3:$BR$202="")*ROW($BO$3:$BO$202))+SUMPRODUCT(($BU$3:$BU$202=$A81)*($BX$3:$BX$202="")*ROW($BU$3:$BU$202))+SUMPRODUCT(($CA$3:$CA$202=$A81)*($CD$3:$CD$202="")*ROW($CA$3:$CA$202))+SUMPRODUCT(($CG$3:$CG$202=$A81)*($CJ$3:$CJ$202="")*ROW($CG$3:$CG$202))+SUMPRODUCT(($CM$3:$CM$202=$A81)*($CP$3:$CP$202="")*ROW($CM$3:$CM$202)))-2,2),""))</f>
        <v/>
      </c>
      <c r="S81" s="48" t="inlineStr">
        <is>
          <t>Provided</t>
        </is>
      </c>
      <c r="T81" s="48" t="inlineStr"/>
      <c r="U81" s="48" t="inlineStr"/>
      <c r="V81" s="49" t="n">
        <v>45721</v>
      </c>
      <c r="W81" s="48" t="inlineStr">
        <is>
          <t>AEST (UTC+10)</t>
        </is>
      </c>
      <c r="X81" s="48" t="inlineStr">
        <is>
          <t>9am-12pm;</t>
        </is>
      </c>
      <c r="Y81" s="48" t="inlineStr">
        <is>
          <t>NA;</t>
        </is>
      </c>
      <c r="Z81" s="48" t="inlineStr">
        <is>
          <t>9am-12pm;</t>
        </is>
      </c>
      <c r="AA81" s="48" t="inlineStr">
        <is>
          <t>6pm-9pm;</t>
        </is>
      </c>
      <c r="AB81" s="48" t="inlineStr">
        <is>
          <t>6am-9am;9am-12pm;</t>
        </is>
      </c>
      <c r="AC81" s="48" t="inlineStr">
        <is>
          <t>9am-12pm;12pm-3pm;3pm-6pm;</t>
        </is>
      </c>
      <c r="AD81" s="48" t="inlineStr">
        <is>
          <t>9am-12pm;12pm-3pm;3pm-6pm;</t>
        </is>
      </c>
      <c r="AE81" s="48" t="inlineStr">
        <is>
          <t>Either</t>
        </is>
      </c>
      <c r="AF81" s="48" t="inlineStr">
        <is>
          <t>NA - Tutor</t>
        </is>
      </c>
      <c r="AG81" s="48" t="inlineStr">
        <is>
          <t>Australia</t>
        </is>
      </c>
      <c r="AH81" s="48" t="inlineStr">
        <is>
          <t>South Australia</t>
        </is>
      </c>
      <c r="AI81" s="48" t="inlineStr">
        <is>
          <t>Salisbury</t>
        </is>
      </c>
      <c r="AJ81" s="48" t="inlineStr">
        <is>
          <t>5108</t>
        </is>
      </c>
      <c r="AK81" s="49" t="n">
        <v>26894</v>
      </c>
      <c r="AL81" s="48" t="inlineStr">
        <is>
          <t>Female</t>
        </is>
      </c>
      <c r="AM81" s="48" t="inlineStr">
        <is>
          <t>NA</t>
        </is>
      </c>
      <c r="AN81" s="48" t="inlineStr">
        <is>
          <t>NA - Tutor</t>
        </is>
      </c>
      <c r="AO81" s="48" t="inlineStr">
        <is>
          <t>High</t>
        </is>
      </c>
      <c r="AP81" s="48" t="inlineStr">
        <is>
          <t>Australia</t>
        </is>
      </c>
      <c r="AQ81" s="48" t="inlineStr">
        <is>
          <t>NA</t>
        </is>
      </c>
      <c r="AR81" s="48" t="inlineStr">
        <is>
          <t>Farsi (C2)</t>
        </is>
      </c>
      <c r="AS81" s="48" t="inlineStr">
        <is>
          <t>None</t>
        </is>
      </c>
      <c r="AT81" s="48" t="inlineStr">
        <is>
          <t>Trades &amp; Construction</t>
        </is>
      </c>
      <c r="AU81" s="48" t="inlineStr">
        <is>
          <t>Teacher</t>
        </is>
      </c>
      <c r="AV81" s="48" t="inlineStr">
        <is>
          <t>NA - Tutor</t>
        </is>
      </c>
      <c r="AW81" s="48" t="inlineStr">
        <is>
          <t>Gardening; Cooking; Walking</t>
        </is>
      </c>
      <c r="AX81" s="48" t="inlineStr">
        <is>
          <t>NA - Tutor</t>
        </is>
      </c>
      <c r="AY81" s="48" t="inlineStr">
        <is>
          <t>Yes</t>
        </is>
      </c>
      <c r="AZ81" s="48" t="inlineStr">
        <is>
          <t>No</t>
        </is>
      </c>
      <c r="BA81" s="48" t="inlineStr">
        <is>
          <t>Dmytro Wilson</t>
        </is>
      </c>
      <c r="BB81" s="48" t="inlineStr">
        <is>
          <t>Manager</t>
        </is>
      </c>
      <c r="BC81" s="48" t="inlineStr">
        <is>
          <t>karim.silva579@example.com</t>
        </is>
      </c>
      <c r="BD81" s="48" t="inlineStr">
        <is>
          <t>Yes</t>
        </is>
      </c>
      <c r="BE81" s="48" t="inlineStr">
        <is>
          <t>WWC6817736V</t>
        </is>
      </c>
      <c r="BF81" s="49" t="n">
        <v>46916</v>
      </c>
      <c r="BG81" s="48" t="inlineStr">
        <is>
          <t>Yes</t>
        </is>
      </c>
      <c r="BH81" s="48" t="inlineStr">
        <is>
          <t>Everyone</t>
        </is>
      </c>
      <c r="BI81" s="48" t="inlineStr">
        <is>
          <t>Ayelet</t>
        </is>
      </c>
      <c r="BJ81" s="48" t="inlineStr">
        <is>
          <t>KNIJNIK Marina</t>
        </is>
      </c>
      <c r="BK81" s="48" t="inlineStr">
        <is>
          <t>ZULMAN Levi</t>
        </is>
      </c>
      <c r="BL81" s="48" t="inlineStr">
        <is>
          <t>Synthetic test record.</t>
        </is>
      </c>
      <c r="BM81" s="48" t="inlineStr"/>
      <c r="BN81" s="48">
        <f>TRIM(IF(AND($H81="Student",$J81="ADM-ACT-MAT-CNE"),"Invalid: Student cannot be CNE. ","")&amp;IF(AND($H81="Student",ISNUMBER($O81)),"Check: capacity set for a Student. ","")&amp;IF(AND(LEFT($J81,11)="ADM-ACT-MAT",$P81=0),"Check: matched status but 0 active pairings. ","")&amp;IF(AND($H81="Tutor",ISNUMBER($O81),$P81&gt;$O81),"Check: pairings exceed capacity. ","")&amp;IF(AND($BH81="Everyone",NOT(AND($BD81="Yes",$BG81="Yes"))),"Check: approved to tutor children but WWCC not provided/confirmed. ","")&amp;IF(AND($P81&gt;0,NOT(AND(OR(LEFT($AY81,3)="Yes",LEFT($AY81,2)="NA"),OR(LEFT($AZ81,3)="Yes",LEFT($AZ81,2)="NA")))),"Matched but vetting incomplete (interview/reference). ","")&amp;IF(COUNTIF($B$3:$B$600,$B81)&gt;1,"Duplicate participant name. ",""))</f>
        <v/>
      </c>
      <c r="BO81" s="48" t="inlineStr">
        <is>
          <t>S-N-00040</t>
        </is>
      </c>
      <c r="BP81" s="48">
        <f>IFERROR(VLOOKUP(BO81,$A:$B,2,FALSE),"")</f>
        <v/>
      </c>
      <c r="BQ81" s="49" t="n">
        <v>45941</v>
      </c>
      <c r="BR81" s="49" t="n">
        <v>46051</v>
      </c>
      <c r="BS81" s="48" t="n">
        <v>1.5</v>
      </c>
      <c r="BT81" s="48" t="inlineStr">
        <is>
          <t>CROCK Mary</t>
        </is>
      </c>
      <c r="BU81" s="48" t="inlineStr"/>
      <c r="BV81" s="48" t="inlineStr"/>
      <c r="BW81" s="48" t="inlineStr"/>
      <c r="BX81" s="48" t="inlineStr"/>
      <c r="BY81" s="48" t="inlineStr"/>
      <c r="BZ81" s="48" t="inlineStr"/>
      <c r="CA81" s="48" t="inlineStr"/>
      <c r="CB81" s="48" t="inlineStr"/>
      <c r="CC81" s="48" t="inlineStr"/>
      <c r="CD81" s="48" t="inlineStr"/>
      <c r="CE81" s="48" t="inlineStr"/>
      <c r="CF81" s="48" t="inlineStr"/>
      <c r="CG81" s="48" t="inlineStr"/>
      <c r="CH81" s="48" t="inlineStr"/>
      <c r="CI81" s="48" t="inlineStr"/>
      <c r="CJ81" s="48" t="inlineStr"/>
      <c r="CK81" s="48" t="inlineStr"/>
      <c r="CL81" s="48" t="inlineStr"/>
      <c r="CM81" s="48" t="inlineStr"/>
      <c r="CN81" s="48" t="inlineStr"/>
      <c r="CO81" s="48" t="inlineStr"/>
      <c r="CP81" s="48" t="inlineStr"/>
      <c r="CQ81" s="48" t="inlineStr"/>
      <c r="CR81" s="48" t="inlineStr"/>
      <c r="CS81" s="48">
        <f>IF(LEFT($J81,3)="ERR",0,1)</f>
        <v/>
      </c>
      <c r="CT81" s="48">
        <f>IF(LEFT($J81,3)="ADM",1,0)</f>
        <v/>
      </c>
      <c r="CU81" s="48">
        <f>IF(OR($J81="ADM-ACT-MAT-CNE",$J81="ADM-ACT-MAT-CE",$J81="ADM-INACT-M&amp;T"),1,0)</f>
        <v/>
      </c>
      <c r="CV81" s="48">
        <f>IF(AND(CU81=1,ISNUMBER(M81),ISNUMBER(I81)),M81-I81,"")</f>
        <v/>
      </c>
      <c r="CW81" s="48">
        <f>IF(ISNUMBER(I81),TODAY()-I81,"")</f>
        <v/>
      </c>
      <c r="CX81" s="48">
        <f>IF(ISNUMBER(I81),DATE(YEAR(I81),MONTH(I81),1),"")</f>
        <v/>
      </c>
      <c r="CY81" s="48">
        <f>IFERROR(DATEDIF(AK81,TODAY(),"y"),"")</f>
        <v/>
      </c>
      <c r="CZ81" s="48">
        <f>IF(CY81="","",IF(CY81&lt;28,"18-27",IF(CY81&lt;38,"28-37",IF(CY81&lt;48,"38-47",IF(CY81&lt;58,"48-57",IF(CY81&lt;68,"58-67",IF(CY81&lt;78,"68-77","78+")))))) </f>
        <v/>
      </c>
      <c r="DA81" s="48">
        <f>IF(AND(BQ81&lt;&gt;"",BR81=""),N(BS81),0)+IF(AND(BW81&lt;&gt;"",BX81=""),N(BY81),0)+IF(AND(CC81&lt;&gt;"",CD81=""),N(CE81),0)+IF(AND(CI81&lt;&gt;"",CJ81=""),N(CK81),0)+IF(AND(CO81&lt;&gt;"",CP81=""),N(CQ81),0)</f>
        <v/>
      </c>
      <c r="DB81" s="48">
        <f>ROUND(IF(BQ81&lt;&gt;"",N(BS81)*MAX(0,((IF(BR81="",TODAY(),BR81))-BQ81)/7),0)+IF(BW81&lt;&gt;"",N(BY81)*MAX(0,((IF(BX81="",TODAY(),BX81))-BW81)/7),0)+IF(CC81&lt;&gt;"",N(CE81)*MAX(0,((IF(CD81="",TODAY(),CD81))-CC81)/7),0)+IF(CI81&lt;&gt;"",N(CK81)*MAX(0,((IF(CJ81="",TODAY(),CJ81))-CI81)/7),0)+IF(CO81&lt;&gt;"",N(CQ81)*MAX(0,((IF(CP81="",TODAY(),CP81))-CO81)/7),0),1)</f>
        <v/>
      </c>
      <c r="DC81" s="48">
        <f>IF(OR(TRIM(X81)="",TRIM(X81)="NA;",TRIM(X81)="NA"),0,1)</f>
        <v/>
      </c>
      <c r="DD81" s="48">
        <f>IF(OR(TRIM(Y81)="",TRIM(Y81)="NA;",TRIM(Y81)="NA"),0,1)</f>
        <v/>
      </c>
      <c r="DE81" s="48">
        <f>IF(OR(TRIM(Z81)="",TRIM(Z81)="NA;",TRIM(Z81)="NA"),0,1)</f>
        <v/>
      </c>
      <c r="DF81" s="48">
        <f>IF(OR(TRIM(AA81)="",TRIM(AA81)="NA;",TRIM(AA81)="NA"),0,1)</f>
        <v/>
      </c>
      <c r="DG81" s="48">
        <f>IF(OR(TRIM(AB81)="",TRIM(AB81)="NA;",TRIM(AB81)="NA"),0,1)</f>
        <v/>
      </c>
      <c r="DH81" s="48">
        <f>IF(OR(TRIM(AC81)="",TRIM(AC81)="NA;",TRIM(AC81)="NA"),0,1)</f>
        <v/>
      </c>
      <c r="DI81" s="48">
        <f>IF(OR(TRIM(AD81)="",TRIM(AD81)="NA;",TRIM(AD81)="NA"),0,1)</f>
        <v/>
      </c>
      <c r="DJ81" s="48">
        <f>TRIM(IF(DC81=1,"Mon ","")&amp;IF(DD81=1,"Tue ","")&amp;IF(DE81=1,"Wed ","")&amp;IF(DF81=1,"Thu ","")&amp;IF(DG81=1,"Fri ","")&amp;IF(DH81=1,"Sat ","")&amp;IF(DI81=1,"Sun ",""))</f>
        <v/>
      </c>
    </row>
    <row r="82">
      <c r="A82" s="48" t="inlineStr">
        <is>
          <t>T-N-00030</t>
        </is>
      </c>
      <c r="B82" s="48" t="inlineStr">
        <is>
          <t>Lina Nguyen</t>
        </is>
      </c>
      <c r="C82" s="48" t="inlineStr">
        <is>
          <t>lina.nguyen80@example.com</t>
        </is>
      </c>
      <c r="D82" s="48" t="inlineStr">
        <is>
          <t>+61 486 740 118</t>
        </is>
      </c>
      <c r="E82" s="48" t="inlineStr">
        <is>
          <t>Camila Rafipour</t>
        </is>
      </c>
      <c r="F82" s="48" t="inlineStr">
        <is>
          <t>+61 422 228 823</t>
        </is>
      </c>
      <c r="G82" s="48" t="inlineStr">
        <is>
          <t>Friend</t>
        </is>
      </c>
      <c r="H82" s="48" t="inlineStr">
        <is>
          <t>Tutor</t>
        </is>
      </c>
      <c r="I82" s="49" t="n">
        <v>45870</v>
      </c>
      <c r="J82" s="48" t="inlineStr">
        <is>
          <t>ADM-ACT-MAT-CNE</t>
        </is>
      </c>
      <c r="K82" s="48">
        <f>IFERROR(VLOOKUP(J82,'(A) Introduction'!$B$35:$C$45,2,FALSE),"")</f>
        <v/>
      </c>
      <c r="L82" s="48" t="inlineStr">
        <is>
          <t>No</t>
        </is>
      </c>
      <c r="M82" s="48" t="inlineStr"/>
      <c r="N82" s="48" t="inlineStr"/>
      <c r="O82" s="48" t="n">
        <v>3</v>
      </c>
      <c r="P82" s="48">
        <f>IF($H82="Tutor",((BQ82&lt;&gt;"")*(BR82=""))+((BW82&lt;&gt;"")*(BX82=""))+((CC82&lt;&gt;"")*(CD82=""))+((CI82&lt;&gt;"")*(CJ82=""))+((CO82&lt;&gt;"")*(CP82="")),SUMPRODUCT(--($BO$3:$BO$202=$A82),--($BR$3:$BR$202=""))+SUMPRODUCT(--($BU$3:$BU$202=$A82),--($BX$3:$BX$202=""))+SUMPRODUCT(--($CA$3:$CA$202=$A82),--($CD$3:$CD$202=""))+SUMPRODUCT(--($CG$3:$CG$202=$A82),--($CJ$3:$CJ$202=""))+SUMPRODUCT(--($CM$3:$CM$202=$A82),--($CP$3:$CP$202="")))</f>
        <v/>
      </c>
      <c r="Q82" s="48">
        <f>IF($H82="Tutor",(BQ82&lt;&gt;"")+(BW82&lt;&gt;"")+(CC82&lt;&gt;"")+(CI82&lt;&gt;"")+(CO82&lt;&gt;""),SUMPRODUCT(--($BO$3:$BO$202=$A82))+SUMPRODUCT(--($BU$3:$BU$202=$A82))+SUMPRODUCT(--($CA$3:$CA$202=$A82))+SUMPRODUCT(--($CG$3:$CG$202=$A82))+SUMPRODUCT(--($CM$3:$CM$202=$A82)))</f>
        <v/>
      </c>
      <c r="R82" s="48">
        <f>IF($H82="Tutor",TRIM(IF(AND(BQ82&lt;&gt;"",BR82=""),BP82&amp;"; ","")&amp;IF(AND(BW82&lt;&gt;"",BX82=""),BV82&amp;"; ","")&amp;IF(AND(CC82&lt;&gt;"",CD82=""),CB82&amp;"; ","")&amp;IF(AND(CI82&lt;&gt;"",CJ82=""),CH82&amp;"; ","")&amp;IF(AND(CO82&lt;&gt;"",CP82=""),CN82&amp;"; ","")),IFERROR(INDEX($A$3:$B$202,(SUMPRODUCT(($BO$3:$BO$202=$A82)*($BR$3:$BR$202="")*ROW($BO$3:$BO$202))+SUMPRODUCT(($BU$3:$BU$202=$A82)*($BX$3:$BX$202="")*ROW($BU$3:$BU$202))+SUMPRODUCT(($CA$3:$CA$202=$A82)*($CD$3:$CD$202="")*ROW($CA$3:$CA$202))+SUMPRODUCT(($CG$3:$CG$202=$A82)*($CJ$3:$CJ$202="")*ROW($CG$3:$CG$202))+SUMPRODUCT(($CM$3:$CM$202=$A82)*($CP$3:$CP$202="")*ROW($CM$3:$CM$202)))-2,2),""))</f>
        <v/>
      </c>
      <c r="S82" s="48" t="inlineStr">
        <is>
          <t>NA</t>
        </is>
      </c>
      <c r="T82" s="48" t="inlineStr"/>
      <c r="U82" s="48" t="inlineStr"/>
      <c r="V82" s="49" t="n">
        <v>45766</v>
      </c>
      <c r="W82" s="48" t="inlineStr">
        <is>
          <t>ACST (UTC+9:30)</t>
        </is>
      </c>
      <c r="X82" s="48" t="inlineStr">
        <is>
          <t>NA;</t>
        </is>
      </c>
      <c r="Y82" s="48" t="inlineStr">
        <is>
          <t>NA;</t>
        </is>
      </c>
      <c r="Z82" s="48" t="inlineStr">
        <is>
          <t>NA;</t>
        </is>
      </c>
      <c r="AA82" s="48" t="inlineStr">
        <is>
          <t>12pm-3pm;</t>
        </is>
      </c>
      <c r="AB82" s="48" t="inlineStr">
        <is>
          <t>NA;</t>
        </is>
      </c>
      <c r="AC82" s="48" t="inlineStr">
        <is>
          <t>6pm-9pm;</t>
        </is>
      </c>
      <c r="AD82" s="48" t="inlineStr">
        <is>
          <t>6am-9am;9am-12pm;</t>
        </is>
      </c>
      <c r="AE82" s="48" t="inlineStr">
        <is>
          <t>In-Person</t>
        </is>
      </c>
      <c r="AF82" s="48" t="inlineStr">
        <is>
          <t>NA - Tutor</t>
        </is>
      </c>
      <c r="AG82" s="48" t="inlineStr">
        <is>
          <t>Australia</t>
        </is>
      </c>
      <c r="AH82" s="48" t="inlineStr">
        <is>
          <t>Queensland</t>
        </is>
      </c>
      <c r="AI82" s="48" t="inlineStr">
        <is>
          <t>Logan</t>
        </is>
      </c>
      <c r="AJ82" s="48" t="inlineStr">
        <is>
          <t>4114</t>
        </is>
      </c>
      <c r="AK82" s="49" t="n">
        <v>37723</v>
      </c>
      <c r="AL82" s="48" t="inlineStr">
        <is>
          <t>Female</t>
        </is>
      </c>
      <c r="AM82" s="48" t="inlineStr">
        <is>
          <t>NA</t>
        </is>
      </c>
      <c r="AN82" s="48" t="inlineStr">
        <is>
          <t>NA - Tutor</t>
        </is>
      </c>
      <c r="AO82" s="48" t="inlineStr">
        <is>
          <t>Moderate</t>
        </is>
      </c>
      <c r="AP82" s="48" t="inlineStr">
        <is>
          <t>Australia</t>
        </is>
      </c>
      <c r="AQ82" s="48" t="inlineStr">
        <is>
          <t>NA</t>
        </is>
      </c>
      <c r="AR82" s="48" t="inlineStr">
        <is>
          <t>Pashto (C2)</t>
        </is>
      </c>
      <c r="AS82" s="48" t="inlineStr">
        <is>
          <t>Hindu</t>
        </is>
      </c>
      <c r="AT82" s="48" t="inlineStr">
        <is>
          <t>Education &amp; Academia</t>
        </is>
      </c>
      <c r="AU82" s="48" t="inlineStr">
        <is>
          <t>Community Worker</t>
        </is>
      </c>
      <c r="AV82" s="48" t="inlineStr">
        <is>
          <t>NA - Tutor</t>
        </is>
      </c>
      <c r="AW82" s="48" t="inlineStr">
        <is>
          <t>Travel; Sport; Movies</t>
        </is>
      </c>
      <c r="AX82" s="48" t="inlineStr">
        <is>
          <t>NA - Tutor</t>
        </is>
      </c>
      <c r="AY82" s="48" t="inlineStr">
        <is>
          <t>NA - RELT Member Verified</t>
        </is>
      </c>
      <c r="AZ82" s="48" t="inlineStr">
        <is>
          <t>No</t>
        </is>
      </c>
      <c r="BA82" s="48" t="inlineStr">
        <is>
          <t>Olha Cohen</t>
        </is>
      </c>
      <c r="BB82" s="48" t="inlineStr">
        <is>
          <t>Colleague</t>
        </is>
      </c>
      <c r="BC82" s="48" t="inlineStr">
        <is>
          <t>rania.harris580@example.com</t>
        </is>
      </c>
      <c r="BD82" s="48" t="inlineStr">
        <is>
          <t>Yes</t>
        </is>
      </c>
      <c r="BE82" s="48" t="inlineStr">
        <is>
          <t>WWC5832019E</t>
        </is>
      </c>
      <c r="BF82" s="49" t="n">
        <v>46984</v>
      </c>
      <c r="BG82" s="48" t="inlineStr">
        <is>
          <t>No</t>
        </is>
      </c>
      <c r="BH82" s="48" t="inlineStr">
        <is>
          <t>Adults Only</t>
        </is>
      </c>
      <c r="BI82" s="48" t="inlineStr">
        <is>
          <t>University of Western Sydney (including the Law Students' Society)</t>
        </is>
      </c>
      <c r="BJ82" s="48" t="inlineStr">
        <is>
          <t>MCCLELLAND Reeve</t>
        </is>
      </c>
      <c r="BK82" s="48" t="inlineStr">
        <is>
          <t>CROCK Mary</t>
        </is>
      </c>
      <c r="BL82" s="48" t="inlineStr">
        <is>
          <t>Synthetic test record.</t>
        </is>
      </c>
      <c r="BM82" s="48" t="inlineStr"/>
      <c r="BN82" s="48">
        <f>TRIM(IF(AND($H82="Student",$J82="ADM-ACT-MAT-CNE"),"Invalid: Student cannot be CNE. ","")&amp;IF(AND($H82="Student",ISNUMBER($O82)),"Check: capacity set for a Student. ","")&amp;IF(AND(LEFT($J82,11)="ADM-ACT-MAT",$P82=0),"Check: matched status but 0 active pairings. ","")&amp;IF(AND($H82="Tutor",ISNUMBER($O82),$P82&gt;$O82),"Check: pairings exceed capacity. ","")&amp;IF(AND($BH82="Everyone",NOT(AND($BD82="Yes",$BG82="Yes"))),"Check: approved to tutor children but WWCC not provided/confirmed. ","")&amp;IF(AND($P82&gt;0,NOT(AND(OR(LEFT($AY82,3)="Yes",LEFT($AY82,2)="NA"),OR(LEFT($AZ82,3)="Yes",LEFT($AZ82,2)="NA")))),"Matched but vetting incomplete (interview/reference). ","")&amp;IF(COUNTIF($B$3:$B$600,$B82)&gt;1,"Duplicate participant name. ",""))</f>
        <v/>
      </c>
      <c r="BO82" s="48" t="inlineStr">
        <is>
          <t>S-O-00036</t>
        </is>
      </c>
      <c r="BP82" s="48">
        <f>IFERROR(VLOOKUP(BO82,$A:$B,2,FALSE),"")</f>
        <v/>
      </c>
      <c r="BQ82" s="49" t="n">
        <v>45663</v>
      </c>
      <c r="BR82" s="48" t="inlineStr"/>
      <c r="BS82" s="48" t="n">
        <v>1</v>
      </c>
      <c r="BT82" s="48" t="inlineStr">
        <is>
          <t>MCCRORIE John</t>
        </is>
      </c>
      <c r="BU82" s="48" t="inlineStr">
        <is>
          <t>S-N-00035</t>
        </is>
      </c>
      <c r="BV82" s="48">
        <f>IFERROR(VLOOKUP(BU82,$A:$B,2,FALSE),"")</f>
        <v/>
      </c>
      <c r="BW82" s="49" t="n">
        <v>45982</v>
      </c>
      <c r="BX82" s="48" t="inlineStr"/>
      <c r="BY82" s="48" t="n">
        <v>1.5</v>
      </c>
      <c r="BZ82" s="48" t="inlineStr">
        <is>
          <t>MCCRORIE John</t>
        </is>
      </c>
      <c r="CA82" s="48" t="inlineStr"/>
      <c r="CB82" s="48" t="inlineStr"/>
      <c r="CC82" s="48" t="inlineStr"/>
      <c r="CD82" s="48" t="inlineStr"/>
      <c r="CE82" s="48" t="inlineStr"/>
      <c r="CF82" s="48" t="inlineStr"/>
      <c r="CG82" s="48" t="inlineStr"/>
      <c r="CH82" s="48" t="inlineStr"/>
      <c r="CI82" s="48" t="inlineStr"/>
      <c r="CJ82" s="48" t="inlineStr"/>
      <c r="CK82" s="48" t="inlineStr"/>
      <c r="CL82" s="48" t="inlineStr"/>
      <c r="CM82" s="48" t="inlineStr"/>
      <c r="CN82" s="48" t="inlineStr"/>
      <c r="CO82" s="48" t="inlineStr"/>
      <c r="CP82" s="48" t="inlineStr"/>
      <c r="CQ82" s="48" t="inlineStr"/>
      <c r="CR82" s="48" t="inlineStr"/>
      <c r="CS82" s="48">
        <f>IF(LEFT($J82,3)="ERR",0,1)</f>
        <v/>
      </c>
      <c r="CT82" s="48">
        <f>IF(LEFT($J82,3)="ADM",1,0)</f>
        <v/>
      </c>
      <c r="CU82" s="48">
        <f>IF(OR($J82="ADM-ACT-MAT-CNE",$J82="ADM-ACT-MAT-CE",$J82="ADM-INACT-M&amp;T"),1,0)</f>
        <v/>
      </c>
      <c r="CV82" s="48">
        <f>IF(AND(CU82=1,ISNUMBER(M82),ISNUMBER(I82)),M82-I82,"")</f>
        <v/>
      </c>
      <c r="CW82" s="48">
        <f>IF(ISNUMBER(I82),TODAY()-I82,"")</f>
        <v/>
      </c>
      <c r="CX82" s="48">
        <f>IF(ISNUMBER(I82),DATE(YEAR(I82),MONTH(I82),1),"")</f>
        <v/>
      </c>
      <c r="CY82" s="48">
        <f>IFERROR(DATEDIF(AK82,TODAY(),"y"),"")</f>
        <v/>
      </c>
      <c r="CZ82" s="48">
        <f>IF(CY82="","",IF(CY82&lt;28,"18-27",IF(CY82&lt;38,"28-37",IF(CY82&lt;48,"38-47",IF(CY82&lt;58,"48-57",IF(CY82&lt;68,"58-67",IF(CY82&lt;78,"68-77","78+")))))) </f>
        <v/>
      </c>
      <c r="DA82" s="48">
        <f>IF(AND(BQ82&lt;&gt;"",BR82=""),N(BS82),0)+IF(AND(BW82&lt;&gt;"",BX82=""),N(BY82),0)+IF(AND(CC82&lt;&gt;"",CD82=""),N(CE82),0)+IF(AND(CI82&lt;&gt;"",CJ82=""),N(CK82),0)+IF(AND(CO82&lt;&gt;"",CP82=""),N(CQ82),0)</f>
        <v/>
      </c>
      <c r="DB82" s="48">
        <f>ROUND(IF(BQ82&lt;&gt;"",N(BS82)*MAX(0,((IF(BR82="",TODAY(),BR82))-BQ82)/7),0)+IF(BW82&lt;&gt;"",N(BY82)*MAX(0,((IF(BX82="",TODAY(),BX82))-BW82)/7),0)+IF(CC82&lt;&gt;"",N(CE82)*MAX(0,((IF(CD82="",TODAY(),CD82))-CC82)/7),0)+IF(CI82&lt;&gt;"",N(CK82)*MAX(0,((IF(CJ82="",TODAY(),CJ82))-CI82)/7),0)+IF(CO82&lt;&gt;"",N(CQ82)*MAX(0,((IF(CP82="",TODAY(),CP82))-CO82)/7),0),1)</f>
        <v/>
      </c>
      <c r="DC82" s="48">
        <f>IF(OR(TRIM(X82)="",TRIM(X82)="NA;",TRIM(X82)="NA"),0,1)</f>
        <v/>
      </c>
      <c r="DD82" s="48">
        <f>IF(OR(TRIM(Y82)="",TRIM(Y82)="NA;",TRIM(Y82)="NA"),0,1)</f>
        <v/>
      </c>
      <c r="DE82" s="48">
        <f>IF(OR(TRIM(Z82)="",TRIM(Z82)="NA;",TRIM(Z82)="NA"),0,1)</f>
        <v/>
      </c>
      <c r="DF82" s="48">
        <f>IF(OR(TRIM(AA82)="",TRIM(AA82)="NA;",TRIM(AA82)="NA"),0,1)</f>
        <v/>
      </c>
      <c r="DG82" s="48">
        <f>IF(OR(TRIM(AB82)="",TRIM(AB82)="NA;",TRIM(AB82)="NA"),0,1)</f>
        <v/>
      </c>
      <c r="DH82" s="48">
        <f>IF(OR(TRIM(AC82)="",TRIM(AC82)="NA;",TRIM(AC82)="NA"),0,1)</f>
        <v/>
      </c>
      <c r="DI82" s="48">
        <f>IF(OR(TRIM(AD82)="",TRIM(AD82)="NA;",TRIM(AD82)="NA"),0,1)</f>
        <v/>
      </c>
      <c r="DJ82" s="48">
        <f>TRIM(IF(DC82=1,"Mon ","")&amp;IF(DD82=1,"Tue ","")&amp;IF(DE82=1,"Wed ","")&amp;IF(DF82=1,"Thu ","")&amp;IF(DG82=1,"Fri ","")&amp;IF(DH82=1,"Sat ","")&amp;IF(DI82=1,"Sun ",""))</f>
        <v/>
      </c>
    </row>
    <row r="83">
      <c r="A83" s="48" t="inlineStr">
        <is>
          <t>T-N-00031</t>
        </is>
      </c>
      <c r="B83" s="48" t="inlineStr">
        <is>
          <t>Luke Bourne</t>
        </is>
      </c>
      <c r="C83" s="48" t="inlineStr">
        <is>
          <t>luke.bourne81@example.com</t>
        </is>
      </c>
      <c r="D83" s="48" t="inlineStr">
        <is>
          <t>+61 411 566 467</t>
        </is>
      </c>
      <c r="E83" s="48" t="inlineStr">
        <is>
          <t>Diego Nguyen</t>
        </is>
      </c>
      <c r="F83" s="48" t="inlineStr">
        <is>
          <t>+61 426 542 243</t>
        </is>
      </c>
      <c r="G83" s="48" t="inlineStr">
        <is>
          <t>Adult Child</t>
        </is>
      </c>
      <c r="H83" s="48" t="inlineStr">
        <is>
          <t>Tutor</t>
        </is>
      </c>
      <c r="I83" s="49" t="n">
        <v>45887</v>
      </c>
      <c r="J83" s="48" t="inlineStr">
        <is>
          <t>ADM-ACT-MAT-CE</t>
        </is>
      </c>
      <c r="K83" s="48">
        <f>IFERROR(VLOOKUP(J83,'(A) Introduction'!$B$35:$C$45,2,FALSE),"")</f>
        <v/>
      </c>
      <c r="L83" s="48" t="inlineStr">
        <is>
          <t>No</t>
        </is>
      </c>
      <c r="M83" s="48" t="inlineStr"/>
      <c r="N83" s="48" t="inlineStr"/>
      <c r="O83" s="48" t="n">
        <v>2</v>
      </c>
      <c r="P83" s="48">
        <f>IF($H83="Tutor",((BQ83&lt;&gt;"")*(BR83=""))+((BW83&lt;&gt;"")*(BX83=""))+((CC83&lt;&gt;"")*(CD83=""))+((CI83&lt;&gt;"")*(CJ83=""))+((CO83&lt;&gt;"")*(CP83="")),SUMPRODUCT(--($BO$3:$BO$202=$A83),--($BR$3:$BR$202=""))+SUMPRODUCT(--($BU$3:$BU$202=$A83),--($BX$3:$BX$202=""))+SUMPRODUCT(--($CA$3:$CA$202=$A83),--($CD$3:$CD$202=""))+SUMPRODUCT(--($CG$3:$CG$202=$A83),--($CJ$3:$CJ$202=""))+SUMPRODUCT(--($CM$3:$CM$202=$A83),--($CP$3:$CP$202="")))</f>
        <v/>
      </c>
      <c r="Q83" s="48">
        <f>IF($H83="Tutor",(BQ83&lt;&gt;"")+(BW83&lt;&gt;"")+(CC83&lt;&gt;"")+(CI83&lt;&gt;"")+(CO83&lt;&gt;""),SUMPRODUCT(--($BO$3:$BO$202=$A83))+SUMPRODUCT(--($BU$3:$BU$202=$A83))+SUMPRODUCT(--($CA$3:$CA$202=$A83))+SUMPRODUCT(--($CG$3:$CG$202=$A83))+SUMPRODUCT(--($CM$3:$CM$202=$A83)))</f>
        <v/>
      </c>
      <c r="R83" s="48">
        <f>IF($H83="Tutor",TRIM(IF(AND(BQ83&lt;&gt;"",BR83=""),BP83&amp;"; ","")&amp;IF(AND(BW83&lt;&gt;"",BX83=""),BV83&amp;"; ","")&amp;IF(AND(CC83&lt;&gt;"",CD83=""),CB83&amp;"; ","")&amp;IF(AND(CI83&lt;&gt;"",CJ83=""),CH83&amp;"; ","")&amp;IF(AND(CO83&lt;&gt;"",CP83=""),CN83&amp;"; ","")),IFERROR(INDEX($A$3:$B$202,(SUMPRODUCT(($BO$3:$BO$202=$A83)*($BR$3:$BR$202="")*ROW($BO$3:$BO$202))+SUMPRODUCT(($BU$3:$BU$202=$A83)*($BX$3:$BX$202="")*ROW($BU$3:$BU$202))+SUMPRODUCT(($CA$3:$CA$202=$A83)*($CD$3:$CD$202="")*ROW($CA$3:$CA$202))+SUMPRODUCT(($CG$3:$CG$202=$A83)*($CJ$3:$CJ$202="")*ROW($CG$3:$CG$202))+SUMPRODUCT(($CM$3:$CM$202=$A83)*($CP$3:$CP$202="")*ROW($CM$3:$CM$202)))-2,2),""))</f>
        <v/>
      </c>
      <c r="S83" s="48" t="inlineStr">
        <is>
          <t>Not Provided</t>
        </is>
      </c>
      <c r="T83" s="48" t="inlineStr"/>
      <c r="U83" s="48" t="inlineStr"/>
      <c r="V83" s="49" t="n">
        <v>45895</v>
      </c>
      <c r="W83" s="48" t="inlineStr">
        <is>
          <t>AEST (UTC+10)</t>
        </is>
      </c>
      <c r="X83" s="48" t="inlineStr">
        <is>
          <t>3pm-6pm;</t>
        </is>
      </c>
      <c r="Y83" s="48" t="inlineStr">
        <is>
          <t>3pm-6pm;</t>
        </is>
      </c>
      <c r="Z83" s="48" t="inlineStr">
        <is>
          <t>12pm-3pm;</t>
        </is>
      </c>
      <c r="AA83" s="48" t="inlineStr">
        <is>
          <t>6pm-9pm;</t>
        </is>
      </c>
      <c r="AB83" s="48" t="inlineStr">
        <is>
          <t>6am-9am;9am-12pm;</t>
        </is>
      </c>
      <c r="AC83" s="48" t="inlineStr">
        <is>
          <t>6pm-9pm;</t>
        </is>
      </c>
      <c r="AD83" s="48" t="inlineStr">
        <is>
          <t>12pm-3pm;</t>
        </is>
      </c>
      <c r="AE83" s="48" t="inlineStr">
        <is>
          <t>Either</t>
        </is>
      </c>
      <c r="AF83" s="48" t="inlineStr">
        <is>
          <t>NA - Tutor</t>
        </is>
      </c>
      <c r="AG83" s="48" t="inlineStr">
        <is>
          <t>Australia</t>
        </is>
      </c>
      <c r="AH83" s="48" t="inlineStr">
        <is>
          <t>New South Wales</t>
        </is>
      </c>
      <c r="AI83" s="48" t="inlineStr">
        <is>
          <t>Fairfield</t>
        </is>
      </c>
      <c r="AJ83" s="48" t="inlineStr">
        <is>
          <t>2165</t>
        </is>
      </c>
      <c r="AK83" s="49" t="n">
        <v>37399</v>
      </c>
      <c r="AL83" s="48" t="inlineStr">
        <is>
          <t>Other</t>
        </is>
      </c>
      <c r="AM83" s="48" t="inlineStr">
        <is>
          <t>NA</t>
        </is>
      </c>
      <c r="AN83" s="48" t="inlineStr">
        <is>
          <t>NA - Tutor</t>
        </is>
      </c>
      <c r="AO83" s="48" t="inlineStr">
        <is>
          <t>Moderate</t>
        </is>
      </c>
      <c r="AP83" s="48" t="inlineStr">
        <is>
          <t>Australia; Egypt</t>
        </is>
      </c>
      <c r="AQ83" s="48" t="inlineStr">
        <is>
          <t>NA</t>
        </is>
      </c>
      <c r="AR83" s="48" t="inlineStr">
        <is>
          <t>English (C2)</t>
        </is>
      </c>
      <c r="AS83" s="48" t="inlineStr">
        <is>
          <t>Muslim</t>
        </is>
      </c>
      <c r="AT83" s="48" t="inlineStr">
        <is>
          <t>Education &amp; Academia</t>
        </is>
      </c>
      <c r="AU83" s="48" t="inlineStr">
        <is>
          <t>Retail</t>
        </is>
      </c>
      <c r="AV83" s="48" t="inlineStr">
        <is>
          <t>NA - Tutor</t>
        </is>
      </c>
      <c r="AW83" s="48" t="inlineStr">
        <is>
          <t>Language learning; Self-development</t>
        </is>
      </c>
      <c r="AX83" s="48" t="inlineStr">
        <is>
          <t>NA - Tutor</t>
        </is>
      </c>
      <c r="AY83" s="48" t="inlineStr">
        <is>
          <t>Yes</t>
        </is>
      </c>
      <c r="AZ83" s="48" t="inlineStr">
        <is>
          <t>No</t>
        </is>
      </c>
      <c r="BA83" s="48" t="inlineStr">
        <is>
          <t>Iryna Rafipour</t>
        </is>
      </c>
      <c r="BB83" s="48" t="inlineStr">
        <is>
          <t>Manager</t>
        </is>
      </c>
      <c r="BC83" s="48" t="inlineStr">
        <is>
          <t>ben.ng581@example.com</t>
        </is>
      </c>
      <c r="BD83" s="48" t="inlineStr">
        <is>
          <t>Yes</t>
        </is>
      </c>
      <c r="BE83" s="48" t="inlineStr">
        <is>
          <t>WWC6768801V</t>
        </is>
      </c>
      <c r="BF83" s="49" t="n">
        <v>46498</v>
      </c>
      <c r="BG83" s="48" t="inlineStr">
        <is>
          <t>No</t>
        </is>
      </c>
      <c r="BH83" s="48" t="inlineStr">
        <is>
          <t>Adults Only</t>
        </is>
      </c>
      <c r="BI83" s="48" t="inlineStr">
        <is>
          <t>Refugee Education Australia</t>
        </is>
      </c>
      <c r="BJ83" s="48" t="inlineStr">
        <is>
          <t>ZULMAN Levi</t>
        </is>
      </c>
      <c r="BK83" s="48" t="inlineStr">
        <is>
          <t>ZULMAN Levi</t>
        </is>
      </c>
      <c r="BL83" s="48" t="inlineStr">
        <is>
          <t>Synthetic test record.</t>
        </is>
      </c>
      <c r="BM83" s="48" t="inlineStr"/>
      <c r="BN83" s="48">
        <f>TRIM(IF(AND($H83="Student",$J83="ADM-ACT-MAT-CNE"),"Invalid: Student cannot be CNE. ","")&amp;IF(AND($H83="Student",ISNUMBER($O83)),"Check: capacity set for a Student. ","")&amp;IF(AND(LEFT($J83,11)="ADM-ACT-MAT",$P83=0),"Check: matched status but 0 active pairings. ","")&amp;IF(AND($H83="Tutor",ISNUMBER($O83),$P83&gt;$O83),"Check: pairings exceed capacity. ","")&amp;IF(AND($BH83="Everyone",NOT(AND($BD83="Yes",$BG83="Yes"))),"Check: approved to tutor children but WWCC not provided/confirmed. ","")&amp;IF(AND($P83&gt;0,NOT(AND(OR(LEFT($AY83,3)="Yes",LEFT($AY83,2)="NA"),OR(LEFT($AZ83,3)="Yes",LEFT($AZ83,2)="NA")))),"Matched but vetting incomplete (interview/reference). ","")&amp;IF(COUNTIF($B$3:$B$600,$B83)&gt;1,"Duplicate participant name. ",""))</f>
        <v/>
      </c>
      <c r="BO83" s="48" t="inlineStr">
        <is>
          <t>S-N-00026</t>
        </is>
      </c>
      <c r="BP83" s="48">
        <f>IFERROR(VLOOKUP(BO83,$A:$B,2,FALSE),"")</f>
        <v/>
      </c>
      <c r="BQ83" s="49" t="n">
        <v>45920</v>
      </c>
      <c r="BR83" s="48" t="inlineStr"/>
      <c r="BS83" s="48" t="n">
        <v>1</v>
      </c>
      <c r="BT83" s="48" t="inlineStr">
        <is>
          <t>THET Moh Moh</t>
        </is>
      </c>
      <c r="BU83" s="48" t="inlineStr">
        <is>
          <t>S-O-00033</t>
        </is>
      </c>
      <c r="BV83" s="48">
        <f>IFERROR(VLOOKUP(BU83,$A:$B,2,FALSE),"")</f>
        <v/>
      </c>
      <c r="BW83" s="49" t="n">
        <v>45575</v>
      </c>
      <c r="BX83" s="48" t="inlineStr"/>
      <c r="BY83" s="48" t="n">
        <v>2</v>
      </c>
      <c r="BZ83" s="48" t="inlineStr">
        <is>
          <t>SHANAHAN Jack</t>
        </is>
      </c>
      <c r="CA83" s="48" t="inlineStr"/>
      <c r="CB83" s="48" t="inlineStr"/>
      <c r="CC83" s="48" t="inlineStr"/>
      <c r="CD83" s="48" t="inlineStr"/>
      <c r="CE83" s="48" t="inlineStr"/>
      <c r="CF83" s="48" t="inlineStr"/>
      <c r="CG83" s="48" t="inlineStr"/>
      <c r="CH83" s="48" t="inlineStr"/>
      <c r="CI83" s="48" t="inlineStr"/>
      <c r="CJ83" s="48" t="inlineStr"/>
      <c r="CK83" s="48" t="inlineStr"/>
      <c r="CL83" s="48" t="inlineStr"/>
      <c r="CM83" s="48" t="inlineStr"/>
      <c r="CN83" s="48" t="inlineStr"/>
      <c r="CO83" s="48" t="inlineStr"/>
      <c r="CP83" s="48" t="inlineStr"/>
      <c r="CQ83" s="48" t="inlineStr"/>
      <c r="CR83" s="48" t="inlineStr"/>
      <c r="CS83" s="48">
        <f>IF(LEFT($J83,3)="ERR",0,1)</f>
        <v/>
      </c>
      <c r="CT83" s="48">
        <f>IF(LEFT($J83,3)="ADM",1,0)</f>
        <v/>
      </c>
      <c r="CU83" s="48">
        <f>IF(OR($J83="ADM-ACT-MAT-CNE",$J83="ADM-ACT-MAT-CE",$J83="ADM-INACT-M&amp;T"),1,0)</f>
        <v/>
      </c>
      <c r="CV83" s="48">
        <f>IF(AND(CU83=1,ISNUMBER(M83),ISNUMBER(I83)),M83-I83,"")</f>
        <v/>
      </c>
      <c r="CW83" s="48">
        <f>IF(ISNUMBER(I83),TODAY()-I83,"")</f>
        <v/>
      </c>
      <c r="CX83" s="48">
        <f>IF(ISNUMBER(I83),DATE(YEAR(I83),MONTH(I83),1),"")</f>
        <v/>
      </c>
      <c r="CY83" s="48">
        <f>IFERROR(DATEDIF(AK83,TODAY(),"y"),"")</f>
        <v/>
      </c>
      <c r="CZ83" s="48">
        <f>IF(CY83="","",IF(CY83&lt;28,"18-27",IF(CY83&lt;38,"28-37",IF(CY83&lt;48,"38-47",IF(CY83&lt;58,"48-57",IF(CY83&lt;68,"58-67",IF(CY83&lt;78,"68-77","78+")))))) </f>
        <v/>
      </c>
      <c r="DA83" s="48">
        <f>IF(AND(BQ83&lt;&gt;"",BR83=""),N(BS83),0)+IF(AND(BW83&lt;&gt;"",BX83=""),N(BY83),0)+IF(AND(CC83&lt;&gt;"",CD83=""),N(CE83),0)+IF(AND(CI83&lt;&gt;"",CJ83=""),N(CK83),0)+IF(AND(CO83&lt;&gt;"",CP83=""),N(CQ83),0)</f>
        <v/>
      </c>
      <c r="DB83" s="48">
        <f>ROUND(IF(BQ83&lt;&gt;"",N(BS83)*MAX(0,((IF(BR83="",TODAY(),BR83))-BQ83)/7),0)+IF(BW83&lt;&gt;"",N(BY83)*MAX(0,((IF(BX83="",TODAY(),BX83))-BW83)/7),0)+IF(CC83&lt;&gt;"",N(CE83)*MAX(0,((IF(CD83="",TODAY(),CD83))-CC83)/7),0)+IF(CI83&lt;&gt;"",N(CK83)*MAX(0,((IF(CJ83="",TODAY(),CJ83))-CI83)/7),0)+IF(CO83&lt;&gt;"",N(CQ83)*MAX(0,((IF(CP83="",TODAY(),CP83))-CO83)/7),0),1)</f>
        <v/>
      </c>
      <c r="DC83" s="48">
        <f>IF(OR(TRIM(X83)="",TRIM(X83)="NA;",TRIM(X83)="NA"),0,1)</f>
        <v/>
      </c>
      <c r="DD83" s="48">
        <f>IF(OR(TRIM(Y83)="",TRIM(Y83)="NA;",TRIM(Y83)="NA"),0,1)</f>
        <v/>
      </c>
      <c r="DE83" s="48">
        <f>IF(OR(TRIM(Z83)="",TRIM(Z83)="NA;",TRIM(Z83)="NA"),0,1)</f>
        <v/>
      </c>
      <c r="DF83" s="48">
        <f>IF(OR(TRIM(AA83)="",TRIM(AA83)="NA;",TRIM(AA83)="NA"),0,1)</f>
        <v/>
      </c>
      <c r="DG83" s="48">
        <f>IF(OR(TRIM(AB83)="",TRIM(AB83)="NA;",TRIM(AB83)="NA"),0,1)</f>
        <v/>
      </c>
      <c r="DH83" s="48">
        <f>IF(OR(TRIM(AC83)="",TRIM(AC83)="NA;",TRIM(AC83)="NA"),0,1)</f>
        <v/>
      </c>
      <c r="DI83" s="48">
        <f>IF(OR(TRIM(AD83)="",TRIM(AD83)="NA;",TRIM(AD83)="NA"),0,1)</f>
        <v/>
      </c>
      <c r="DJ83" s="48">
        <f>TRIM(IF(DC83=1,"Mon ","")&amp;IF(DD83=1,"Tue ","")&amp;IF(DE83=1,"Wed ","")&amp;IF(DF83=1,"Thu ","")&amp;IF(DG83=1,"Fri ","")&amp;IF(DH83=1,"Sat ","")&amp;IF(DI83=1,"Sun ",""))</f>
        <v/>
      </c>
    </row>
    <row r="84">
      <c r="A84" s="48" t="inlineStr">
        <is>
          <t>T-N-00032</t>
        </is>
      </c>
      <c r="B84" s="48" t="inlineStr">
        <is>
          <t>Jose Mosquera</t>
        </is>
      </c>
      <c r="C84" s="48" t="inlineStr">
        <is>
          <t>jose.mosquera82@example.com</t>
        </is>
      </c>
      <c r="D84" s="48" t="inlineStr">
        <is>
          <t>+61 466 422 717</t>
        </is>
      </c>
      <c r="E84" s="48" t="inlineStr">
        <is>
          <t>Luke Wright</t>
        </is>
      </c>
      <c r="F84" s="48" t="inlineStr">
        <is>
          <t>+61 413 159 108</t>
        </is>
      </c>
      <c r="G84" s="48" t="inlineStr">
        <is>
          <t>Parent</t>
        </is>
      </c>
      <c r="H84" s="48" t="inlineStr">
        <is>
          <t>Tutor</t>
        </is>
      </c>
      <c r="I84" s="49" t="n">
        <v>45899</v>
      </c>
      <c r="J84" s="48" t="inlineStr">
        <is>
          <t>ADM-INACT-NOM&amp;T</t>
        </is>
      </c>
      <c r="K84" s="48">
        <f>IFERROR(VLOOKUP(J84,'(A) Introduction'!$B$35:$C$45,2,FALSE),"")</f>
        <v/>
      </c>
      <c r="L84" s="48" t="inlineStr">
        <is>
          <t>No</t>
        </is>
      </c>
      <c r="M84" s="48" t="inlineStr"/>
      <c r="N84" s="48" t="inlineStr"/>
      <c r="O84" s="48" t="n">
        <v>2</v>
      </c>
      <c r="P84" s="48">
        <f>IF($H84="Tutor",((BQ84&lt;&gt;"")*(BR84=""))+((BW84&lt;&gt;"")*(BX84=""))+((CC84&lt;&gt;"")*(CD84=""))+((CI84&lt;&gt;"")*(CJ84=""))+((CO84&lt;&gt;"")*(CP84="")),SUMPRODUCT(--($BO$3:$BO$202=$A84),--($BR$3:$BR$202=""))+SUMPRODUCT(--($BU$3:$BU$202=$A84),--($BX$3:$BX$202=""))+SUMPRODUCT(--($CA$3:$CA$202=$A84),--($CD$3:$CD$202=""))+SUMPRODUCT(--($CG$3:$CG$202=$A84),--($CJ$3:$CJ$202=""))+SUMPRODUCT(--($CM$3:$CM$202=$A84),--($CP$3:$CP$202="")))</f>
        <v/>
      </c>
      <c r="Q84" s="48">
        <f>IF($H84="Tutor",(BQ84&lt;&gt;"")+(BW84&lt;&gt;"")+(CC84&lt;&gt;"")+(CI84&lt;&gt;"")+(CO84&lt;&gt;""),SUMPRODUCT(--($BO$3:$BO$202=$A84))+SUMPRODUCT(--($BU$3:$BU$202=$A84))+SUMPRODUCT(--($CA$3:$CA$202=$A84))+SUMPRODUCT(--($CG$3:$CG$202=$A84))+SUMPRODUCT(--($CM$3:$CM$202=$A84)))</f>
        <v/>
      </c>
      <c r="R84" s="48">
        <f>IF($H84="Tutor",TRIM(IF(AND(BQ84&lt;&gt;"",BR84=""),BP84&amp;"; ","")&amp;IF(AND(BW84&lt;&gt;"",BX84=""),BV84&amp;"; ","")&amp;IF(AND(CC84&lt;&gt;"",CD84=""),CB84&amp;"; ","")&amp;IF(AND(CI84&lt;&gt;"",CJ84=""),CH84&amp;"; ","")&amp;IF(AND(CO84&lt;&gt;"",CP84=""),CN84&amp;"; ","")),IFERROR(INDEX($A$3:$B$202,(SUMPRODUCT(($BO$3:$BO$202=$A84)*($BR$3:$BR$202="")*ROW($BO$3:$BO$202))+SUMPRODUCT(($BU$3:$BU$202=$A84)*($BX$3:$BX$202="")*ROW($BU$3:$BU$202))+SUMPRODUCT(($CA$3:$CA$202=$A84)*($CD$3:$CD$202="")*ROW($CA$3:$CA$202))+SUMPRODUCT(($CG$3:$CG$202=$A84)*($CJ$3:$CJ$202="")*ROW($CG$3:$CG$202))+SUMPRODUCT(($CM$3:$CM$202=$A84)*($CP$3:$CP$202="")*ROW($CM$3:$CM$202)))-2,2),""))</f>
        <v/>
      </c>
      <c r="S84" s="48" t="inlineStr">
        <is>
          <t>Not Provided</t>
        </is>
      </c>
      <c r="T84" s="48" t="inlineStr"/>
      <c r="U84" s="48" t="inlineStr"/>
      <c r="V84" s="49" t="n">
        <v>45710</v>
      </c>
      <c r="W84" s="48" t="inlineStr">
        <is>
          <t>ACDT (UTC+10:30)</t>
        </is>
      </c>
      <c r="X84" s="48" t="inlineStr">
        <is>
          <t>6pm-9pm;</t>
        </is>
      </c>
      <c r="Y84" s="48" t="inlineStr">
        <is>
          <t>6pm-9pm;</t>
        </is>
      </c>
      <c r="Z84" s="48" t="inlineStr">
        <is>
          <t>9am-12pm;12pm-3pm;3pm-6pm;</t>
        </is>
      </c>
      <c r="AA84" s="48" t="inlineStr">
        <is>
          <t>9am-12pm;</t>
        </is>
      </c>
      <c r="AB84" s="48" t="inlineStr">
        <is>
          <t>12pm-3pm;6pm-9pm;</t>
        </is>
      </c>
      <c r="AC84" s="48" t="inlineStr">
        <is>
          <t>6pm-9pm;</t>
        </is>
      </c>
      <c r="AD84" s="48" t="inlineStr">
        <is>
          <t>NA;</t>
        </is>
      </c>
      <c r="AE84" s="48" t="inlineStr">
        <is>
          <t>In-Person</t>
        </is>
      </c>
      <c r="AF84" s="48" t="inlineStr">
        <is>
          <t>NA - Tutor</t>
        </is>
      </c>
      <c r="AG84" s="48" t="inlineStr">
        <is>
          <t>Australia</t>
        </is>
      </c>
      <c r="AH84" s="48" t="inlineStr">
        <is>
          <t>New South Wales</t>
        </is>
      </c>
      <c r="AI84" s="48" t="inlineStr">
        <is>
          <t>Eastlakes</t>
        </is>
      </c>
      <c r="AJ84" s="48" t="inlineStr">
        <is>
          <t>2018</t>
        </is>
      </c>
      <c r="AK84" s="49" t="n">
        <v>33500</v>
      </c>
      <c r="AL84" s="48" t="inlineStr">
        <is>
          <t>Female</t>
        </is>
      </c>
      <c r="AM84" s="48" t="inlineStr">
        <is>
          <t>NA</t>
        </is>
      </c>
      <c r="AN84" s="48" t="inlineStr">
        <is>
          <t>NA - Tutor</t>
        </is>
      </c>
      <c r="AO84" s="48" t="inlineStr">
        <is>
          <t>Moderate</t>
        </is>
      </c>
      <c r="AP84" s="48" t="inlineStr">
        <is>
          <t>Russia</t>
        </is>
      </c>
      <c r="AQ84" s="48" t="inlineStr">
        <is>
          <t>NA</t>
        </is>
      </c>
      <c r="AR84" s="48" t="inlineStr">
        <is>
          <t>Burmese (C2)</t>
        </is>
      </c>
      <c r="AS84" s="48" t="inlineStr">
        <is>
          <t>None</t>
        </is>
      </c>
      <c r="AT84" s="48" t="inlineStr">
        <is>
          <t>Hospitality &amp; Retail</t>
        </is>
      </c>
      <c r="AU84" s="48" t="inlineStr">
        <is>
          <t>Cleaner</t>
        </is>
      </c>
      <c r="AV84" s="48" t="inlineStr">
        <is>
          <t>NA - Tutor</t>
        </is>
      </c>
      <c r="AW84" s="48" t="inlineStr">
        <is>
          <t>Reading; Politics; Music</t>
        </is>
      </c>
      <c r="AX84" s="48" t="inlineStr">
        <is>
          <t>NA - Tutor</t>
        </is>
      </c>
      <c r="AY84" s="48" t="inlineStr">
        <is>
          <t>NA - Partner Organisation Verified</t>
        </is>
      </c>
      <c r="AZ84" s="48" t="inlineStr">
        <is>
          <t>No</t>
        </is>
      </c>
      <c r="BA84" s="48" t="inlineStr">
        <is>
          <t>Bilal Jones</t>
        </is>
      </c>
      <c r="BB84" s="48" t="inlineStr">
        <is>
          <t>Academic Referee</t>
        </is>
      </c>
      <c r="BC84" s="48" t="inlineStr">
        <is>
          <t>pedro.khan582@example.com</t>
        </is>
      </c>
      <c r="BD84" s="48" t="inlineStr">
        <is>
          <t>Yes</t>
        </is>
      </c>
      <c r="BE84" s="48" t="inlineStr">
        <is>
          <t>WWC9516717E</t>
        </is>
      </c>
      <c r="BF84" s="49" t="n">
        <v>46717</v>
      </c>
      <c r="BG84" s="48" t="inlineStr">
        <is>
          <t>Yes</t>
        </is>
      </c>
      <c r="BH84" s="48" t="inlineStr">
        <is>
          <t>Adults Only</t>
        </is>
      </c>
      <c r="BI84" s="48" t="inlineStr">
        <is>
          <t>Ayelet</t>
        </is>
      </c>
      <c r="BJ84" s="48" t="inlineStr">
        <is>
          <t>HERVIR Oliver</t>
        </is>
      </c>
      <c r="BK84" s="48" t="inlineStr">
        <is>
          <t>HALLORAN Isobel</t>
        </is>
      </c>
      <c r="BL84" s="48" t="inlineStr">
        <is>
          <t>Synthetic test record.</t>
        </is>
      </c>
      <c r="BM84" s="48" t="inlineStr"/>
      <c r="BN84" s="48">
        <f>TRIM(IF(AND($H84="Student",$J84="ADM-ACT-MAT-CNE"),"Invalid: Student cannot be CNE. ","")&amp;IF(AND($H84="Student",ISNUMBER($O84)),"Check: capacity set for a Student. ","")&amp;IF(AND(LEFT($J84,11)="ADM-ACT-MAT",$P84=0),"Check: matched status but 0 active pairings. ","")&amp;IF(AND($H84="Tutor",ISNUMBER($O84),$P84&gt;$O84),"Check: pairings exceed capacity. ","")&amp;IF(AND($BH84="Everyone",NOT(AND($BD84="Yes",$BG84="Yes"))),"Check: approved to tutor children but WWCC not provided/confirmed. ","")&amp;IF(AND($P84&gt;0,NOT(AND(OR(LEFT($AY84,3)="Yes",LEFT($AY84,2)="NA"),OR(LEFT($AZ84,3)="Yes",LEFT($AZ84,2)="NA")))),"Matched but vetting incomplete (interview/reference). ","")&amp;IF(COUNTIF($B$3:$B$600,$B84)&gt;1,"Duplicate participant name. ",""))</f>
        <v/>
      </c>
      <c r="BO84" s="48" t="inlineStr"/>
      <c r="BP84" s="48" t="inlineStr"/>
      <c r="BQ84" s="48" t="inlineStr"/>
      <c r="BR84" s="48" t="inlineStr"/>
      <c r="BS84" s="48" t="inlineStr"/>
      <c r="BT84" s="48" t="inlineStr"/>
      <c r="BU84" s="48" t="inlineStr"/>
      <c r="BV84" s="48" t="inlineStr"/>
      <c r="BW84" s="48" t="inlineStr"/>
      <c r="BX84" s="48" t="inlineStr"/>
      <c r="BY84" s="48" t="inlineStr"/>
      <c r="BZ84" s="48" t="inlineStr"/>
      <c r="CA84" s="48" t="inlineStr"/>
      <c r="CB84" s="48" t="inlineStr"/>
      <c r="CC84" s="48" t="inlineStr"/>
      <c r="CD84" s="48" t="inlineStr"/>
      <c r="CE84" s="48" t="inlineStr"/>
      <c r="CF84" s="48" t="inlineStr"/>
      <c r="CG84" s="48" t="inlineStr"/>
      <c r="CH84" s="48" t="inlineStr"/>
      <c r="CI84" s="48" t="inlineStr"/>
      <c r="CJ84" s="48" t="inlineStr"/>
      <c r="CK84" s="48" t="inlineStr"/>
      <c r="CL84" s="48" t="inlineStr"/>
      <c r="CM84" s="48" t="inlineStr"/>
      <c r="CN84" s="48" t="inlineStr"/>
      <c r="CO84" s="48" t="inlineStr"/>
      <c r="CP84" s="48" t="inlineStr"/>
      <c r="CQ84" s="48" t="inlineStr"/>
      <c r="CR84" s="48" t="inlineStr"/>
      <c r="CS84" s="48">
        <f>IF(LEFT($J84,3)="ERR",0,1)</f>
        <v/>
      </c>
      <c r="CT84" s="48">
        <f>IF(LEFT($J84,3)="ADM",1,0)</f>
        <v/>
      </c>
      <c r="CU84" s="48">
        <f>IF(OR($J84="ADM-ACT-MAT-CNE",$J84="ADM-ACT-MAT-CE",$J84="ADM-INACT-M&amp;T"),1,0)</f>
        <v/>
      </c>
      <c r="CV84" s="48">
        <f>IF(AND(CU84=1,ISNUMBER(M84),ISNUMBER(I84)),M84-I84,"")</f>
        <v/>
      </c>
      <c r="CW84" s="48">
        <f>IF(ISNUMBER(I84),TODAY()-I84,"")</f>
        <v/>
      </c>
      <c r="CX84" s="48">
        <f>IF(ISNUMBER(I84),DATE(YEAR(I84),MONTH(I84),1),"")</f>
        <v/>
      </c>
      <c r="CY84" s="48">
        <f>IFERROR(DATEDIF(AK84,TODAY(),"y"),"")</f>
        <v/>
      </c>
      <c r="CZ84" s="48">
        <f>IF(CY84="","",IF(CY84&lt;28,"18-27",IF(CY84&lt;38,"28-37",IF(CY84&lt;48,"38-47",IF(CY84&lt;58,"48-57",IF(CY84&lt;68,"58-67",IF(CY84&lt;78,"68-77","78+")))))) </f>
        <v/>
      </c>
      <c r="DA84" s="48">
        <f>IF(AND(BQ84&lt;&gt;"",BR84=""),N(BS84),0)+IF(AND(BW84&lt;&gt;"",BX84=""),N(BY84),0)+IF(AND(CC84&lt;&gt;"",CD84=""),N(CE84),0)+IF(AND(CI84&lt;&gt;"",CJ84=""),N(CK84),0)+IF(AND(CO84&lt;&gt;"",CP84=""),N(CQ84),0)</f>
        <v/>
      </c>
      <c r="DB84" s="48">
        <f>ROUND(IF(BQ84&lt;&gt;"",N(BS84)*MAX(0,((IF(BR84="",TODAY(),BR84))-BQ84)/7),0)+IF(BW84&lt;&gt;"",N(BY84)*MAX(0,((IF(BX84="",TODAY(),BX84))-BW84)/7),0)+IF(CC84&lt;&gt;"",N(CE84)*MAX(0,((IF(CD84="",TODAY(),CD84))-CC84)/7),0)+IF(CI84&lt;&gt;"",N(CK84)*MAX(0,((IF(CJ84="",TODAY(),CJ84))-CI84)/7),0)+IF(CO84&lt;&gt;"",N(CQ84)*MAX(0,((IF(CP84="",TODAY(),CP84))-CO84)/7),0),1)</f>
        <v/>
      </c>
      <c r="DC84" s="48">
        <f>IF(OR(TRIM(X84)="",TRIM(X84)="NA;",TRIM(X84)="NA"),0,1)</f>
        <v/>
      </c>
      <c r="DD84" s="48">
        <f>IF(OR(TRIM(Y84)="",TRIM(Y84)="NA;",TRIM(Y84)="NA"),0,1)</f>
        <v/>
      </c>
      <c r="DE84" s="48">
        <f>IF(OR(TRIM(Z84)="",TRIM(Z84)="NA;",TRIM(Z84)="NA"),0,1)</f>
        <v/>
      </c>
      <c r="DF84" s="48">
        <f>IF(OR(TRIM(AA84)="",TRIM(AA84)="NA;",TRIM(AA84)="NA"),0,1)</f>
        <v/>
      </c>
      <c r="DG84" s="48">
        <f>IF(OR(TRIM(AB84)="",TRIM(AB84)="NA;",TRIM(AB84)="NA"),0,1)</f>
        <v/>
      </c>
      <c r="DH84" s="48">
        <f>IF(OR(TRIM(AC84)="",TRIM(AC84)="NA;",TRIM(AC84)="NA"),0,1)</f>
        <v/>
      </c>
      <c r="DI84" s="48">
        <f>IF(OR(TRIM(AD84)="",TRIM(AD84)="NA;",TRIM(AD84)="NA"),0,1)</f>
        <v/>
      </c>
      <c r="DJ84" s="48">
        <f>TRIM(IF(DC84=1,"Mon ","")&amp;IF(DD84=1,"Tue ","")&amp;IF(DE84=1,"Wed ","")&amp;IF(DF84=1,"Thu ","")&amp;IF(DG84=1,"Fri ","")&amp;IF(DH84=1,"Sat ","")&amp;IF(DI84=1,"Sun ",""))</f>
        <v/>
      </c>
    </row>
    <row r="85">
      <c r="A85" s="48" t="inlineStr">
        <is>
          <t>T-N-00033</t>
        </is>
      </c>
      <c r="B85" s="48" t="inlineStr">
        <is>
          <t>Aisha Yang</t>
        </is>
      </c>
      <c r="C85" s="48" t="inlineStr">
        <is>
          <t>aisha.yang83@example.com</t>
        </is>
      </c>
      <c r="D85" s="48" t="inlineStr">
        <is>
          <t>+61 457 315 474</t>
        </is>
      </c>
      <c r="E85" s="48" t="inlineStr">
        <is>
          <t>Omar Nguyen</t>
        </is>
      </c>
      <c r="F85" s="48" t="inlineStr">
        <is>
          <t>+61 459 104 823</t>
        </is>
      </c>
      <c r="G85" s="48" t="inlineStr">
        <is>
          <t>Parent</t>
        </is>
      </c>
      <c r="H85" s="48" t="inlineStr">
        <is>
          <t>Tutor</t>
        </is>
      </c>
      <c r="I85" s="49" t="n">
        <v>45900</v>
      </c>
      <c r="J85" s="48" t="inlineStr">
        <is>
          <t>ADM-ACT-MAT-CNE</t>
        </is>
      </c>
      <c r="K85" s="48">
        <f>IFERROR(VLOOKUP(J85,'(A) Introduction'!$B$35:$C$45,2,FALSE),"")</f>
        <v/>
      </c>
      <c r="L85" s="48" t="inlineStr">
        <is>
          <t>No</t>
        </is>
      </c>
      <c r="M85" s="48" t="inlineStr"/>
      <c r="N85" s="48" t="inlineStr"/>
      <c r="O85" s="48" t="n">
        <v>3</v>
      </c>
      <c r="P85" s="48">
        <f>IF($H85="Tutor",((BQ85&lt;&gt;"")*(BR85=""))+((BW85&lt;&gt;"")*(BX85=""))+((CC85&lt;&gt;"")*(CD85=""))+((CI85&lt;&gt;"")*(CJ85=""))+((CO85&lt;&gt;"")*(CP85="")),SUMPRODUCT(--($BO$3:$BO$202=$A85),--($BR$3:$BR$202=""))+SUMPRODUCT(--($BU$3:$BU$202=$A85),--($BX$3:$BX$202=""))+SUMPRODUCT(--($CA$3:$CA$202=$A85),--($CD$3:$CD$202=""))+SUMPRODUCT(--($CG$3:$CG$202=$A85),--($CJ$3:$CJ$202=""))+SUMPRODUCT(--($CM$3:$CM$202=$A85),--($CP$3:$CP$202="")))</f>
        <v/>
      </c>
      <c r="Q85" s="48">
        <f>IF($H85="Tutor",(BQ85&lt;&gt;"")+(BW85&lt;&gt;"")+(CC85&lt;&gt;"")+(CI85&lt;&gt;"")+(CO85&lt;&gt;""),SUMPRODUCT(--($BO$3:$BO$202=$A85))+SUMPRODUCT(--($BU$3:$BU$202=$A85))+SUMPRODUCT(--($CA$3:$CA$202=$A85))+SUMPRODUCT(--($CG$3:$CG$202=$A85))+SUMPRODUCT(--($CM$3:$CM$202=$A85)))</f>
        <v/>
      </c>
      <c r="R85" s="48">
        <f>IF($H85="Tutor",TRIM(IF(AND(BQ85&lt;&gt;"",BR85=""),BP85&amp;"; ","")&amp;IF(AND(BW85&lt;&gt;"",BX85=""),BV85&amp;"; ","")&amp;IF(AND(CC85&lt;&gt;"",CD85=""),CB85&amp;"; ","")&amp;IF(AND(CI85&lt;&gt;"",CJ85=""),CH85&amp;"; ","")&amp;IF(AND(CO85&lt;&gt;"",CP85=""),CN85&amp;"; ","")),IFERROR(INDEX($A$3:$B$202,(SUMPRODUCT(($BO$3:$BO$202=$A85)*($BR$3:$BR$202="")*ROW($BO$3:$BO$202))+SUMPRODUCT(($BU$3:$BU$202=$A85)*($BX$3:$BX$202="")*ROW($BU$3:$BU$202))+SUMPRODUCT(($CA$3:$CA$202=$A85)*($CD$3:$CD$202="")*ROW($CA$3:$CA$202))+SUMPRODUCT(($CG$3:$CG$202=$A85)*($CJ$3:$CJ$202="")*ROW($CG$3:$CG$202))+SUMPRODUCT(($CM$3:$CM$202=$A85)*($CP$3:$CP$202="")*ROW($CM$3:$CM$202)))-2,2),""))</f>
        <v/>
      </c>
      <c r="S85" s="48" t="inlineStr">
        <is>
          <t>Provided</t>
        </is>
      </c>
      <c r="T85" s="48" t="inlineStr"/>
      <c r="U85" s="48" t="inlineStr"/>
      <c r="V85" s="49" t="n">
        <v>45826</v>
      </c>
      <c r="W85" s="48" t="inlineStr">
        <is>
          <t>AEST (UTC+10)</t>
        </is>
      </c>
      <c r="X85" s="48" t="inlineStr">
        <is>
          <t>9am-12pm;</t>
        </is>
      </c>
      <c r="Y85" s="48" t="inlineStr">
        <is>
          <t>3pm-6pm;</t>
        </is>
      </c>
      <c r="Z85" s="48" t="inlineStr">
        <is>
          <t>NA;</t>
        </is>
      </c>
      <c r="AA85" s="48" t="inlineStr">
        <is>
          <t>12pm-3pm;</t>
        </is>
      </c>
      <c r="AB85" s="48" t="inlineStr">
        <is>
          <t>6am-9am;9am-12pm;</t>
        </is>
      </c>
      <c r="AC85" s="48" t="inlineStr">
        <is>
          <t>9am-12pm;</t>
        </is>
      </c>
      <c r="AD85" s="48" t="inlineStr">
        <is>
          <t>6pm-9pm;</t>
        </is>
      </c>
      <c r="AE85" s="48" t="inlineStr">
        <is>
          <t>Either</t>
        </is>
      </c>
      <c r="AF85" s="48" t="inlineStr">
        <is>
          <t>NA - Tutor</t>
        </is>
      </c>
      <c r="AG85" s="48" t="inlineStr">
        <is>
          <t>Australia</t>
        </is>
      </c>
      <c r="AH85" s="48" t="inlineStr">
        <is>
          <t>New South Wales</t>
        </is>
      </c>
      <c r="AI85" s="48" t="inlineStr">
        <is>
          <t>Campsie</t>
        </is>
      </c>
      <c r="AJ85" s="48" t="inlineStr">
        <is>
          <t>2194</t>
        </is>
      </c>
      <c r="AK85" s="49" t="n">
        <v>26713</v>
      </c>
      <c r="AL85" s="48" t="inlineStr">
        <is>
          <t>Male</t>
        </is>
      </c>
      <c r="AM85" s="48" t="inlineStr">
        <is>
          <t>NA</t>
        </is>
      </c>
      <c r="AN85" s="48" t="inlineStr">
        <is>
          <t>NA - Tutor</t>
        </is>
      </c>
      <c r="AO85" s="48" t="inlineStr">
        <is>
          <t>Outstanding</t>
        </is>
      </c>
      <c r="AP85" s="48" t="inlineStr">
        <is>
          <t>Lebanon</t>
        </is>
      </c>
      <c r="AQ85" s="48" t="inlineStr">
        <is>
          <t>NA</t>
        </is>
      </c>
      <c r="AR85" s="48" t="inlineStr">
        <is>
          <t>Farsi (C2)</t>
        </is>
      </c>
      <c r="AS85" s="48" t="inlineStr">
        <is>
          <t>Muslim</t>
        </is>
      </c>
      <c r="AT85" s="48" t="inlineStr">
        <is>
          <t>Science, Tech, Engineering and Math</t>
        </is>
      </c>
      <c r="AU85" s="48" t="inlineStr">
        <is>
          <t>Accountant</t>
        </is>
      </c>
      <c r="AV85" s="48" t="inlineStr">
        <is>
          <t>NA - Tutor</t>
        </is>
      </c>
      <c r="AW85" s="48" t="inlineStr">
        <is>
          <t>Language learning; Self-development</t>
        </is>
      </c>
      <c r="AX85" s="48" t="inlineStr">
        <is>
          <t>NA - Tutor</t>
        </is>
      </c>
      <c r="AY85" s="48" t="inlineStr">
        <is>
          <t>Yes</t>
        </is>
      </c>
      <c r="AZ85" s="48" t="inlineStr">
        <is>
          <t>Yes</t>
        </is>
      </c>
      <c r="BA85" s="48" t="inlineStr">
        <is>
          <t>Hassan Hadaya</t>
        </is>
      </c>
      <c r="BB85" s="48" t="inlineStr">
        <is>
          <t>Colleague</t>
        </is>
      </c>
      <c r="BC85" s="48" t="inlineStr">
        <is>
          <t>luke.lopez583@example.com</t>
        </is>
      </c>
      <c r="BD85" s="48" t="inlineStr">
        <is>
          <t>Yes</t>
        </is>
      </c>
      <c r="BE85" s="48" t="inlineStr">
        <is>
          <t>WWC8859576E</t>
        </is>
      </c>
      <c r="BF85" s="49" t="n">
        <v>46623</v>
      </c>
      <c r="BG85" s="48" t="inlineStr">
        <is>
          <t>No</t>
        </is>
      </c>
      <c r="BH85" s="48" t="inlineStr">
        <is>
          <t>Adults Only</t>
        </is>
      </c>
      <c r="BI85" s="48" t="inlineStr">
        <is>
          <t>University of Technology Sydney (including the Brennan Justice Program)</t>
        </is>
      </c>
      <c r="BJ85" s="48" t="inlineStr">
        <is>
          <t>ZULMAN Levi</t>
        </is>
      </c>
      <c r="BK85" s="48" t="inlineStr">
        <is>
          <t>SHANAHAN Jack</t>
        </is>
      </c>
      <c r="BL85" s="48" t="inlineStr">
        <is>
          <t>Synthetic test record.</t>
        </is>
      </c>
      <c r="BM85" s="48" t="inlineStr"/>
      <c r="BN85" s="48">
        <f>TRIM(IF(AND($H85="Student",$J85="ADM-ACT-MAT-CNE"),"Invalid: Student cannot be CNE. ","")&amp;IF(AND($H85="Student",ISNUMBER($O85)),"Check: capacity set for a Student. ","")&amp;IF(AND(LEFT($J85,11)="ADM-ACT-MAT",$P85=0),"Check: matched status but 0 active pairings. ","")&amp;IF(AND($H85="Tutor",ISNUMBER($O85),$P85&gt;$O85),"Check: pairings exceed capacity. ","")&amp;IF(AND($BH85="Everyone",NOT(AND($BD85="Yes",$BG85="Yes"))),"Check: approved to tutor children but WWCC not provided/confirmed. ","")&amp;IF(AND($P85&gt;0,NOT(AND(OR(LEFT($AY85,3)="Yes",LEFT($AY85,2)="NA"),OR(LEFT($AZ85,3)="Yes",LEFT($AZ85,2)="NA")))),"Matched but vetting incomplete (interview/reference). ","")&amp;IF(COUNTIF($B$3:$B$600,$B85)&gt;1,"Duplicate participant name. ",""))</f>
        <v/>
      </c>
      <c r="BO85" s="48" t="inlineStr">
        <is>
          <t>S-O-00013</t>
        </is>
      </c>
      <c r="BP85" s="48">
        <f>IFERROR(VLOOKUP(BO85,$A:$B,2,FALSE),"")</f>
        <v/>
      </c>
      <c r="BQ85" s="49" t="n">
        <v>45496</v>
      </c>
      <c r="BR85" s="48" t="inlineStr"/>
      <c r="BS85" s="48" t="n">
        <v>1</v>
      </c>
      <c r="BT85" s="48" t="inlineStr">
        <is>
          <t>HERVIR Oliver</t>
        </is>
      </c>
      <c r="BU85" s="48" t="inlineStr">
        <is>
          <t>S-N-00010</t>
        </is>
      </c>
      <c r="BV85" s="48">
        <f>IFERROR(VLOOKUP(BU85,$A:$B,2,FALSE),"")</f>
        <v/>
      </c>
      <c r="BW85" s="49" t="n">
        <v>45848</v>
      </c>
      <c r="BX85" s="48" t="inlineStr"/>
      <c r="BY85" s="48" t="n">
        <v>1</v>
      </c>
      <c r="BZ85" s="48" t="inlineStr">
        <is>
          <t>MCCLELLAND Reeve</t>
        </is>
      </c>
      <c r="CA85" s="48" t="inlineStr"/>
      <c r="CB85" s="48" t="inlineStr"/>
      <c r="CC85" s="48" t="inlineStr"/>
      <c r="CD85" s="48" t="inlineStr"/>
      <c r="CE85" s="48" t="inlineStr"/>
      <c r="CF85" s="48" t="inlineStr"/>
      <c r="CG85" s="48" t="inlineStr"/>
      <c r="CH85" s="48" t="inlineStr"/>
      <c r="CI85" s="48" t="inlineStr"/>
      <c r="CJ85" s="48" t="inlineStr"/>
      <c r="CK85" s="48" t="inlineStr"/>
      <c r="CL85" s="48" t="inlineStr"/>
      <c r="CM85" s="48" t="inlineStr"/>
      <c r="CN85" s="48" t="inlineStr"/>
      <c r="CO85" s="48" t="inlineStr"/>
      <c r="CP85" s="48" t="inlineStr"/>
      <c r="CQ85" s="48" t="inlineStr"/>
      <c r="CR85" s="48" t="inlineStr"/>
      <c r="CS85" s="48">
        <f>IF(LEFT($J85,3)="ERR",0,1)</f>
        <v/>
      </c>
      <c r="CT85" s="48">
        <f>IF(LEFT($J85,3)="ADM",1,0)</f>
        <v/>
      </c>
      <c r="CU85" s="48">
        <f>IF(OR($J85="ADM-ACT-MAT-CNE",$J85="ADM-ACT-MAT-CE",$J85="ADM-INACT-M&amp;T"),1,0)</f>
        <v/>
      </c>
      <c r="CV85" s="48">
        <f>IF(AND(CU85=1,ISNUMBER(M85),ISNUMBER(I85)),M85-I85,"")</f>
        <v/>
      </c>
      <c r="CW85" s="48">
        <f>IF(ISNUMBER(I85),TODAY()-I85,"")</f>
        <v/>
      </c>
      <c r="CX85" s="48">
        <f>IF(ISNUMBER(I85),DATE(YEAR(I85),MONTH(I85),1),"")</f>
        <v/>
      </c>
      <c r="CY85" s="48">
        <f>IFERROR(DATEDIF(AK85,TODAY(),"y"),"")</f>
        <v/>
      </c>
      <c r="CZ85" s="48">
        <f>IF(CY85="","",IF(CY85&lt;28,"18-27",IF(CY85&lt;38,"28-37",IF(CY85&lt;48,"38-47",IF(CY85&lt;58,"48-57",IF(CY85&lt;68,"58-67",IF(CY85&lt;78,"68-77","78+")))))) </f>
        <v/>
      </c>
      <c r="DA85" s="48">
        <f>IF(AND(BQ85&lt;&gt;"",BR85=""),N(BS85),0)+IF(AND(BW85&lt;&gt;"",BX85=""),N(BY85),0)+IF(AND(CC85&lt;&gt;"",CD85=""),N(CE85),0)+IF(AND(CI85&lt;&gt;"",CJ85=""),N(CK85),0)+IF(AND(CO85&lt;&gt;"",CP85=""),N(CQ85),0)</f>
        <v/>
      </c>
      <c r="DB85" s="48">
        <f>ROUND(IF(BQ85&lt;&gt;"",N(BS85)*MAX(0,((IF(BR85="",TODAY(),BR85))-BQ85)/7),0)+IF(BW85&lt;&gt;"",N(BY85)*MAX(0,((IF(BX85="",TODAY(),BX85))-BW85)/7),0)+IF(CC85&lt;&gt;"",N(CE85)*MAX(0,((IF(CD85="",TODAY(),CD85))-CC85)/7),0)+IF(CI85&lt;&gt;"",N(CK85)*MAX(0,((IF(CJ85="",TODAY(),CJ85))-CI85)/7),0)+IF(CO85&lt;&gt;"",N(CQ85)*MAX(0,((IF(CP85="",TODAY(),CP85))-CO85)/7),0),1)</f>
        <v/>
      </c>
      <c r="DC85" s="48">
        <f>IF(OR(TRIM(X85)="",TRIM(X85)="NA;",TRIM(X85)="NA"),0,1)</f>
        <v/>
      </c>
      <c r="DD85" s="48">
        <f>IF(OR(TRIM(Y85)="",TRIM(Y85)="NA;",TRIM(Y85)="NA"),0,1)</f>
        <v/>
      </c>
      <c r="DE85" s="48">
        <f>IF(OR(TRIM(Z85)="",TRIM(Z85)="NA;",TRIM(Z85)="NA"),0,1)</f>
        <v/>
      </c>
      <c r="DF85" s="48">
        <f>IF(OR(TRIM(AA85)="",TRIM(AA85)="NA;",TRIM(AA85)="NA"),0,1)</f>
        <v/>
      </c>
      <c r="DG85" s="48">
        <f>IF(OR(TRIM(AB85)="",TRIM(AB85)="NA;",TRIM(AB85)="NA"),0,1)</f>
        <v/>
      </c>
      <c r="DH85" s="48">
        <f>IF(OR(TRIM(AC85)="",TRIM(AC85)="NA;",TRIM(AC85)="NA"),0,1)</f>
        <v/>
      </c>
      <c r="DI85" s="48">
        <f>IF(OR(TRIM(AD85)="",TRIM(AD85)="NA;",TRIM(AD85)="NA"),0,1)</f>
        <v/>
      </c>
      <c r="DJ85" s="48">
        <f>TRIM(IF(DC85=1,"Mon ","")&amp;IF(DD85=1,"Tue ","")&amp;IF(DE85=1,"Wed ","")&amp;IF(DF85=1,"Thu ","")&amp;IF(DG85=1,"Fri ","")&amp;IF(DH85=1,"Sat ","")&amp;IF(DI85=1,"Sun ",""))</f>
        <v/>
      </c>
    </row>
    <row r="86">
      <c r="A86" s="48" t="inlineStr">
        <is>
          <t>T-N-00034</t>
        </is>
      </c>
      <c r="B86" s="48" t="inlineStr">
        <is>
          <t>Nadia Yusuf</t>
        </is>
      </c>
      <c r="C86" s="48" t="inlineStr">
        <is>
          <t>nadia.yusuf84@example.com</t>
        </is>
      </c>
      <c r="D86" s="48" t="inlineStr">
        <is>
          <t>+61 447 702 645</t>
        </is>
      </c>
      <c r="E86" s="48" t="inlineStr">
        <is>
          <t>Carlos Ahmed</t>
        </is>
      </c>
      <c r="F86" s="48" t="inlineStr">
        <is>
          <t>+61 435 286 456</t>
        </is>
      </c>
      <c r="G86" s="48" t="inlineStr">
        <is>
          <t>Parent</t>
        </is>
      </c>
      <c r="H86" s="48" t="inlineStr">
        <is>
          <t>Tutor</t>
        </is>
      </c>
      <c r="I86" s="49" t="n">
        <v>45912</v>
      </c>
      <c r="J86" s="48" t="inlineStr">
        <is>
          <t>ADM-ACT-MAT-CNE</t>
        </is>
      </c>
      <c r="K86" s="48">
        <f>IFERROR(VLOOKUP(J86,'(A) Introduction'!$B$35:$C$45,2,FALSE),"")</f>
        <v/>
      </c>
      <c r="L86" s="48" t="inlineStr">
        <is>
          <t>No</t>
        </is>
      </c>
      <c r="M86" s="48" t="inlineStr"/>
      <c r="N86" s="48" t="inlineStr"/>
      <c r="O86" s="48" t="n">
        <v>3</v>
      </c>
      <c r="P86" s="48">
        <f>IF($H86="Tutor",((BQ86&lt;&gt;"")*(BR86=""))+((BW86&lt;&gt;"")*(BX86=""))+((CC86&lt;&gt;"")*(CD86=""))+((CI86&lt;&gt;"")*(CJ86=""))+((CO86&lt;&gt;"")*(CP86="")),SUMPRODUCT(--($BO$3:$BO$202=$A86),--($BR$3:$BR$202=""))+SUMPRODUCT(--($BU$3:$BU$202=$A86),--($BX$3:$BX$202=""))+SUMPRODUCT(--($CA$3:$CA$202=$A86),--($CD$3:$CD$202=""))+SUMPRODUCT(--($CG$3:$CG$202=$A86),--($CJ$3:$CJ$202=""))+SUMPRODUCT(--($CM$3:$CM$202=$A86),--($CP$3:$CP$202="")))</f>
        <v/>
      </c>
      <c r="Q86" s="48">
        <f>IF($H86="Tutor",(BQ86&lt;&gt;"")+(BW86&lt;&gt;"")+(CC86&lt;&gt;"")+(CI86&lt;&gt;"")+(CO86&lt;&gt;""),SUMPRODUCT(--($BO$3:$BO$202=$A86))+SUMPRODUCT(--($BU$3:$BU$202=$A86))+SUMPRODUCT(--($CA$3:$CA$202=$A86))+SUMPRODUCT(--($CG$3:$CG$202=$A86))+SUMPRODUCT(--($CM$3:$CM$202=$A86)))</f>
        <v/>
      </c>
      <c r="R86" s="48">
        <f>IF($H86="Tutor",TRIM(IF(AND(BQ86&lt;&gt;"",BR86=""),BP86&amp;"; ","")&amp;IF(AND(BW86&lt;&gt;"",BX86=""),BV86&amp;"; ","")&amp;IF(AND(CC86&lt;&gt;"",CD86=""),CB86&amp;"; ","")&amp;IF(AND(CI86&lt;&gt;"",CJ86=""),CH86&amp;"; ","")&amp;IF(AND(CO86&lt;&gt;"",CP86=""),CN86&amp;"; ","")),IFERROR(INDEX($A$3:$B$202,(SUMPRODUCT(($BO$3:$BO$202=$A86)*($BR$3:$BR$202="")*ROW($BO$3:$BO$202))+SUMPRODUCT(($BU$3:$BU$202=$A86)*($BX$3:$BX$202="")*ROW($BU$3:$BU$202))+SUMPRODUCT(($CA$3:$CA$202=$A86)*($CD$3:$CD$202="")*ROW($CA$3:$CA$202))+SUMPRODUCT(($CG$3:$CG$202=$A86)*($CJ$3:$CJ$202="")*ROW($CG$3:$CG$202))+SUMPRODUCT(($CM$3:$CM$202=$A86)*($CP$3:$CP$202="")*ROW($CM$3:$CM$202)))-2,2),""))</f>
        <v/>
      </c>
      <c r="S86" s="48" t="inlineStr">
        <is>
          <t>NA</t>
        </is>
      </c>
      <c r="T86" s="48" t="inlineStr"/>
      <c r="U86" s="48" t="inlineStr"/>
      <c r="V86" s="49" t="n">
        <v>45959</v>
      </c>
      <c r="W86" s="48" t="inlineStr">
        <is>
          <t>ACST (UTC+9:30)</t>
        </is>
      </c>
      <c r="X86" s="48" t="inlineStr">
        <is>
          <t>3pm-6pm;</t>
        </is>
      </c>
      <c r="Y86" s="48" t="inlineStr">
        <is>
          <t>6pm-9pm;</t>
        </is>
      </c>
      <c r="Z86" s="48" t="inlineStr">
        <is>
          <t>NA;</t>
        </is>
      </c>
      <c r="AA86" s="48" t="inlineStr">
        <is>
          <t>6pm-9pm;</t>
        </is>
      </c>
      <c r="AB86" s="48" t="inlineStr">
        <is>
          <t>12pm-3pm;</t>
        </is>
      </c>
      <c r="AC86" s="48" t="inlineStr">
        <is>
          <t>6pm-9pm;</t>
        </is>
      </c>
      <c r="AD86" s="48" t="inlineStr">
        <is>
          <t>9am-12pm;</t>
        </is>
      </c>
      <c r="AE86" s="48" t="inlineStr">
        <is>
          <t>Online</t>
        </is>
      </c>
      <c r="AF86" s="48" t="inlineStr">
        <is>
          <t>NA - Tutor</t>
        </is>
      </c>
      <c r="AG86" s="48" t="inlineStr">
        <is>
          <t>Australia</t>
        </is>
      </c>
      <c r="AH86" s="48" t="inlineStr">
        <is>
          <t>New South Wales</t>
        </is>
      </c>
      <c r="AI86" s="48" t="inlineStr">
        <is>
          <t>Marrickville</t>
        </is>
      </c>
      <c r="AJ86" s="48" t="inlineStr">
        <is>
          <t>2204</t>
        </is>
      </c>
      <c r="AK86" s="49" t="n">
        <v>37475</v>
      </c>
      <c r="AL86" s="48" t="inlineStr">
        <is>
          <t>Male</t>
        </is>
      </c>
      <c r="AM86" s="48" t="inlineStr">
        <is>
          <t>NA</t>
        </is>
      </c>
      <c r="AN86" s="48" t="inlineStr">
        <is>
          <t>NA - Tutor</t>
        </is>
      </c>
      <c r="AO86" s="48" t="inlineStr">
        <is>
          <t>Low</t>
        </is>
      </c>
      <c r="AP86" s="48" t="inlineStr">
        <is>
          <t>Australia</t>
        </is>
      </c>
      <c r="AQ86" s="48" t="inlineStr">
        <is>
          <t>NA</t>
        </is>
      </c>
      <c r="AR86" s="48" t="inlineStr">
        <is>
          <t>English (C2)</t>
        </is>
      </c>
      <c r="AS86" s="48" t="inlineStr">
        <is>
          <t>Muslim</t>
        </is>
      </c>
      <c r="AT86" s="48" t="inlineStr">
        <is>
          <t>Childcare &amp; Aged Care</t>
        </is>
      </c>
      <c r="AU86" s="48" t="inlineStr">
        <is>
          <t>Aged Care Worker</t>
        </is>
      </c>
      <c r="AV86" s="48" t="inlineStr">
        <is>
          <t>NA - Tutor</t>
        </is>
      </c>
      <c r="AW86" s="48" t="inlineStr">
        <is>
          <t>Art; Photography; Travel</t>
        </is>
      </c>
      <c r="AX86" s="48" t="inlineStr">
        <is>
          <t>NA - Tutor</t>
        </is>
      </c>
      <c r="AY86" s="48" t="inlineStr">
        <is>
          <t>NA - RELT Member Verified</t>
        </is>
      </c>
      <c r="AZ86" s="48" t="inlineStr">
        <is>
          <t>NA - Partner Organisation Verified</t>
        </is>
      </c>
      <c r="BA86" s="48" t="inlineStr">
        <is>
          <t>Olha Baker</t>
        </is>
      </c>
      <c r="BB86" s="48" t="inlineStr">
        <is>
          <t>Manager</t>
        </is>
      </c>
      <c r="BC86" s="48" t="inlineStr">
        <is>
          <t>james.harris584@example.com</t>
        </is>
      </c>
      <c r="BD86" s="48" t="inlineStr">
        <is>
          <t>Yes</t>
        </is>
      </c>
      <c r="BE86" s="48" t="inlineStr">
        <is>
          <t>WWC7549342V</t>
        </is>
      </c>
      <c r="BF86" s="49" t="n">
        <v>46760</v>
      </c>
      <c r="BG86" s="48" t="inlineStr">
        <is>
          <t>Yes</t>
        </is>
      </c>
      <c r="BH86" s="48" t="inlineStr">
        <is>
          <t>Adults Only</t>
        </is>
      </c>
      <c r="BI86" s="48" t="inlineStr">
        <is>
          <t>Settlement Services International</t>
        </is>
      </c>
      <c r="BJ86" s="48" t="inlineStr">
        <is>
          <t>HALLORAN Isobel</t>
        </is>
      </c>
      <c r="BK86" s="48" t="inlineStr">
        <is>
          <t>MCCLELLAND Reeve</t>
        </is>
      </c>
      <c r="BL86" s="48" t="inlineStr">
        <is>
          <t>Synthetic test record.</t>
        </is>
      </c>
      <c r="BM86" s="48" t="inlineStr"/>
      <c r="BN86" s="48">
        <f>TRIM(IF(AND($H86="Student",$J86="ADM-ACT-MAT-CNE"),"Invalid: Student cannot be CNE. ","")&amp;IF(AND($H86="Student",ISNUMBER($O86)),"Check: capacity set for a Student. ","")&amp;IF(AND(LEFT($J86,11)="ADM-ACT-MAT",$P86=0),"Check: matched status but 0 active pairings. ","")&amp;IF(AND($H86="Tutor",ISNUMBER($O86),$P86&gt;$O86),"Check: pairings exceed capacity. ","")&amp;IF(AND($BH86="Everyone",NOT(AND($BD86="Yes",$BG86="Yes"))),"Check: approved to tutor children but WWCC not provided/confirmed. ","")&amp;IF(AND($P86&gt;0,NOT(AND(OR(LEFT($AY86,3)="Yes",LEFT($AY86,2)="NA"),OR(LEFT($AZ86,3)="Yes",LEFT($AZ86,2)="NA")))),"Matched but vetting incomplete (interview/reference). ","")&amp;IF(COUNTIF($B$3:$B$600,$B86)&gt;1,"Duplicate participant name. ",""))</f>
        <v/>
      </c>
      <c r="BO86" s="48" t="inlineStr">
        <is>
          <t>S-O-00007</t>
        </is>
      </c>
      <c r="BP86" s="48">
        <f>IFERROR(VLOOKUP(BO86,$A:$B,2,FALSE),"")</f>
        <v/>
      </c>
      <c r="BQ86" s="49" t="n">
        <v>45496</v>
      </c>
      <c r="BR86" s="48" t="inlineStr"/>
      <c r="BS86" s="48" t="n">
        <v>1</v>
      </c>
      <c r="BT86" s="48" t="inlineStr">
        <is>
          <t>MCCLELLAND Reeve</t>
        </is>
      </c>
      <c r="BU86" s="48" t="inlineStr"/>
      <c r="BV86" s="48" t="inlineStr"/>
      <c r="BW86" s="48" t="inlineStr"/>
      <c r="BX86" s="48" t="inlineStr"/>
      <c r="BY86" s="48" t="inlineStr"/>
      <c r="BZ86" s="48" t="inlineStr"/>
      <c r="CA86" s="48" t="inlineStr"/>
      <c r="CB86" s="48" t="inlineStr"/>
      <c r="CC86" s="48" t="inlineStr"/>
      <c r="CD86" s="48" t="inlineStr"/>
      <c r="CE86" s="48" t="inlineStr"/>
      <c r="CF86" s="48" t="inlineStr"/>
      <c r="CG86" s="48" t="inlineStr"/>
      <c r="CH86" s="48" t="inlineStr"/>
      <c r="CI86" s="48" t="inlineStr"/>
      <c r="CJ86" s="48" t="inlineStr"/>
      <c r="CK86" s="48" t="inlineStr"/>
      <c r="CL86" s="48" t="inlineStr"/>
      <c r="CM86" s="48" t="inlineStr"/>
      <c r="CN86" s="48" t="inlineStr"/>
      <c r="CO86" s="48" t="inlineStr"/>
      <c r="CP86" s="48" t="inlineStr"/>
      <c r="CQ86" s="48" t="inlineStr"/>
      <c r="CR86" s="48" t="inlineStr"/>
      <c r="CS86" s="48">
        <f>IF(LEFT($J86,3)="ERR",0,1)</f>
        <v/>
      </c>
      <c r="CT86" s="48">
        <f>IF(LEFT($J86,3)="ADM",1,0)</f>
        <v/>
      </c>
      <c r="CU86" s="48">
        <f>IF(OR($J86="ADM-ACT-MAT-CNE",$J86="ADM-ACT-MAT-CE",$J86="ADM-INACT-M&amp;T"),1,0)</f>
        <v/>
      </c>
      <c r="CV86" s="48">
        <f>IF(AND(CU86=1,ISNUMBER(M86),ISNUMBER(I86)),M86-I86,"")</f>
        <v/>
      </c>
      <c r="CW86" s="48">
        <f>IF(ISNUMBER(I86),TODAY()-I86,"")</f>
        <v/>
      </c>
      <c r="CX86" s="48">
        <f>IF(ISNUMBER(I86),DATE(YEAR(I86),MONTH(I86),1),"")</f>
        <v/>
      </c>
      <c r="CY86" s="48">
        <f>IFERROR(DATEDIF(AK86,TODAY(),"y"),"")</f>
        <v/>
      </c>
      <c r="CZ86" s="48">
        <f>IF(CY86="","",IF(CY86&lt;28,"18-27",IF(CY86&lt;38,"28-37",IF(CY86&lt;48,"38-47",IF(CY86&lt;58,"48-57",IF(CY86&lt;68,"58-67",IF(CY86&lt;78,"68-77","78+")))))) </f>
        <v/>
      </c>
      <c r="DA86" s="48">
        <f>IF(AND(BQ86&lt;&gt;"",BR86=""),N(BS86),0)+IF(AND(BW86&lt;&gt;"",BX86=""),N(BY86),0)+IF(AND(CC86&lt;&gt;"",CD86=""),N(CE86),0)+IF(AND(CI86&lt;&gt;"",CJ86=""),N(CK86),0)+IF(AND(CO86&lt;&gt;"",CP86=""),N(CQ86),0)</f>
        <v/>
      </c>
      <c r="DB86" s="48">
        <f>ROUND(IF(BQ86&lt;&gt;"",N(BS86)*MAX(0,((IF(BR86="",TODAY(),BR86))-BQ86)/7),0)+IF(BW86&lt;&gt;"",N(BY86)*MAX(0,((IF(BX86="",TODAY(),BX86))-BW86)/7),0)+IF(CC86&lt;&gt;"",N(CE86)*MAX(0,((IF(CD86="",TODAY(),CD86))-CC86)/7),0)+IF(CI86&lt;&gt;"",N(CK86)*MAX(0,((IF(CJ86="",TODAY(),CJ86))-CI86)/7),0)+IF(CO86&lt;&gt;"",N(CQ86)*MAX(0,((IF(CP86="",TODAY(),CP86))-CO86)/7),0),1)</f>
        <v/>
      </c>
      <c r="DC86" s="48">
        <f>IF(OR(TRIM(X86)="",TRIM(X86)="NA;",TRIM(X86)="NA"),0,1)</f>
        <v/>
      </c>
      <c r="DD86" s="48">
        <f>IF(OR(TRIM(Y86)="",TRIM(Y86)="NA;",TRIM(Y86)="NA"),0,1)</f>
        <v/>
      </c>
      <c r="DE86" s="48">
        <f>IF(OR(TRIM(Z86)="",TRIM(Z86)="NA;",TRIM(Z86)="NA"),0,1)</f>
        <v/>
      </c>
      <c r="DF86" s="48">
        <f>IF(OR(TRIM(AA86)="",TRIM(AA86)="NA;",TRIM(AA86)="NA"),0,1)</f>
        <v/>
      </c>
      <c r="DG86" s="48">
        <f>IF(OR(TRIM(AB86)="",TRIM(AB86)="NA;",TRIM(AB86)="NA"),0,1)</f>
        <v/>
      </c>
      <c r="DH86" s="48">
        <f>IF(OR(TRIM(AC86)="",TRIM(AC86)="NA;",TRIM(AC86)="NA"),0,1)</f>
        <v/>
      </c>
      <c r="DI86" s="48">
        <f>IF(OR(TRIM(AD86)="",TRIM(AD86)="NA;",TRIM(AD86)="NA"),0,1)</f>
        <v/>
      </c>
      <c r="DJ86" s="48">
        <f>TRIM(IF(DC86=1,"Mon ","")&amp;IF(DD86=1,"Tue ","")&amp;IF(DE86=1,"Wed ","")&amp;IF(DF86=1,"Thu ","")&amp;IF(DG86=1,"Fri ","")&amp;IF(DH86=1,"Sat ","")&amp;IF(DI86=1,"Sun ",""))</f>
        <v/>
      </c>
    </row>
    <row r="87">
      <c r="A87" s="48" t="inlineStr">
        <is>
          <t>T-N-00035</t>
        </is>
      </c>
      <c r="B87" s="48" t="inlineStr">
        <is>
          <t>Iryna Levi</t>
        </is>
      </c>
      <c r="C87" s="48" t="inlineStr">
        <is>
          <t>iryna.levi85@example.com</t>
        </is>
      </c>
      <c r="D87" s="48" t="inlineStr">
        <is>
          <t>+61 461 062 089</t>
        </is>
      </c>
      <c r="E87" s="48" t="inlineStr">
        <is>
          <t>Mohamed Yang</t>
        </is>
      </c>
      <c r="F87" s="48" t="inlineStr">
        <is>
          <t>+61 498 598 238</t>
        </is>
      </c>
      <c r="G87" s="48" t="inlineStr">
        <is>
          <t>Parent</t>
        </is>
      </c>
      <c r="H87" s="48" t="inlineStr">
        <is>
          <t>Tutor</t>
        </is>
      </c>
      <c r="I87" s="49" t="n">
        <v>45914</v>
      </c>
      <c r="J87" s="48" t="inlineStr">
        <is>
          <t>ADM-ACT-MAT-CNE</t>
        </is>
      </c>
      <c r="K87" s="48">
        <f>IFERROR(VLOOKUP(J87,'(A) Introduction'!$B$35:$C$45,2,FALSE),"")</f>
        <v/>
      </c>
      <c r="L87" s="48" t="inlineStr">
        <is>
          <t>No</t>
        </is>
      </c>
      <c r="M87" s="48" t="inlineStr"/>
      <c r="N87" s="48" t="inlineStr"/>
      <c r="O87" s="48" t="n">
        <v>3</v>
      </c>
      <c r="P87" s="48">
        <f>IF($H87="Tutor",((BQ87&lt;&gt;"")*(BR87=""))+((BW87&lt;&gt;"")*(BX87=""))+((CC87&lt;&gt;"")*(CD87=""))+((CI87&lt;&gt;"")*(CJ87=""))+((CO87&lt;&gt;"")*(CP87="")),SUMPRODUCT(--($BO$3:$BO$202=$A87),--($BR$3:$BR$202=""))+SUMPRODUCT(--($BU$3:$BU$202=$A87),--($BX$3:$BX$202=""))+SUMPRODUCT(--($CA$3:$CA$202=$A87),--($CD$3:$CD$202=""))+SUMPRODUCT(--($CG$3:$CG$202=$A87),--($CJ$3:$CJ$202=""))+SUMPRODUCT(--($CM$3:$CM$202=$A87),--($CP$3:$CP$202="")))</f>
        <v/>
      </c>
      <c r="Q87" s="48">
        <f>IF($H87="Tutor",(BQ87&lt;&gt;"")+(BW87&lt;&gt;"")+(CC87&lt;&gt;"")+(CI87&lt;&gt;"")+(CO87&lt;&gt;""),SUMPRODUCT(--($BO$3:$BO$202=$A87))+SUMPRODUCT(--($BU$3:$BU$202=$A87))+SUMPRODUCT(--($CA$3:$CA$202=$A87))+SUMPRODUCT(--($CG$3:$CG$202=$A87))+SUMPRODUCT(--($CM$3:$CM$202=$A87)))</f>
        <v/>
      </c>
      <c r="R87" s="48">
        <f>IF($H87="Tutor",TRIM(IF(AND(BQ87&lt;&gt;"",BR87=""),BP87&amp;"; ","")&amp;IF(AND(BW87&lt;&gt;"",BX87=""),BV87&amp;"; ","")&amp;IF(AND(CC87&lt;&gt;"",CD87=""),CB87&amp;"; ","")&amp;IF(AND(CI87&lt;&gt;"",CJ87=""),CH87&amp;"; ","")&amp;IF(AND(CO87&lt;&gt;"",CP87=""),CN87&amp;"; ","")),IFERROR(INDEX($A$3:$B$202,(SUMPRODUCT(($BO$3:$BO$202=$A87)*($BR$3:$BR$202="")*ROW($BO$3:$BO$202))+SUMPRODUCT(($BU$3:$BU$202=$A87)*($BX$3:$BX$202="")*ROW($BU$3:$BU$202))+SUMPRODUCT(($CA$3:$CA$202=$A87)*($CD$3:$CD$202="")*ROW($CA$3:$CA$202))+SUMPRODUCT(($CG$3:$CG$202=$A87)*($CJ$3:$CJ$202="")*ROW($CG$3:$CG$202))+SUMPRODUCT(($CM$3:$CM$202=$A87)*($CP$3:$CP$202="")*ROW($CM$3:$CM$202)))-2,2),""))</f>
        <v/>
      </c>
      <c r="S87" s="48" t="inlineStr">
        <is>
          <t>Not Provided</t>
        </is>
      </c>
      <c r="T87" s="48" t="inlineStr"/>
      <c r="U87" s="48" t="inlineStr"/>
      <c r="V87" s="49" t="n">
        <v>46060</v>
      </c>
      <c r="W87" s="48" t="inlineStr">
        <is>
          <t>AEST (UTC+10)</t>
        </is>
      </c>
      <c r="X87" s="48" t="inlineStr">
        <is>
          <t>12pm-3pm;6pm-9pm;</t>
        </is>
      </c>
      <c r="Y87" s="48" t="inlineStr">
        <is>
          <t>12pm-3pm;</t>
        </is>
      </c>
      <c r="Z87" s="48" t="inlineStr">
        <is>
          <t>9am-12pm;12pm-3pm;3pm-6pm;</t>
        </is>
      </c>
      <c r="AA87" s="48" t="inlineStr">
        <is>
          <t>12pm-3pm;</t>
        </is>
      </c>
      <c r="AB87" s="48" t="inlineStr">
        <is>
          <t>9am-12pm;12pm-3pm;3pm-6pm;</t>
        </is>
      </c>
      <c r="AC87" s="48" t="inlineStr">
        <is>
          <t>NA;</t>
        </is>
      </c>
      <c r="AD87" s="48" t="inlineStr">
        <is>
          <t>12pm-3pm;6pm-9pm;</t>
        </is>
      </c>
      <c r="AE87" s="48" t="inlineStr">
        <is>
          <t>Either</t>
        </is>
      </c>
      <c r="AF87" s="48" t="inlineStr">
        <is>
          <t>NA - Tutor</t>
        </is>
      </c>
      <c r="AG87" s="48" t="inlineStr">
        <is>
          <t>Australia</t>
        </is>
      </c>
      <c r="AH87" s="48" t="inlineStr">
        <is>
          <t>Victoria</t>
        </is>
      </c>
      <c r="AI87" s="48" t="inlineStr">
        <is>
          <t>Sunshine</t>
        </is>
      </c>
      <c r="AJ87" s="48" t="inlineStr">
        <is>
          <t>3020</t>
        </is>
      </c>
      <c r="AK87" s="49" t="n">
        <v>28530</v>
      </c>
      <c r="AL87" s="48" t="inlineStr">
        <is>
          <t>Male</t>
        </is>
      </c>
      <c r="AM87" s="48" t="inlineStr">
        <is>
          <t>NA</t>
        </is>
      </c>
      <c r="AN87" s="48" t="inlineStr">
        <is>
          <t>NA - Tutor</t>
        </is>
      </c>
      <c r="AO87" s="48" t="inlineStr">
        <is>
          <t>Outstanding</t>
        </is>
      </c>
      <c r="AP87" s="48" t="inlineStr">
        <is>
          <t>India</t>
        </is>
      </c>
      <c r="AQ87" s="48" t="inlineStr">
        <is>
          <t>NA</t>
        </is>
      </c>
      <c r="AR87" s="48" t="inlineStr">
        <is>
          <t>English (C2)</t>
        </is>
      </c>
      <c r="AS87" s="48" t="inlineStr">
        <is>
          <t>Buddhist</t>
        </is>
      </c>
      <c r="AT87" s="48" t="inlineStr">
        <is>
          <t>Labour, Administrative &amp; Clerical</t>
        </is>
      </c>
      <c r="AU87" s="48" t="inlineStr">
        <is>
          <t>Accountant</t>
        </is>
      </c>
      <c r="AV87" s="48" t="inlineStr">
        <is>
          <t>NA - Tutor</t>
        </is>
      </c>
      <c r="AW87" s="48" t="inlineStr">
        <is>
          <t>Travel; Sport; Movies</t>
        </is>
      </c>
      <c r="AX87" s="48" t="inlineStr">
        <is>
          <t>NA - Tutor</t>
        </is>
      </c>
      <c r="AY87" s="48" t="inlineStr">
        <is>
          <t>Yes</t>
        </is>
      </c>
      <c r="AZ87" s="48" t="inlineStr">
        <is>
          <t>No</t>
        </is>
      </c>
      <c r="BA87" s="48" t="inlineStr">
        <is>
          <t>Fatima Schaffer</t>
        </is>
      </c>
      <c r="BB87" s="48" t="inlineStr">
        <is>
          <t>Manager</t>
        </is>
      </c>
      <c r="BC87" s="48" t="inlineStr">
        <is>
          <t>ibrahim.hall585@example.com</t>
        </is>
      </c>
      <c r="BD87" s="48" t="inlineStr">
        <is>
          <t>Pending</t>
        </is>
      </c>
      <c r="BE87" s="48" t="inlineStr"/>
      <c r="BF87" s="48" t="inlineStr"/>
      <c r="BG87" s="48" t="inlineStr">
        <is>
          <t>Yes</t>
        </is>
      </c>
      <c r="BH87" s="48" t="inlineStr">
        <is>
          <t>Adults Only</t>
        </is>
      </c>
      <c r="BI87" s="48" t="inlineStr">
        <is>
          <t>National Justice Project</t>
        </is>
      </c>
      <c r="BJ87" s="48" t="inlineStr">
        <is>
          <t>AGARWAL Akanksha</t>
        </is>
      </c>
      <c r="BK87" s="48" t="inlineStr">
        <is>
          <t>NUICH Curtis</t>
        </is>
      </c>
      <c r="BL87" s="48" t="inlineStr">
        <is>
          <t>Synthetic test record.</t>
        </is>
      </c>
      <c r="BM87" s="48" t="inlineStr"/>
      <c r="BN87" s="48">
        <f>TRIM(IF(AND($H87="Student",$J87="ADM-ACT-MAT-CNE"),"Invalid: Student cannot be CNE. ","")&amp;IF(AND($H87="Student",ISNUMBER($O87)),"Check: capacity set for a Student. ","")&amp;IF(AND(LEFT($J87,11)="ADM-ACT-MAT",$P87=0),"Check: matched status but 0 active pairings. ","")&amp;IF(AND($H87="Tutor",ISNUMBER($O87),$P87&gt;$O87),"Check: pairings exceed capacity. ","")&amp;IF(AND($BH87="Everyone",NOT(AND($BD87="Yes",$BG87="Yes"))),"Check: approved to tutor children but WWCC not provided/confirmed. ","")&amp;IF(AND($P87&gt;0,NOT(AND(OR(LEFT($AY87,3)="Yes",LEFT($AY87,2)="NA"),OR(LEFT($AZ87,3)="Yes",LEFT($AZ87,2)="NA")))),"Matched but vetting incomplete (interview/reference). ","")&amp;IF(COUNTIF($B$3:$B$600,$B87)&gt;1,"Duplicate participant name. ",""))</f>
        <v/>
      </c>
      <c r="BO87" s="48" t="inlineStr">
        <is>
          <t>S-O-00027</t>
        </is>
      </c>
      <c r="BP87" s="48">
        <f>IFERROR(VLOOKUP(BO87,$A:$B,2,FALSE),"")</f>
        <v/>
      </c>
      <c r="BQ87" s="49" t="n">
        <v>45526</v>
      </c>
      <c r="BR87" s="48" t="inlineStr"/>
      <c r="BS87" s="48" t="n">
        <v>1.5</v>
      </c>
      <c r="BT87" s="48" t="inlineStr">
        <is>
          <t>SHANAHAN Jack</t>
        </is>
      </c>
      <c r="BU87" s="48" t="inlineStr">
        <is>
          <t>S-N-00033</t>
        </is>
      </c>
      <c r="BV87" s="48">
        <f>IFERROR(VLOOKUP(BU87,$A:$B,2,FALSE),"")</f>
        <v/>
      </c>
      <c r="BW87" s="49" t="n">
        <v>45903</v>
      </c>
      <c r="BX87" s="49" t="n">
        <v>46034</v>
      </c>
      <c r="BY87" s="48" t="n">
        <v>1.5</v>
      </c>
      <c r="BZ87" s="48" t="inlineStr">
        <is>
          <t>SHANAHAN Jack</t>
        </is>
      </c>
      <c r="CA87" s="48" t="inlineStr"/>
      <c r="CB87" s="48" t="inlineStr"/>
      <c r="CC87" s="48" t="inlineStr"/>
      <c r="CD87" s="48" t="inlineStr"/>
      <c r="CE87" s="48" t="inlineStr"/>
      <c r="CF87" s="48" t="inlineStr"/>
      <c r="CG87" s="48" t="inlineStr"/>
      <c r="CH87" s="48" t="inlineStr"/>
      <c r="CI87" s="48" t="inlineStr"/>
      <c r="CJ87" s="48" t="inlineStr"/>
      <c r="CK87" s="48" t="inlineStr"/>
      <c r="CL87" s="48" t="inlineStr"/>
      <c r="CM87" s="48" t="inlineStr"/>
      <c r="CN87" s="48" t="inlineStr"/>
      <c r="CO87" s="48" t="inlineStr"/>
      <c r="CP87" s="48" t="inlineStr"/>
      <c r="CQ87" s="48" t="inlineStr"/>
      <c r="CR87" s="48" t="inlineStr"/>
      <c r="CS87" s="48">
        <f>IF(LEFT($J87,3)="ERR",0,1)</f>
        <v/>
      </c>
      <c r="CT87" s="48">
        <f>IF(LEFT($J87,3)="ADM",1,0)</f>
        <v/>
      </c>
      <c r="CU87" s="48">
        <f>IF(OR($J87="ADM-ACT-MAT-CNE",$J87="ADM-ACT-MAT-CE",$J87="ADM-INACT-M&amp;T"),1,0)</f>
        <v/>
      </c>
      <c r="CV87" s="48">
        <f>IF(AND(CU87=1,ISNUMBER(M87),ISNUMBER(I87)),M87-I87,"")</f>
        <v/>
      </c>
      <c r="CW87" s="48">
        <f>IF(ISNUMBER(I87),TODAY()-I87,"")</f>
        <v/>
      </c>
      <c r="CX87" s="48">
        <f>IF(ISNUMBER(I87),DATE(YEAR(I87),MONTH(I87),1),"")</f>
        <v/>
      </c>
      <c r="CY87" s="48">
        <f>IFERROR(DATEDIF(AK87,TODAY(),"y"),"")</f>
        <v/>
      </c>
      <c r="CZ87" s="48">
        <f>IF(CY87="","",IF(CY87&lt;28,"18-27",IF(CY87&lt;38,"28-37",IF(CY87&lt;48,"38-47",IF(CY87&lt;58,"48-57",IF(CY87&lt;68,"58-67",IF(CY87&lt;78,"68-77","78+")))))) </f>
        <v/>
      </c>
      <c r="DA87" s="48">
        <f>IF(AND(BQ87&lt;&gt;"",BR87=""),N(BS87),0)+IF(AND(BW87&lt;&gt;"",BX87=""),N(BY87),0)+IF(AND(CC87&lt;&gt;"",CD87=""),N(CE87),0)+IF(AND(CI87&lt;&gt;"",CJ87=""),N(CK87),0)+IF(AND(CO87&lt;&gt;"",CP87=""),N(CQ87),0)</f>
        <v/>
      </c>
      <c r="DB87" s="48">
        <f>ROUND(IF(BQ87&lt;&gt;"",N(BS87)*MAX(0,((IF(BR87="",TODAY(),BR87))-BQ87)/7),0)+IF(BW87&lt;&gt;"",N(BY87)*MAX(0,((IF(BX87="",TODAY(),BX87))-BW87)/7),0)+IF(CC87&lt;&gt;"",N(CE87)*MAX(0,((IF(CD87="",TODAY(),CD87))-CC87)/7),0)+IF(CI87&lt;&gt;"",N(CK87)*MAX(0,((IF(CJ87="",TODAY(),CJ87))-CI87)/7),0)+IF(CO87&lt;&gt;"",N(CQ87)*MAX(0,((IF(CP87="",TODAY(),CP87))-CO87)/7),0),1)</f>
        <v/>
      </c>
      <c r="DC87" s="48">
        <f>IF(OR(TRIM(X87)="",TRIM(X87)="NA;",TRIM(X87)="NA"),0,1)</f>
        <v/>
      </c>
      <c r="DD87" s="48">
        <f>IF(OR(TRIM(Y87)="",TRIM(Y87)="NA;",TRIM(Y87)="NA"),0,1)</f>
        <v/>
      </c>
      <c r="DE87" s="48">
        <f>IF(OR(TRIM(Z87)="",TRIM(Z87)="NA;",TRIM(Z87)="NA"),0,1)</f>
        <v/>
      </c>
      <c r="DF87" s="48">
        <f>IF(OR(TRIM(AA87)="",TRIM(AA87)="NA;",TRIM(AA87)="NA"),0,1)</f>
        <v/>
      </c>
      <c r="DG87" s="48">
        <f>IF(OR(TRIM(AB87)="",TRIM(AB87)="NA;",TRIM(AB87)="NA"),0,1)</f>
        <v/>
      </c>
      <c r="DH87" s="48">
        <f>IF(OR(TRIM(AC87)="",TRIM(AC87)="NA;",TRIM(AC87)="NA"),0,1)</f>
        <v/>
      </c>
      <c r="DI87" s="48">
        <f>IF(OR(TRIM(AD87)="",TRIM(AD87)="NA;",TRIM(AD87)="NA"),0,1)</f>
        <v/>
      </c>
      <c r="DJ87" s="48">
        <f>TRIM(IF(DC87=1,"Mon ","")&amp;IF(DD87=1,"Tue ","")&amp;IF(DE87=1,"Wed ","")&amp;IF(DF87=1,"Thu ","")&amp;IF(DG87=1,"Fri ","")&amp;IF(DH87=1,"Sat ","")&amp;IF(DI87=1,"Sun ",""))</f>
        <v/>
      </c>
    </row>
    <row r="88">
      <c r="A88" s="48" t="inlineStr">
        <is>
          <t>T-N-00036</t>
        </is>
      </c>
      <c r="B88" s="48" t="inlineStr">
        <is>
          <t>Sam Rafipour</t>
        </is>
      </c>
      <c r="C88" s="48" t="inlineStr">
        <is>
          <t>sam.rafipour86@example.com</t>
        </is>
      </c>
      <c r="D88" s="48" t="inlineStr">
        <is>
          <t>+61 473 866 816</t>
        </is>
      </c>
      <c r="E88" s="48" t="inlineStr">
        <is>
          <t>Amir Fernando</t>
        </is>
      </c>
      <c r="F88" s="48" t="inlineStr">
        <is>
          <t>+61 478 206 825</t>
        </is>
      </c>
      <c r="G88" s="48" t="inlineStr">
        <is>
          <t>Parent</t>
        </is>
      </c>
      <c r="H88" s="48" t="inlineStr">
        <is>
          <t>Tutor</t>
        </is>
      </c>
      <c r="I88" s="49" t="n">
        <v>45919</v>
      </c>
      <c r="J88" s="48" t="inlineStr">
        <is>
          <t>ADM-ACT-UNMAT</t>
        </is>
      </c>
      <c r="K88" s="48">
        <f>IFERROR(VLOOKUP(J88,'(A) Introduction'!$B$35:$C$45,2,FALSE),"")</f>
        <v/>
      </c>
      <c r="L88" s="48" t="inlineStr">
        <is>
          <t>No</t>
        </is>
      </c>
      <c r="M88" s="48" t="inlineStr"/>
      <c r="N88" s="48" t="inlineStr"/>
      <c r="O88" s="48" t="n">
        <v>2</v>
      </c>
      <c r="P88" s="48">
        <f>IF($H88="Tutor",((BQ88&lt;&gt;"")*(BR88=""))+((BW88&lt;&gt;"")*(BX88=""))+((CC88&lt;&gt;"")*(CD88=""))+((CI88&lt;&gt;"")*(CJ88=""))+((CO88&lt;&gt;"")*(CP88="")),SUMPRODUCT(--($BO$3:$BO$202=$A88),--($BR$3:$BR$202=""))+SUMPRODUCT(--($BU$3:$BU$202=$A88),--($BX$3:$BX$202=""))+SUMPRODUCT(--($CA$3:$CA$202=$A88),--($CD$3:$CD$202=""))+SUMPRODUCT(--($CG$3:$CG$202=$A88),--($CJ$3:$CJ$202=""))+SUMPRODUCT(--($CM$3:$CM$202=$A88),--($CP$3:$CP$202="")))</f>
        <v/>
      </c>
      <c r="Q88" s="48">
        <f>IF($H88="Tutor",(BQ88&lt;&gt;"")+(BW88&lt;&gt;"")+(CC88&lt;&gt;"")+(CI88&lt;&gt;"")+(CO88&lt;&gt;""),SUMPRODUCT(--($BO$3:$BO$202=$A88))+SUMPRODUCT(--($BU$3:$BU$202=$A88))+SUMPRODUCT(--($CA$3:$CA$202=$A88))+SUMPRODUCT(--($CG$3:$CG$202=$A88))+SUMPRODUCT(--($CM$3:$CM$202=$A88)))</f>
        <v/>
      </c>
      <c r="R88" s="48">
        <f>IF($H88="Tutor",TRIM(IF(AND(BQ88&lt;&gt;"",BR88=""),BP88&amp;"; ","")&amp;IF(AND(BW88&lt;&gt;"",BX88=""),BV88&amp;"; ","")&amp;IF(AND(CC88&lt;&gt;"",CD88=""),CB88&amp;"; ","")&amp;IF(AND(CI88&lt;&gt;"",CJ88=""),CH88&amp;"; ","")&amp;IF(AND(CO88&lt;&gt;"",CP88=""),CN88&amp;"; ","")),IFERROR(INDEX($A$3:$B$202,(SUMPRODUCT(($BO$3:$BO$202=$A88)*($BR$3:$BR$202="")*ROW($BO$3:$BO$202))+SUMPRODUCT(($BU$3:$BU$202=$A88)*($BX$3:$BX$202="")*ROW($BU$3:$BU$202))+SUMPRODUCT(($CA$3:$CA$202=$A88)*($CD$3:$CD$202="")*ROW($CA$3:$CA$202))+SUMPRODUCT(($CG$3:$CG$202=$A88)*($CJ$3:$CJ$202="")*ROW($CG$3:$CG$202))+SUMPRODUCT(($CM$3:$CM$202=$A88)*($CP$3:$CP$202="")*ROW($CM$3:$CM$202)))-2,2),""))</f>
        <v/>
      </c>
      <c r="S88" s="48" t="inlineStr">
        <is>
          <t>Not Provided</t>
        </is>
      </c>
      <c r="T88" s="48" t="inlineStr"/>
      <c r="U88" s="48" t="inlineStr"/>
      <c r="V88" s="49" t="n">
        <v>46128</v>
      </c>
      <c r="W88" s="48" t="inlineStr">
        <is>
          <t>AWST (UTC+8)</t>
        </is>
      </c>
      <c r="X88" s="48" t="inlineStr">
        <is>
          <t>9am-12pm;</t>
        </is>
      </c>
      <c r="Y88" s="48" t="inlineStr">
        <is>
          <t>9am-12pm;</t>
        </is>
      </c>
      <c r="Z88" s="48" t="inlineStr">
        <is>
          <t>12pm-3pm;</t>
        </is>
      </c>
      <c r="AA88" s="48" t="inlineStr">
        <is>
          <t>6am-9am;9am-12pm;</t>
        </is>
      </c>
      <c r="AB88" s="48" t="inlineStr">
        <is>
          <t>6am-9am;9am-12pm;</t>
        </is>
      </c>
      <c r="AC88" s="48" t="inlineStr">
        <is>
          <t>NA;</t>
        </is>
      </c>
      <c r="AD88" s="48" t="inlineStr">
        <is>
          <t>6am-9am;9am-12pm;</t>
        </is>
      </c>
      <c r="AE88" s="48" t="inlineStr">
        <is>
          <t>Either</t>
        </is>
      </c>
      <c r="AF88" s="48" t="inlineStr">
        <is>
          <t>NA - Tutor</t>
        </is>
      </c>
      <c r="AG88" s="48" t="inlineStr">
        <is>
          <t>Australia</t>
        </is>
      </c>
      <c r="AH88" s="48" t="inlineStr">
        <is>
          <t>New South Wales</t>
        </is>
      </c>
      <c r="AI88" s="48" t="inlineStr">
        <is>
          <t>Eastlakes</t>
        </is>
      </c>
      <c r="AJ88" s="48" t="inlineStr">
        <is>
          <t>2018</t>
        </is>
      </c>
      <c r="AK88" s="49" t="n">
        <v>31881</v>
      </c>
      <c r="AL88" s="48" t="inlineStr">
        <is>
          <t>Female</t>
        </is>
      </c>
      <c r="AM88" s="48" t="inlineStr">
        <is>
          <t>NA</t>
        </is>
      </c>
      <c r="AN88" s="48" t="inlineStr">
        <is>
          <t>NA - Tutor</t>
        </is>
      </c>
      <c r="AO88" s="48" t="inlineStr">
        <is>
          <t>Moderate</t>
        </is>
      </c>
      <c r="AP88" s="48" t="inlineStr">
        <is>
          <t>China</t>
        </is>
      </c>
      <c r="AQ88" s="48" t="inlineStr">
        <is>
          <t>NA</t>
        </is>
      </c>
      <c r="AR88" s="48" t="inlineStr">
        <is>
          <t>Burmese (C2)</t>
        </is>
      </c>
      <c r="AS88" s="48" t="inlineStr">
        <is>
          <t>None</t>
        </is>
      </c>
      <c r="AT88" s="48" t="inlineStr">
        <is>
          <t>Childcare &amp; Aged Care</t>
        </is>
      </c>
      <c r="AU88" s="48" t="inlineStr">
        <is>
          <t>Lawyer</t>
        </is>
      </c>
      <c r="AV88" s="48" t="inlineStr">
        <is>
          <t>NA - Tutor</t>
        </is>
      </c>
      <c r="AW88" s="48" t="inlineStr">
        <is>
          <t>Cooking; Reading; Music</t>
        </is>
      </c>
      <c r="AX88" s="48" t="inlineStr">
        <is>
          <t>NA - Tutor</t>
        </is>
      </c>
      <c r="AY88" s="48" t="inlineStr">
        <is>
          <t>Yes</t>
        </is>
      </c>
      <c r="AZ88" s="48" t="inlineStr">
        <is>
          <t>Yes</t>
        </is>
      </c>
      <c r="BA88" s="48" t="inlineStr">
        <is>
          <t>Reza Ahmed</t>
        </is>
      </c>
      <c r="BB88" s="48" t="inlineStr">
        <is>
          <t>Academic Referee</t>
        </is>
      </c>
      <c r="BC88" s="48" t="inlineStr">
        <is>
          <t>dmytro.drobushar586@example.com</t>
        </is>
      </c>
      <c r="BD88" s="48" t="inlineStr">
        <is>
          <t>Yes</t>
        </is>
      </c>
      <c r="BE88" s="48" t="inlineStr">
        <is>
          <t>WWC3718341E</t>
        </is>
      </c>
      <c r="BF88" s="49" t="n">
        <v>46601</v>
      </c>
      <c r="BG88" s="48" t="inlineStr">
        <is>
          <t>No</t>
        </is>
      </c>
      <c r="BH88" s="48" t="inlineStr">
        <is>
          <t>Adults Only</t>
        </is>
      </c>
      <c r="BI88" s="48" t="inlineStr">
        <is>
          <t>AMES Australia</t>
        </is>
      </c>
      <c r="BJ88" s="48" t="inlineStr">
        <is>
          <t>SHANAHAN Jack</t>
        </is>
      </c>
      <c r="BK88" s="48" t="inlineStr">
        <is>
          <t>NUICH Curtis</t>
        </is>
      </c>
      <c r="BL88" s="48" t="inlineStr">
        <is>
          <t>Synthetic test record.</t>
        </is>
      </c>
      <c r="BM88" s="48" t="inlineStr"/>
      <c r="BN88" s="48">
        <f>TRIM(IF(AND($H88="Student",$J88="ADM-ACT-MAT-CNE"),"Invalid: Student cannot be CNE. ","")&amp;IF(AND($H88="Student",ISNUMBER($O88)),"Check: capacity set for a Student. ","")&amp;IF(AND(LEFT($J88,11)="ADM-ACT-MAT",$P88=0),"Check: matched status but 0 active pairings. ","")&amp;IF(AND($H88="Tutor",ISNUMBER($O88),$P88&gt;$O88),"Check: pairings exceed capacity. ","")&amp;IF(AND($BH88="Everyone",NOT(AND($BD88="Yes",$BG88="Yes"))),"Check: approved to tutor children but WWCC not provided/confirmed. ","")&amp;IF(AND($P88&gt;0,NOT(AND(OR(LEFT($AY88,3)="Yes",LEFT($AY88,2)="NA"),OR(LEFT($AZ88,3)="Yes",LEFT($AZ88,2)="NA")))),"Matched but vetting incomplete (interview/reference). ","")&amp;IF(COUNTIF($B$3:$B$600,$B88)&gt;1,"Duplicate participant name. ",""))</f>
        <v/>
      </c>
      <c r="BO88" s="48" t="inlineStr"/>
      <c r="BP88" s="48" t="inlineStr"/>
      <c r="BQ88" s="48" t="inlineStr"/>
      <c r="BR88" s="48" t="inlineStr"/>
      <c r="BS88" s="48" t="inlineStr"/>
      <c r="BT88" s="48" t="inlineStr"/>
      <c r="BU88" s="48" t="inlineStr"/>
      <c r="BV88" s="48" t="inlineStr"/>
      <c r="BW88" s="48" t="inlineStr"/>
      <c r="BX88" s="48" t="inlineStr"/>
      <c r="BY88" s="48" t="inlineStr"/>
      <c r="BZ88" s="48" t="inlineStr"/>
      <c r="CA88" s="48" t="inlineStr"/>
      <c r="CB88" s="48" t="inlineStr"/>
      <c r="CC88" s="48" t="inlineStr"/>
      <c r="CD88" s="48" t="inlineStr"/>
      <c r="CE88" s="48" t="inlineStr"/>
      <c r="CF88" s="48" t="inlineStr"/>
      <c r="CG88" s="48" t="inlineStr"/>
      <c r="CH88" s="48" t="inlineStr"/>
      <c r="CI88" s="48" t="inlineStr"/>
      <c r="CJ88" s="48" t="inlineStr"/>
      <c r="CK88" s="48" t="inlineStr"/>
      <c r="CL88" s="48" t="inlineStr"/>
      <c r="CM88" s="48" t="inlineStr"/>
      <c r="CN88" s="48" t="inlineStr"/>
      <c r="CO88" s="48" t="inlineStr"/>
      <c r="CP88" s="48" t="inlineStr"/>
      <c r="CQ88" s="48" t="inlineStr"/>
      <c r="CR88" s="48" t="inlineStr"/>
      <c r="CS88" s="48">
        <f>IF(LEFT($J88,3)="ERR",0,1)</f>
        <v/>
      </c>
      <c r="CT88" s="48">
        <f>IF(LEFT($J88,3)="ADM",1,0)</f>
        <v/>
      </c>
      <c r="CU88" s="48">
        <f>IF(OR($J88="ADM-ACT-MAT-CNE",$J88="ADM-ACT-MAT-CE",$J88="ADM-INACT-M&amp;T"),1,0)</f>
        <v/>
      </c>
      <c r="CV88" s="48">
        <f>IF(AND(CU88=1,ISNUMBER(M88),ISNUMBER(I88)),M88-I88,"")</f>
        <v/>
      </c>
      <c r="CW88" s="48">
        <f>IF(ISNUMBER(I88),TODAY()-I88,"")</f>
        <v/>
      </c>
      <c r="CX88" s="48">
        <f>IF(ISNUMBER(I88),DATE(YEAR(I88),MONTH(I88),1),"")</f>
        <v/>
      </c>
      <c r="CY88" s="48">
        <f>IFERROR(DATEDIF(AK88,TODAY(),"y"),"")</f>
        <v/>
      </c>
      <c r="CZ88" s="48">
        <f>IF(CY88="","",IF(CY88&lt;28,"18-27",IF(CY88&lt;38,"28-37",IF(CY88&lt;48,"38-47",IF(CY88&lt;58,"48-57",IF(CY88&lt;68,"58-67",IF(CY88&lt;78,"68-77","78+")))))) </f>
        <v/>
      </c>
      <c r="DA88" s="48">
        <f>IF(AND(BQ88&lt;&gt;"",BR88=""),N(BS88),0)+IF(AND(BW88&lt;&gt;"",BX88=""),N(BY88),0)+IF(AND(CC88&lt;&gt;"",CD88=""),N(CE88),0)+IF(AND(CI88&lt;&gt;"",CJ88=""),N(CK88),0)+IF(AND(CO88&lt;&gt;"",CP88=""),N(CQ88),0)</f>
        <v/>
      </c>
      <c r="DB88" s="48">
        <f>ROUND(IF(BQ88&lt;&gt;"",N(BS88)*MAX(0,((IF(BR88="",TODAY(),BR88))-BQ88)/7),0)+IF(BW88&lt;&gt;"",N(BY88)*MAX(0,((IF(BX88="",TODAY(),BX88))-BW88)/7),0)+IF(CC88&lt;&gt;"",N(CE88)*MAX(0,((IF(CD88="",TODAY(),CD88))-CC88)/7),0)+IF(CI88&lt;&gt;"",N(CK88)*MAX(0,((IF(CJ88="",TODAY(),CJ88))-CI88)/7),0)+IF(CO88&lt;&gt;"",N(CQ88)*MAX(0,((IF(CP88="",TODAY(),CP88))-CO88)/7),0),1)</f>
        <v/>
      </c>
      <c r="DC88" s="48">
        <f>IF(OR(TRIM(X88)="",TRIM(X88)="NA;",TRIM(X88)="NA"),0,1)</f>
        <v/>
      </c>
      <c r="DD88" s="48">
        <f>IF(OR(TRIM(Y88)="",TRIM(Y88)="NA;",TRIM(Y88)="NA"),0,1)</f>
        <v/>
      </c>
      <c r="DE88" s="48">
        <f>IF(OR(TRIM(Z88)="",TRIM(Z88)="NA;",TRIM(Z88)="NA"),0,1)</f>
        <v/>
      </c>
      <c r="DF88" s="48">
        <f>IF(OR(TRIM(AA88)="",TRIM(AA88)="NA;",TRIM(AA88)="NA"),0,1)</f>
        <v/>
      </c>
      <c r="DG88" s="48">
        <f>IF(OR(TRIM(AB88)="",TRIM(AB88)="NA;",TRIM(AB88)="NA"),0,1)</f>
        <v/>
      </c>
      <c r="DH88" s="48">
        <f>IF(OR(TRIM(AC88)="",TRIM(AC88)="NA;",TRIM(AC88)="NA"),0,1)</f>
        <v/>
      </c>
      <c r="DI88" s="48">
        <f>IF(OR(TRIM(AD88)="",TRIM(AD88)="NA;",TRIM(AD88)="NA"),0,1)</f>
        <v/>
      </c>
      <c r="DJ88" s="48">
        <f>TRIM(IF(DC88=1,"Mon ","")&amp;IF(DD88=1,"Tue ","")&amp;IF(DE88=1,"Wed ","")&amp;IF(DF88=1,"Thu ","")&amp;IF(DG88=1,"Fri ","")&amp;IF(DH88=1,"Sat ","")&amp;IF(DI88=1,"Sun ",""))</f>
        <v/>
      </c>
    </row>
    <row r="89">
      <c r="A89" s="48" t="inlineStr">
        <is>
          <t>T-N-00037</t>
        </is>
      </c>
      <c r="B89" s="48" t="inlineStr">
        <is>
          <t>Sofia Wright</t>
        </is>
      </c>
      <c r="C89" s="48" t="inlineStr">
        <is>
          <t>sofia.wright87@example.com</t>
        </is>
      </c>
      <c r="D89" s="48" t="inlineStr">
        <is>
          <t>+61 499 113 866</t>
        </is>
      </c>
      <c r="E89" s="48" t="inlineStr">
        <is>
          <t>Chloe Harris</t>
        </is>
      </c>
      <c r="F89" s="48" t="inlineStr">
        <is>
          <t>+61 416 181 746</t>
        </is>
      </c>
      <c r="G89" s="48" t="inlineStr">
        <is>
          <t>Spouse</t>
        </is>
      </c>
      <c r="H89" s="48" t="inlineStr">
        <is>
          <t>Tutor</t>
        </is>
      </c>
      <c r="I89" s="49" t="n">
        <v>45929</v>
      </c>
      <c r="J89" s="48" t="inlineStr">
        <is>
          <t>ADM-ACT-MAT-CE</t>
        </is>
      </c>
      <c r="K89" s="48">
        <f>IFERROR(VLOOKUP(J89,'(A) Introduction'!$B$35:$C$45,2,FALSE),"")</f>
        <v/>
      </c>
      <c r="L89" s="48" t="inlineStr">
        <is>
          <t>No</t>
        </is>
      </c>
      <c r="M89" s="48" t="inlineStr"/>
      <c r="N89" s="48" t="inlineStr"/>
      <c r="O89" s="48" t="n">
        <v>1</v>
      </c>
      <c r="P89" s="48">
        <f>IF($H89="Tutor",((BQ89&lt;&gt;"")*(BR89=""))+((BW89&lt;&gt;"")*(BX89=""))+((CC89&lt;&gt;"")*(CD89=""))+((CI89&lt;&gt;"")*(CJ89=""))+((CO89&lt;&gt;"")*(CP89="")),SUMPRODUCT(--($BO$3:$BO$202=$A89),--($BR$3:$BR$202=""))+SUMPRODUCT(--($BU$3:$BU$202=$A89),--($BX$3:$BX$202=""))+SUMPRODUCT(--($CA$3:$CA$202=$A89),--($CD$3:$CD$202=""))+SUMPRODUCT(--($CG$3:$CG$202=$A89),--($CJ$3:$CJ$202=""))+SUMPRODUCT(--($CM$3:$CM$202=$A89),--($CP$3:$CP$202="")))</f>
        <v/>
      </c>
      <c r="Q89" s="48">
        <f>IF($H89="Tutor",(BQ89&lt;&gt;"")+(BW89&lt;&gt;"")+(CC89&lt;&gt;"")+(CI89&lt;&gt;"")+(CO89&lt;&gt;""),SUMPRODUCT(--($BO$3:$BO$202=$A89))+SUMPRODUCT(--($BU$3:$BU$202=$A89))+SUMPRODUCT(--($CA$3:$CA$202=$A89))+SUMPRODUCT(--($CG$3:$CG$202=$A89))+SUMPRODUCT(--($CM$3:$CM$202=$A89)))</f>
        <v/>
      </c>
      <c r="R89" s="48">
        <f>IF($H89="Tutor",TRIM(IF(AND(BQ89&lt;&gt;"",BR89=""),BP89&amp;"; ","")&amp;IF(AND(BW89&lt;&gt;"",BX89=""),BV89&amp;"; ","")&amp;IF(AND(CC89&lt;&gt;"",CD89=""),CB89&amp;"; ","")&amp;IF(AND(CI89&lt;&gt;"",CJ89=""),CH89&amp;"; ","")&amp;IF(AND(CO89&lt;&gt;"",CP89=""),CN89&amp;"; ","")),IFERROR(INDEX($A$3:$B$202,(SUMPRODUCT(($BO$3:$BO$202=$A89)*($BR$3:$BR$202="")*ROW($BO$3:$BO$202))+SUMPRODUCT(($BU$3:$BU$202=$A89)*($BX$3:$BX$202="")*ROW($BU$3:$BU$202))+SUMPRODUCT(($CA$3:$CA$202=$A89)*($CD$3:$CD$202="")*ROW($CA$3:$CA$202))+SUMPRODUCT(($CG$3:$CG$202=$A89)*($CJ$3:$CJ$202="")*ROW($CG$3:$CG$202))+SUMPRODUCT(($CM$3:$CM$202=$A89)*($CP$3:$CP$202="")*ROW($CM$3:$CM$202)))-2,2),""))</f>
        <v/>
      </c>
      <c r="S89" s="48" t="inlineStr">
        <is>
          <t>Not Provided</t>
        </is>
      </c>
      <c r="T89" s="48" t="inlineStr"/>
      <c r="U89" s="48" t="inlineStr"/>
      <c r="V89" s="49" t="n">
        <v>46189</v>
      </c>
      <c r="W89" s="48" t="inlineStr">
        <is>
          <t>AEST (UTC+10)</t>
        </is>
      </c>
      <c r="X89" s="48" t="inlineStr">
        <is>
          <t>6am-9am;9am-12pm;</t>
        </is>
      </c>
      <c r="Y89" s="48" t="inlineStr">
        <is>
          <t>12pm-3pm;6pm-9pm;</t>
        </is>
      </c>
      <c r="Z89" s="48" t="inlineStr">
        <is>
          <t>6pm-9pm;</t>
        </is>
      </c>
      <c r="AA89" s="48" t="inlineStr">
        <is>
          <t>6am-9am;9am-12pm;</t>
        </is>
      </c>
      <c r="AB89" s="48" t="inlineStr">
        <is>
          <t>3pm-6pm;</t>
        </is>
      </c>
      <c r="AC89" s="48" t="inlineStr">
        <is>
          <t>6am-9am;9am-12pm;</t>
        </is>
      </c>
      <c r="AD89" s="48" t="inlineStr">
        <is>
          <t>9am-12pm;</t>
        </is>
      </c>
      <c r="AE89" s="48" t="inlineStr">
        <is>
          <t>Online</t>
        </is>
      </c>
      <c r="AF89" s="48" t="inlineStr">
        <is>
          <t>NA - Tutor</t>
        </is>
      </c>
      <c r="AG89" s="48" t="inlineStr">
        <is>
          <t>Australia</t>
        </is>
      </c>
      <c r="AH89" s="48" t="inlineStr">
        <is>
          <t>New South Wales</t>
        </is>
      </c>
      <c r="AI89" s="48" t="inlineStr">
        <is>
          <t>Kogarah</t>
        </is>
      </c>
      <c r="AJ89" s="48" t="inlineStr">
        <is>
          <t>2217</t>
        </is>
      </c>
      <c r="AK89" s="49" t="n">
        <v>34645</v>
      </c>
      <c r="AL89" s="48" t="inlineStr">
        <is>
          <t>Male</t>
        </is>
      </c>
      <c r="AM89" s="48" t="inlineStr">
        <is>
          <t>NA</t>
        </is>
      </c>
      <c r="AN89" s="48" t="inlineStr">
        <is>
          <t>NA - Tutor</t>
        </is>
      </c>
      <c r="AO89" s="48" t="inlineStr">
        <is>
          <t>Outstanding</t>
        </is>
      </c>
      <c r="AP89" s="48" t="inlineStr">
        <is>
          <t>Vietnam</t>
        </is>
      </c>
      <c r="AQ89" s="48" t="inlineStr">
        <is>
          <t>NA</t>
        </is>
      </c>
      <c r="AR89" s="48" t="inlineStr">
        <is>
          <t>English (C2)</t>
        </is>
      </c>
      <c r="AS89" s="48" t="inlineStr">
        <is>
          <t>Buddhist</t>
        </is>
      </c>
      <c r="AT89" s="48" t="inlineStr">
        <is>
          <t>Childcare &amp; Aged Care</t>
        </is>
      </c>
      <c r="AU89" s="48" t="inlineStr">
        <is>
          <t>Retail</t>
        </is>
      </c>
      <c r="AV89" s="48" t="inlineStr">
        <is>
          <t>NA - Tutor</t>
        </is>
      </c>
      <c r="AW89" s="48" t="inlineStr">
        <is>
          <t>Reading; Politics; Music</t>
        </is>
      </c>
      <c r="AX89" s="48" t="inlineStr">
        <is>
          <t>NA - Tutor</t>
        </is>
      </c>
      <c r="AY89" s="48" t="inlineStr">
        <is>
          <t>No</t>
        </is>
      </c>
      <c r="AZ89" s="48" t="inlineStr">
        <is>
          <t>No</t>
        </is>
      </c>
      <c r="BA89" s="48" t="inlineStr">
        <is>
          <t>Laura King</t>
        </is>
      </c>
      <c r="BB89" s="48" t="inlineStr">
        <is>
          <t>Friend</t>
        </is>
      </c>
      <c r="BC89" s="48" t="inlineStr">
        <is>
          <t>luke.king587@example.com</t>
        </is>
      </c>
      <c r="BD89" s="48" t="inlineStr">
        <is>
          <t>Yes</t>
        </is>
      </c>
      <c r="BE89" s="48" t="inlineStr">
        <is>
          <t>WWC2446060V</t>
        </is>
      </c>
      <c r="BF89" s="49" t="n">
        <v>46287</v>
      </c>
      <c r="BG89" s="48" t="inlineStr">
        <is>
          <t>No</t>
        </is>
      </c>
      <c r="BH89" s="48" t="inlineStr">
        <is>
          <t>Adults Only</t>
        </is>
      </c>
      <c r="BI89" s="48" t="inlineStr">
        <is>
          <t>Grandmothers for Refugees</t>
        </is>
      </c>
      <c r="BJ89" s="48" t="inlineStr">
        <is>
          <t>MCCRORIE John</t>
        </is>
      </c>
      <c r="BK89" s="48" t="inlineStr">
        <is>
          <t>KNIJNIK Marina</t>
        </is>
      </c>
      <c r="BL89" s="48" t="inlineStr">
        <is>
          <t>Synthetic test record.</t>
        </is>
      </c>
      <c r="BM89" s="48" t="inlineStr"/>
      <c r="BN89" s="48">
        <f>TRIM(IF(AND($H89="Student",$J89="ADM-ACT-MAT-CNE"),"Invalid: Student cannot be CNE. ","")&amp;IF(AND($H89="Student",ISNUMBER($O89)),"Check: capacity set for a Student. ","")&amp;IF(AND(LEFT($J89,11)="ADM-ACT-MAT",$P89=0),"Check: matched status but 0 active pairings. ","")&amp;IF(AND($H89="Tutor",ISNUMBER($O89),$P89&gt;$O89),"Check: pairings exceed capacity. ","")&amp;IF(AND($BH89="Everyone",NOT(AND($BD89="Yes",$BG89="Yes"))),"Check: approved to tutor children but WWCC not provided/confirmed. ","")&amp;IF(AND($P89&gt;0,NOT(AND(OR(LEFT($AY89,3)="Yes",LEFT($AY89,2)="NA"),OR(LEFT($AZ89,3)="Yes",LEFT($AZ89,2)="NA")))),"Matched but vetting incomplete (interview/reference). ","")&amp;IF(COUNTIF($B$3:$B$600,$B89)&gt;1,"Duplicate participant name. ",""))</f>
        <v/>
      </c>
      <c r="BO89" s="48" t="inlineStr">
        <is>
          <t>S-O-00032</t>
        </is>
      </c>
      <c r="BP89" s="48">
        <f>IFERROR(VLOOKUP(BO89,$A:$B,2,FALSE),"")</f>
        <v/>
      </c>
      <c r="BQ89" s="49" t="n">
        <v>45557</v>
      </c>
      <c r="BR89" s="48" t="inlineStr"/>
      <c r="BS89" s="48" t="n">
        <v>2</v>
      </c>
      <c r="BT89" s="48" t="inlineStr">
        <is>
          <t>HERVIR Oliver</t>
        </is>
      </c>
      <c r="BU89" s="48" t="inlineStr"/>
      <c r="BV89" s="48" t="inlineStr"/>
      <c r="BW89" s="48" t="inlineStr"/>
      <c r="BX89" s="48" t="inlineStr"/>
      <c r="BY89" s="48" t="inlineStr"/>
      <c r="BZ89" s="48" t="inlineStr"/>
      <c r="CA89" s="48" t="inlineStr"/>
      <c r="CB89" s="48" t="inlineStr"/>
      <c r="CC89" s="48" t="inlineStr"/>
      <c r="CD89" s="48" t="inlineStr"/>
      <c r="CE89" s="48" t="inlineStr"/>
      <c r="CF89" s="48" t="inlineStr"/>
      <c r="CG89" s="48" t="inlineStr"/>
      <c r="CH89" s="48" t="inlineStr"/>
      <c r="CI89" s="48" t="inlineStr"/>
      <c r="CJ89" s="48" t="inlineStr"/>
      <c r="CK89" s="48" t="inlineStr"/>
      <c r="CL89" s="48" t="inlineStr"/>
      <c r="CM89" s="48" t="inlineStr"/>
      <c r="CN89" s="48" t="inlineStr"/>
      <c r="CO89" s="48" t="inlineStr"/>
      <c r="CP89" s="48" t="inlineStr"/>
      <c r="CQ89" s="48" t="inlineStr"/>
      <c r="CR89" s="48" t="inlineStr"/>
      <c r="CS89" s="48">
        <f>IF(LEFT($J89,3)="ERR",0,1)</f>
        <v/>
      </c>
      <c r="CT89" s="48">
        <f>IF(LEFT($J89,3)="ADM",1,0)</f>
        <v/>
      </c>
      <c r="CU89" s="48">
        <f>IF(OR($J89="ADM-ACT-MAT-CNE",$J89="ADM-ACT-MAT-CE",$J89="ADM-INACT-M&amp;T"),1,0)</f>
        <v/>
      </c>
      <c r="CV89" s="48">
        <f>IF(AND(CU89=1,ISNUMBER(M89),ISNUMBER(I89)),M89-I89,"")</f>
        <v/>
      </c>
      <c r="CW89" s="48">
        <f>IF(ISNUMBER(I89),TODAY()-I89,"")</f>
        <v/>
      </c>
      <c r="CX89" s="48">
        <f>IF(ISNUMBER(I89),DATE(YEAR(I89),MONTH(I89),1),"")</f>
        <v/>
      </c>
      <c r="CY89" s="48">
        <f>IFERROR(DATEDIF(AK89,TODAY(),"y"),"")</f>
        <v/>
      </c>
      <c r="CZ89" s="48">
        <f>IF(CY89="","",IF(CY89&lt;28,"18-27",IF(CY89&lt;38,"28-37",IF(CY89&lt;48,"38-47",IF(CY89&lt;58,"48-57",IF(CY89&lt;68,"58-67",IF(CY89&lt;78,"68-77","78+")))))) </f>
        <v/>
      </c>
      <c r="DA89" s="48">
        <f>IF(AND(BQ89&lt;&gt;"",BR89=""),N(BS89),0)+IF(AND(BW89&lt;&gt;"",BX89=""),N(BY89),0)+IF(AND(CC89&lt;&gt;"",CD89=""),N(CE89),0)+IF(AND(CI89&lt;&gt;"",CJ89=""),N(CK89),0)+IF(AND(CO89&lt;&gt;"",CP89=""),N(CQ89),0)</f>
        <v/>
      </c>
      <c r="DB89" s="48">
        <f>ROUND(IF(BQ89&lt;&gt;"",N(BS89)*MAX(0,((IF(BR89="",TODAY(),BR89))-BQ89)/7),0)+IF(BW89&lt;&gt;"",N(BY89)*MAX(0,((IF(BX89="",TODAY(),BX89))-BW89)/7),0)+IF(CC89&lt;&gt;"",N(CE89)*MAX(0,((IF(CD89="",TODAY(),CD89))-CC89)/7),0)+IF(CI89&lt;&gt;"",N(CK89)*MAX(0,((IF(CJ89="",TODAY(),CJ89))-CI89)/7),0)+IF(CO89&lt;&gt;"",N(CQ89)*MAX(0,((IF(CP89="",TODAY(),CP89))-CO89)/7),0),1)</f>
        <v/>
      </c>
      <c r="DC89" s="48">
        <f>IF(OR(TRIM(X89)="",TRIM(X89)="NA;",TRIM(X89)="NA"),0,1)</f>
        <v/>
      </c>
      <c r="DD89" s="48">
        <f>IF(OR(TRIM(Y89)="",TRIM(Y89)="NA;",TRIM(Y89)="NA"),0,1)</f>
        <v/>
      </c>
      <c r="DE89" s="48">
        <f>IF(OR(TRIM(Z89)="",TRIM(Z89)="NA;",TRIM(Z89)="NA"),0,1)</f>
        <v/>
      </c>
      <c r="DF89" s="48">
        <f>IF(OR(TRIM(AA89)="",TRIM(AA89)="NA;",TRIM(AA89)="NA"),0,1)</f>
        <v/>
      </c>
      <c r="DG89" s="48">
        <f>IF(OR(TRIM(AB89)="",TRIM(AB89)="NA;",TRIM(AB89)="NA"),0,1)</f>
        <v/>
      </c>
      <c r="DH89" s="48">
        <f>IF(OR(TRIM(AC89)="",TRIM(AC89)="NA;",TRIM(AC89)="NA"),0,1)</f>
        <v/>
      </c>
      <c r="DI89" s="48">
        <f>IF(OR(TRIM(AD89)="",TRIM(AD89)="NA;",TRIM(AD89)="NA"),0,1)</f>
        <v/>
      </c>
      <c r="DJ89" s="48">
        <f>TRIM(IF(DC89=1,"Mon ","")&amp;IF(DD89=1,"Tue ","")&amp;IF(DE89=1,"Wed ","")&amp;IF(DF89=1,"Thu ","")&amp;IF(DG89=1,"Fri ","")&amp;IF(DH89=1,"Sat ","")&amp;IF(DI89=1,"Sun ",""))</f>
        <v/>
      </c>
    </row>
    <row r="90">
      <c r="A90" s="48" t="inlineStr">
        <is>
          <t>T-N-00038</t>
        </is>
      </c>
      <c r="B90" s="48" t="inlineStr">
        <is>
          <t>Olha Ahmed</t>
        </is>
      </c>
      <c r="C90" s="48" t="inlineStr">
        <is>
          <t>olha.ahmed88@example.com</t>
        </is>
      </c>
      <c r="D90" s="48" t="inlineStr">
        <is>
          <t>+61 440 943 828</t>
        </is>
      </c>
      <c r="E90" s="48" t="inlineStr">
        <is>
          <t>Amir Rafipour</t>
        </is>
      </c>
      <c r="F90" s="48" t="inlineStr">
        <is>
          <t>+61 449 448 750</t>
        </is>
      </c>
      <c r="G90" s="48" t="inlineStr">
        <is>
          <t>Adult Child</t>
        </is>
      </c>
      <c r="H90" s="48" t="inlineStr">
        <is>
          <t>Tutor</t>
        </is>
      </c>
      <c r="I90" s="49" t="n">
        <v>45939</v>
      </c>
      <c r="J90" s="48" t="inlineStr">
        <is>
          <t>ADM-ACT-UNMAT</t>
        </is>
      </c>
      <c r="K90" s="48">
        <f>IFERROR(VLOOKUP(J90,'(A) Introduction'!$B$35:$C$45,2,FALSE),"")</f>
        <v/>
      </c>
      <c r="L90" s="48" t="inlineStr">
        <is>
          <t>No</t>
        </is>
      </c>
      <c r="M90" s="48" t="inlineStr"/>
      <c r="N90" s="48" t="inlineStr"/>
      <c r="O90" s="48" t="n">
        <v>3</v>
      </c>
      <c r="P90" s="48">
        <f>IF($H90="Tutor",((BQ90&lt;&gt;"")*(BR90=""))+((BW90&lt;&gt;"")*(BX90=""))+((CC90&lt;&gt;"")*(CD90=""))+((CI90&lt;&gt;"")*(CJ90=""))+((CO90&lt;&gt;"")*(CP90="")),SUMPRODUCT(--($BO$3:$BO$202=$A90),--($BR$3:$BR$202=""))+SUMPRODUCT(--($BU$3:$BU$202=$A90),--($BX$3:$BX$202=""))+SUMPRODUCT(--($CA$3:$CA$202=$A90),--($CD$3:$CD$202=""))+SUMPRODUCT(--($CG$3:$CG$202=$A90),--($CJ$3:$CJ$202=""))+SUMPRODUCT(--($CM$3:$CM$202=$A90),--($CP$3:$CP$202="")))</f>
        <v/>
      </c>
      <c r="Q90" s="48">
        <f>IF($H90="Tutor",(BQ90&lt;&gt;"")+(BW90&lt;&gt;"")+(CC90&lt;&gt;"")+(CI90&lt;&gt;"")+(CO90&lt;&gt;""),SUMPRODUCT(--($BO$3:$BO$202=$A90))+SUMPRODUCT(--($BU$3:$BU$202=$A90))+SUMPRODUCT(--($CA$3:$CA$202=$A90))+SUMPRODUCT(--($CG$3:$CG$202=$A90))+SUMPRODUCT(--($CM$3:$CM$202=$A90)))</f>
        <v/>
      </c>
      <c r="R90" s="48">
        <f>IF($H90="Tutor",TRIM(IF(AND(BQ90&lt;&gt;"",BR90=""),BP90&amp;"; ","")&amp;IF(AND(BW90&lt;&gt;"",BX90=""),BV90&amp;"; ","")&amp;IF(AND(CC90&lt;&gt;"",CD90=""),CB90&amp;"; ","")&amp;IF(AND(CI90&lt;&gt;"",CJ90=""),CH90&amp;"; ","")&amp;IF(AND(CO90&lt;&gt;"",CP90=""),CN90&amp;"; ","")),IFERROR(INDEX($A$3:$B$202,(SUMPRODUCT(($BO$3:$BO$202=$A90)*($BR$3:$BR$202="")*ROW($BO$3:$BO$202))+SUMPRODUCT(($BU$3:$BU$202=$A90)*($BX$3:$BX$202="")*ROW($BU$3:$BU$202))+SUMPRODUCT(($CA$3:$CA$202=$A90)*($CD$3:$CD$202="")*ROW($CA$3:$CA$202))+SUMPRODUCT(($CG$3:$CG$202=$A90)*($CJ$3:$CJ$202="")*ROW($CG$3:$CG$202))+SUMPRODUCT(($CM$3:$CM$202=$A90)*($CP$3:$CP$202="")*ROW($CM$3:$CM$202)))-2,2),""))</f>
        <v/>
      </c>
      <c r="S90" s="48" t="inlineStr">
        <is>
          <t>Provided</t>
        </is>
      </c>
      <c r="T90" s="48" t="inlineStr"/>
      <c r="U90" s="48" t="inlineStr"/>
      <c r="V90" s="49" t="n">
        <v>46152</v>
      </c>
      <c r="W90" s="48" t="inlineStr">
        <is>
          <t>ACDT (UTC+10:30)</t>
        </is>
      </c>
      <c r="X90" s="48" t="inlineStr">
        <is>
          <t>6pm-9pm;</t>
        </is>
      </c>
      <c r="Y90" s="48" t="inlineStr">
        <is>
          <t>6pm-9pm;</t>
        </is>
      </c>
      <c r="Z90" s="48" t="inlineStr">
        <is>
          <t>9am-12pm;</t>
        </is>
      </c>
      <c r="AA90" s="48" t="inlineStr">
        <is>
          <t>6am-9am;9am-12pm;</t>
        </is>
      </c>
      <c r="AB90" s="48" t="inlineStr">
        <is>
          <t>6pm-9pm;</t>
        </is>
      </c>
      <c r="AC90" s="48" t="inlineStr">
        <is>
          <t>12pm-3pm;</t>
        </is>
      </c>
      <c r="AD90" s="48" t="inlineStr">
        <is>
          <t>6am-9am;9am-12pm;</t>
        </is>
      </c>
      <c r="AE90" s="48" t="inlineStr">
        <is>
          <t>In-Person</t>
        </is>
      </c>
      <c r="AF90" s="48" t="inlineStr">
        <is>
          <t>NA - Tutor</t>
        </is>
      </c>
      <c r="AG90" s="48" t="inlineStr">
        <is>
          <t>Australia</t>
        </is>
      </c>
      <c r="AH90" s="48" t="inlineStr">
        <is>
          <t>South Australia</t>
        </is>
      </c>
      <c r="AI90" s="48" t="inlineStr">
        <is>
          <t>Salisbury</t>
        </is>
      </c>
      <c r="AJ90" s="48" t="inlineStr">
        <is>
          <t>5108</t>
        </is>
      </c>
      <c r="AK90" s="49" t="n">
        <v>25397</v>
      </c>
      <c r="AL90" s="48" t="inlineStr">
        <is>
          <t>Other</t>
        </is>
      </c>
      <c r="AM90" s="48" t="inlineStr">
        <is>
          <t>NA</t>
        </is>
      </c>
      <c r="AN90" s="48" t="inlineStr">
        <is>
          <t>NA - Tutor</t>
        </is>
      </c>
      <c r="AO90" s="48" t="inlineStr">
        <is>
          <t>Low</t>
        </is>
      </c>
      <c r="AP90" s="48" t="inlineStr">
        <is>
          <t>United Kingdom</t>
        </is>
      </c>
      <c r="AQ90" s="48" t="inlineStr">
        <is>
          <t>NA</t>
        </is>
      </c>
      <c r="AR90" s="48" t="inlineStr">
        <is>
          <t>Spanish (C2); Somali (B2)</t>
        </is>
      </c>
      <c r="AS90" s="48" t="inlineStr">
        <is>
          <t>Buddhist</t>
        </is>
      </c>
      <c r="AT90" s="48" t="inlineStr">
        <is>
          <t>Law &amp; Legal Services</t>
        </is>
      </c>
      <c r="AU90" s="48" t="inlineStr">
        <is>
          <t>Engineer</t>
        </is>
      </c>
      <c r="AV90" s="48" t="inlineStr">
        <is>
          <t>NA - Tutor</t>
        </is>
      </c>
      <c r="AW90" s="48" t="inlineStr">
        <is>
          <t>Language learning; Self-development</t>
        </is>
      </c>
      <c r="AX90" s="48" t="inlineStr">
        <is>
          <t>NA - Tutor</t>
        </is>
      </c>
      <c r="AY90" s="48" t="inlineStr">
        <is>
          <t>Yes</t>
        </is>
      </c>
      <c r="AZ90" s="48" t="inlineStr">
        <is>
          <t>Yes</t>
        </is>
      </c>
      <c r="BA90" s="48" t="inlineStr">
        <is>
          <t>Ahmad Levi</t>
        </is>
      </c>
      <c r="BB90" s="48" t="inlineStr">
        <is>
          <t>Friend</t>
        </is>
      </c>
      <c r="BC90" s="48" t="inlineStr">
        <is>
          <t>tariq.yang588@example.com</t>
        </is>
      </c>
      <c r="BD90" s="48" t="inlineStr">
        <is>
          <t>Pending</t>
        </is>
      </c>
      <c r="BE90" s="48" t="inlineStr"/>
      <c r="BF90" s="48" t="inlineStr"/>
      <c r="BG90" s="48" t="inlineStr">
        <is>
          <t>Yes</t>
        </is>
      </c>
      <c r="BH90" s="48" t="inlineStr">
        <is>
          <t>Adults Only</t>
        </is>
      </c>
      <c r="BI90" s="48" t="inlineStr">
        <is>
          <t>National Justice Project</t>
        </is>
      </c>
      <c r="BJ90" s="48" t="inlineStr">
        <is>
          <t>CROCK Mary</t>
        </is>
      </c>
      <c r="BK90" s="48" t="inlineStr">
        <is>
          <t>ZULMAN Levi</t>
        </is>
      </c>
      <c r="BL90" s="48" t="inlineStr">
        <is>
          <t>Synthetic test record.</t>
        </is>
      </c>
      <c r="BM90" s="48" t="inlineStr"/>
      <c r="BN90" s="48">
        <f>TRIM(IF(AND($H90="Student",$J90="ADM-ACT-MAT-CNE"),"Invalid: Student cannot be CNE. ","")&amp;IF(AND($H90="Student",ISNUMBER($O90)),"Check: capacity set for a Student. ","")&amp;IF(AND(LEFT($J90,11)="ADM-ACT-MAT",$P90=0),"Check: matched status but 0 active pairings. ","")&amp;IF(AND($H90="Tutor",ISNUMBER($O90),$P90&gt;$O90),"Check: pairings exceed capacity. ","")&amp;IF(AND($BH90="Everyone",NOT(AND($BD90="Yes",$BG90="Yes"))),"Check: approved to tutor children but WWCC not provided/confirmed. ","")&amp;IF(AND($P90&gt;0,NOT(AND(OR(LEFT($AY90,3)="Yes",LEFT($AY90,2)="NA"),OR(LEFT($AZ90,3)="Yes",LEFT($AZ90,2)="NA")))),"Matched but vetting incomplete (interview/reference). ","")&amp;IF(COUNTIF($B$3:$B$600,$B90)&gt;1,"Duplicate participant name. ",""))</f>
        <v/>
      </c>
      <c r="BO90" s="48" t="inlineStr"/>
      <c r="BP90" s="48" t="inlineStr"/>
      <c r="BQ90" s="48" t="inlineStr"/>
      <c r="BR90" s="48" t="inlineStr"/>
      <c r="BS90" s="48" t="inlineStr"/>
      <c r="BT90" s="48" t="inlineStr"/>
      <c r="BU90" s="48" t="inlineStr"/>
      <c r="BV90" s="48" t="inlineStr"/>
      <c r="BW90" s="48" t="inlineStr"/>
      <c r="BX90" s="48" t="inlineStr"/>
      <c r="BY90" s="48" t="inlineStr"/>
      <c r="BZ90" s="48" t="inlineStr"/>
      <c r="CA90" s="48" t="inlineStr"/>
      <c r="CB90" s="48" t="inlineStr"/>
      <c r="CC90" s="48" t="inlineStr"/>
      <c r="CD90" s="48" t="inlineStr"/>
      <c r="CE90" s="48" t="inlineStr"/>
      <c r="CF90" s="48" t="inlineStr"/>
      <c r="CG90" s="48" t="inlineStr"/>
      <c r="CH90" s="48" t="inlineStr"/>
      <c r="CI90" s="48" t="inlineStr"/>
      <c r="CJ90" s="48" t="inlineStr"/>
      <c r="CK90" s="48" t="inlineStr"/>
      <c r="CL90" s="48" t="inlineStr"/>
      <c r="CM90" s="48" t="inlineStr"/>
      <c r="CN90" s="48" t="inlineStr"/>
      <c r="CO90" s="48" t="inlineStr"/>
      <c r="CP90" s="48" t="inlineStr"/>
      <c r="CQ90" s="48" t="inlineStr"/>
      <c r="CR90" s="48" t="inlineStr"/>
      <c r="CS90" s="48">
        <f>IF(LEFT($J90,3)="ERR",0,1)</f>
        <v/>
      </c>
      <c r="CT90" s="48">
        <f>IF(LEFT($J90,3)="ADM",1,0)</f>
        <v/>
      </c>
      <c r="CU90" s="48">
        <f>IF(OR($J90="ADM-ACT-MAT-CNE",$J90="ADM-ACT-MAT-CE",$J90="ADM-INACT-M&amp;T"),1,0)</f>
        <v/>
      </c>
      <c r="CV90" s="48">
        <f>IF(AND(CU90=1,ISNUMBER(M90),ISNUMBER(I90)),M90-I90,"")</f>
        <v/>
      </c>
      <c r="CW90" s="48">
        <f>IF(ISNUMBER(I90),TODAY()-I90,"")</f>
        <v/>
      </c>
      <c r="CX90" s="48">
        <f>IF(ISNUMBER(I90),DATE(YEAR(I90),MONTH(I90),1),"")</f>
        <v/>
      </c>
      <c r="CY90" s="48">
        <f>IFERROR(DATEDIF(AK90,TODAY(),"y"),"")</f>
        <v/>
      </c>
      <c r="CZ90" s="48">
        <f>IF(CY90="","",IF(CY90&lt;28,"18-27",IF(CY90&lt;38,"28-37",IF(CY90&lt;48,"38-47",IF(CY90&lt;58,"48-57",IF(CY90&lt;68,"58-67",IF(CY90&lt;78,"68-77","78+")))))) </f>
        <v/>
      </c>
      <c r="DA90" s="48">
        <f>IF(AND(BQ90&lt;&gt;"",BR90=""),N(BS90),0)+IF(AND(BW90&lt;&gt;"",BX90=""),N(BY90),0)+IF(AND(CC90&lt;&gt;"",CD90=""),N(CE90),0)+IF(AND(CI90&lt;&gt;"",CJ90=""),N(CK90),0)+IF(AND(CO90&lt;&gt;"",CP90=""),N(CQ90),0)</f>
        <v/>
      </c>
      <c r="DB90" s="48">
        <f>ROUND(IF(BQ90&lt;&gt;"",N(BS90)*MAX(0,((IF(BR90="",TODAY(),BR90))-BQ90)/7),0)+IF(BW90&lt;&gt;"",N(BY90)*MAX(0,((IF(BX90="",TODAY(),BX90))-BW90)/7),0)+IF(CC90&lt;&gt;"",N(CE90)*MAX(0,((IF(CD90="",TODAY(),CD90))-CC90)/7),0)+IF(CI90&lt;&gt;"",N(CK90)*MAX(0,((IF(CJ90="",TODAY(),CJ90))-CI90)/7),0)+IF(CO90&lt;&gt;"",N(CQ90)*MAX(0,((IF(CP90="",TODAY(),CP90))-CO90)/7),0),1)</f>
        <v/>
      </c>
      <c r="DC90" s="48">
        <f>IF(OR(TRIM(X90)="",TRIM(X90)="NA;",TRIM(X90)="NA"),0,1)</f>
        <v/>
      </c>
      <c r="DD90" s="48">
        <f>IF(OR(TRIM(Y90)="",TRIM(Y90)="NA;",TRIM(Y90)="NA"),0,1)</f>
        <v/>
      </c>
      <c r="DE90" s="48">
        <f>IF(OR(TRIM(Z90)="",TRIM(Z90)="NA;",TRIM(Z90)="NA"),0,1)</f>
        <v/>
      </c>
      <c r="DF90" s="48">
        <f>IF(OR(TRIM(AA90)="",TRIM(AA90)="NA;",TRIM(AA90)="NA"),0,1)</f>
        <v/>
      </c>
      <c r="DG90" s="48">
        <f>IF(OR(TRIM(AB90)="",TRIM(AB90)="NA;",TRIM(AB90)="NA"),0,1)</f>
        <v/>
      </c>
      <c r="DH90" s="48">
        <f>IF(OR(TRIM(AC90)="",TRIM(AC90)="NA;",TRIM(AC90)="NA"),0,1)</f>
        <v/>
      </c>
      <c r="DI90" s="48">
        <f>IF(OR(TRIM(AD90)="",TRIM(AD90)="NA;",TRIM(AD90)="NA"),0,1)</f>
        <v/>
      </c>
      <c r="DJ90" s="48">
        <f>TRIM(IF(DC90=1,"Mon ","")&amp;IF(DD90=1,"Tue ","")&amp;IF(DE90=1,"Wed ","")&amp;IF(DF90=1,"Thu ","")&amp;IF(DG90=1,"Fri ","")&amp;IF(DH90=1,"Sat ","")&amp;IF(DI90=1,"Sun ",""))</f>
        <v/>
      </c>
    </row>
    <row r="91">
      <c r="A91" s="48" t="inlineStr">
        <is>
          <t>T-N-00039</t>
        </is>
      </c>
      <c r="B91" s="48" t="inlineStr">
        <is>
          <t>Aisha Slaytor</t>
        </is>
      </c>
      <c r="C91" s="48" t="inlineStr">
        <is>
          <t>aisha.slaytor89@example.com</t>
        </is>
      </c>
      <c r="D91" s="48" t="inlineStr">
        <is>
          <t>+61 461 807 884</t>
        </is>
      </c>
      <c r="E91" s="48" t="inlineStr">
        <is>
          <t>Layla Brown</t>
        </is>
      </c>
      <c r="F91" s="48" t="inlineStr">
        <is>
          <t>+61 483 168 621</t>
        </is>
      </c>
      <c r="G91" s="48" t="inlineStr">
        <is>
          <t>Adult Child</t>
        </is>
      </c>
      <c r="H91" s="48" t="inlineStr">
        <is>
          <t>Tutor</t>
        </is>
      </c>
      <c r="I91" s="49" t="n">
        <v>45946</v>
      </c>
      <c r="J91" s="48" t="inlineStr">
        <is>
          <t>ADM-ACT-MAT-CNE</t>
        </is>
      </c>
      <c r="K91" s="48">
        <f>IFERROR(VLOOKUP(J91,'(A) Introduction'!$B$35:$C$45,2,FALSE),"")</f>
        <v/>
      </c>
      <c r="L91" s="48" t="inlineStr">
        <is>
          <t>No</t>
        </is>
      </c>
      <c r="M91" s="48" t="inlineStr"/>
      <c r="N91" s="48" t="inlineStr"/>
      <c r="O91" s="48" t="n">
        <v>3</v>
      </c>
      <c r="P91" s="48">
        <f>IF($H91="Tutor",((BQ91&lt;&gt;"")*(BR91=""))+((BW91&lt;&gt;"")*(BX91=""))+((CC91&lt;&gt;"")*(CD91=""))+((CI91&lt;&gt;"")*(CJ91=""))+((CO91&lt;&gt;"")*(CP91="")),SUMPRODUCT(--($BO$3:$BO$202=$A91),--($BR$3:$BR$202=""))+SUMPRODUCT(--($BU$3:$BU$202=$A91),--($BX$3:$BX$202=""))+SUMPRODUCT(--($CA$3:$CA$202=$A91),--($CD$3:$CD$202=""))+SUMPRODUCT(--($CG$3:$CG$202=$A91),--($CJ$3:$CJ$202=""))+SUMPRODUCT(--($CM$3:$CM$202=$A91),--($CP$3:$CP$202="")))</f>
        <v/>
      </c>
      <c r="Q91" s="48">
        <f>IF($H91="Tutor",(BQ91&lt;&gt;"")+(BW91&lt;&gt;"")+(CC91&lt;&gt;"")+(CI91&lt;&gt;"")+(CO91&lt;&gt;""),SUMPRODUCT(--($BO$3:$BO$202=$A91))+SUMPRODUCT(--($BU$3:$BU$202=$A91))+SUMPRODUCT(--($CA$3:$CA$202=$A91))+SUMPRODUCT(--($CG$3:$CG$202=$A91))+SUMPRODUCT(--($CM$3:$CM$202=$A91)))</f>
        <v/>
      </c>
      <c r="R91" s="48">
        <f>IF($H91="Tutor",TRIM(IF(AND(BQ91&lt;&gt;"",BR91=""),BP91&amp;"; ","")&amp;IF(AND(BW91&lt;&gt;"",BX91=""),BV91&amp;"; ","")&amp;IF(AND(CC91&lt;&gt;"",CD91=""),CB91&amp;"; ","")&amp;IF(AND(CI91&lt;&gt;"",CJ91=""),CH91&amp;"; ","")&amp;IF(AND(CO91&lt;&gt;"",CP91=""),CN91&amp;"; ","")),IFERROR(INDEX($A$3:$B$202,(SUMPRODUCT(($BO$3:$BO$202=$A91)*($BR$3:$BR$202="")*ROW($BO$3:$BO$202))+SUMPRODUCT(($BU$3:$BU$202=$A91)*($BX$3:$BX$202="")*ROW($BU$3:$BU$202))+SUMPRODUCT(($CA$3:$CA$202=$A91)*($CD$3:$CD$202="")*ROW($CA$3:$CA$202))+SUMPRODUCT(($CG$3:$CG$202=$A91)*($CJ$3:$CJ$202="")*ROW($CG$3:$CG$202))+SUMPRODUCT(($CM$3:$CM$202=$A91)*($CP$3:$CP$202="")*ROW($CM$3:$CM$202)))-2,2),""))</f>
        <v/>
      </c>
      <c r="S91" s="48" t="inlineStr">
        <is>
          <t>NA</t>
        </is>
      </c>
      <c r="T91" s="48" t="inlineStr"/>
      <c r="U91" s="48" t="inlineStr"/>
      <c r="V91" s="49" t="n">
        <v>45887</v>
      </c>
      <c r="W91" s="48" t="inlineStr">
        <is>
          <t>AWST (UTC+8)</t>
        </is>
      </c>
      <c r="X91" s="48" t="inlineStr">
        <is>
          <t>12pm-3pm;</t>
        </is>
      </c>
      <c r="Y91" s="48" t="inlineStr">
        <is>
          <t>9am-12pm;</t>
        </is>
      </c>
      <c r="Z91" s="48" t="inlineStr">
        <is>
          <t>6pm-9pm;</t>
        </is>
      </c>
      <c r="AA91" s="48" t="inlineStr">
        <is>
          <t>6pm-9pm;</t>
        </is>
      </c>
      <c r="AB91" s="48" t="inlineStr">
        <is>
          <t>NA;</t>
        </is>
      </c>
      <c r="AC91" s="48" t="inlineStr">
        <is>
          <t>3pm-6pm;</t>
        </is>
      </c>
      <c r="AD91" s="48" t="inlineStr">
        <is>
          <t>NA;</t>
        </is>
      </c>
      <c r="AE91" s="48" t="inlineStr">
        <is>
          <t>In-Person</t>
        </is>
      </c>
      <c r="AF91" s="48" t="inlineStr">
        <is>
          <t>NA - Tutor</t>
        </is>
      </c>
      <c r="AG91" s="48" t="inlineStr">
        <is>
          <t>Australia</t>
        </is>
      </c>
      <c r="AH91" s="48" t="inlineStr">
        <is>
          <t>New South Wales</t>
        </is>
      </c>
      <c r="AI91" s="48" t="inlineStr">
        <is>
          <t>Canterbury</t>
        </is>
      </c>
      <c r="AJ91" s="48" t="inlineStr">
        <is>
          <t>2193</t>
        </is>
      </c>
      <c r="AK91" s="49" t="n">
        <v>26925</v>
      </c>
      <c r="AL91" s="48" t="inlineStr">
        <is>
          <t>Female</t>
        </is>
      </c>
      <c r="AM91" s="48" t="inlineStr">
        <is>
          <t>NA</t>
        </is>
      </c>
      <c r="AN91" s="48" t="inlineStr">
        <is>
          <t>NA - Tutor</t>
        </is>
      </c>
      <c r="AO91" s="48" t="inlineStr">
        <is>
          <t>Low</t>
        </is>
      </c>
      <c r="AP91" s="48" t="inlineStr">
        <is>
          <t>India</t>
        </is>
      </c>
      <c r="AQ91" s="48" t="inlineStr">
        <is>
          <t>NA</t>
        </is>
      </c>
      <c r="AR91" s="48" t="inlineStr">
        <is>
          <t>Dari (C2); Tigrinya (B2)</t>
        </is>
      </c>
      <c r="AS91" s="48" t="inlineStr">
        <is>
          <t>Christian (Catholic)</t>
        </is>
      </c>
      <c r="AT91" s="48" t="inlineStr">
        <is>
          <t>Labour, Administrative &amp; Clerical</t>
        </is>
      </c>
      <c r="AU91" s="48" t="inlineStr">
        <is>
          <t>Nurse</t>
        </is>
      </c>
      <c r="AV91" s="48" t="inlineStr">
        <is>
          <t>NA - Tutor</t>
        </is>
      </c>
      <c r="AW91" s="48" t="inlineStr">
        <is>
          <t>Reading; Politics; Music</t>
        </is>
      </c>
      <c r="AX91" s="48" t="inlineStr">
        <is>
          <t>NA - Tutor</t>
        </is>
      </c>
      <c r="AY91" s="48" t="inlineStr">
        <is>
          <t>Yes</t>
        </is>
      </c>
      <c r="AZ91" s="48" t="inlineStr">
        <is>
          <t>Yes</t>
        </is>
      </c>
      <c r="BA91" s="48" t="inlineStr">
        <is>
          <t>Ahmad Rafipour</t>
        </is>
      </c>
      <c r="BB91" s="48" t="inlineStr">
        <is>
          <t>Colleague</t>
        </is>
      </c>
      <c r="BC91" s="48" t="inlineStr">
        <is>
          <t>reza.ibrahim589@example.com</t>
        </is>
      </c>
      <c r="BD91" s="48" t="inlineStr">
        <is>
          <t>Yes</t>
        </is>
      </c>
      <c r="BE91" s="48" t="inlineStr">
        <is>
          <t>WWC3907342E</t>
        </is>
      </c>
      <c r="BF91" s="49" t="n">
        <v>46343</v>
      </c>
      <c r="BG91" s="48" t="inlineStr">
        <is>
          <t>No</t>
        </is>
      </c>
      <c r="BH91" s="48" t="inlineStr">
        <is>
          <t>Adults Only</t>
        </is>
      </c>
      <c r="BI91" s="48" t="inlineStr">
        <is>
          <t>University of Queensland (Including the Refugee Tutoring Club)</t>
        </is>
      </c>
      <c r="BJ91" s="48" t="inlineStr">
        <is>
          <t>NUICH Curtis</t>
        </is>
      </c>
      <c r="BK91" s="48" t="inlineStr">
        <is>
          <t>ZULMAN Levi</t>
        </is>
      </c>
      <c r="BL91" s="48" t="inlineStr">
        <is>
          <t>Synthetic test record.</t>
        </is>
      </c>
      <c r="BM91" s="48" t="inlineStr"/>
      <c r="BN91" s="48">
        <f>TRIM(IF(AND($H91="Student",$J91="ADM-ACT-MAT-CNE"),"Invalid: Student cannot be CNE. ","")&amp;IF(AND($H91="Student",ISNUMBER($O91)),"Check: capacity set for a Student. ","")&amp;IF(AND(LEFT($J91,11)="ADM-ACT-MAT",$P91=0),"Check: matched status but 0 active pairings. ","")&amp;IF(AND($H91="Tutor",ISNUMBER($O91),$P91&gt;$O91),"Check: pairings exceed capacity. ","")&amp;IF(AND($BH91="Everyone",NOT(AND($BD91="Yes",$BG91="Yes"))),"Check: approved to tutor children but WWCC not provided/confirmed. ","")&amp;IF(AND($P91&gt;0,NOT(AND(OR(LEFT($AY91,3)="Yes",LEFT($AY91,2)="NA"),OR(LEFT($AZ91,3)="Yes",LEFT($AZ91,2)="NA")))),"Matched but vetting incomplete (interview/reference). ","")&amp;IF(COUNTIF($B$3:$B$600,$B91)&gt;1,"Duplicate participant name. ",""))</f>
        <v/>
      </c>
      <c r="BO91" s="48" t="inlineStr">
        <is>
          <t>S-N-00032</t>
        </is>
      </c>
      <c r="BP91" s="48">
        <f>IFERROR(VLOOKUP(BO91,$A:$B,2,FALSE),"")</f>
        <v/>
      </c>
      <c r="BQ91" s="49" t="n">
        <v>45919</v>
      </c>
      <c r="BR91" s="48" t="inlineStr"/>
      <c r="BS91" s="48" t="n">
        <v>1.5</v>
      </c>
      <c r="BT91" s="48" t="inlineStr">
        <is>
          <t>SINGH Veera</t>
        </is>
      </c>
      <c r="BU91" s="48" t="inlineStr">
        <is>
          <t>S-N-00046</t>
        </is>
      </c>
      <c r="BV91" s="48">
        <f>IFERROR(VLOOKUP(BU91,$A:$B,2,FALSE),"")</f>
        <v/>
      </c>
      <c r="BW91" s="49" t="n">
        <v>46027</v>
      </c>
      <c r="BX91" s="48" t="inlineStr"/>
      <c r="BY91" s="48" t="n">
        <v>1</v>
      </c>
      <c r="BZ91" s="48" t="inlineStr">
        <is>
          <t>ZULMAN Levi</t>
        </is>
      </c>
      <c r="CA91" s="48" t="inlineStr">
        <is>
          <t>S-N-00003</t>
        </is>
      </c>
      <c r="CB91" s="48">
        <f>IFERROR(VLOOKUP(CA91,$A:$B,2,FALSE),"")</f>
        <v/>
      </c>
      <c r="CC91" s="49" t="n">
        <v>45713</v>
      </c>
      <c r="CD91" s="49" t="n">
        <v>46013</v>
      </c>
      <c r="CE91" s="48" t="n">
        <v>1.5</v>
      </c>
      <c r="CF91" s="48" t="inlineStr">
        <is>
          <t>THET Moh Moh</t>
        </is>
      </c>
      <c r="CG91" s="48" t="inlineStr"/>
      <c r="CH91" s="48" t="inlineStr"/>
      <c r="CI91" s="48" t="inlineStr"/>
      <c r="CJ91" s="48" t="inlineStr"/>
      <c r="CK91" s="48" t="inlineStr"/>
      <c r="CL91" s="48" t="inlineStr"/>
      <c r="CM91" s="48" t="inlineStr"/>
      <c r="CN91" s="48" t="inlineStr"/>
      <c r="CO91" s="48" t="inlineStr"/>
      <c r="CP91" s="48" t="inlineStr"/>
      <c r="CQ91" s="48" t="inlineStr"/>
      <c r="CR91" s="48" t="inlineStr"/>
      <c r="CS91" s="48">
        <f>IF(LEFT($J91,3)="ERR",0,1)</f>
        <v/>
      </c>
      <c r="CT91" s="48">
        <f>IF(LEFT($J91,3)="ADM",1,0)</f>
        <v/>
      </c>
      <c r="CU91" s="48">
        <f>IF(OR($J91="ADM-ACT-MAT-CNE",$J91="ADM-ACT-MAT-CE",$J91="ADM-INACT-M&amp;T"),1,0)</f>
        <v/>
      </c>
      <c r="CV91" s="48">
        <f>IF(AND(CU91=1,ISNUMBER(M91),ISNUMBER(I91)),M91-I91,"")</f>
        <v/>
      </c>
      <c r="CW91" s="48">
        <f>IF(ISNUMBER(I91),TODAY()-I91,"")</f>
        <v/>
      </c>
      <c r="CX91" s="48">
        <f>IF(ISNUMBER(I91),DATE(YEAR(I91),MONTH(I91),1),"")</f>
        <v/>
      </c>
      <c r="CY91" s="48">
        <f>IFERROR(DATEDIF(AK91,TODAY(),"y"),"")</f>
        <v/>
      </c>
      <c r="CZ91" s="48">
        <f>IF(CY91="","",IF(CY91&lt;28,"18-27",IF(CY91&lt;38,"28-37",IF(CY91&lt;48,"38-47",IF(CY91&lt;58,"48-57",IF(CY91&lt;68,"58-67",IF(CY91&lt;78,"68-77","78+")))))) </f>
        <v/>
      </c>
      <c r="DA91" s="48">
        <f>IF(AND(BQ91&lt;&gt;"",BR91=""),N(BS91),0)+IF(AND(BW91&lt;&gt;"",BX91=""),N(BY91),0)+IF(AND(CC91&lt;&gt;"",CD91=""),N(CE91),0)+IF(AND(CI91&lt;&gt;"",CJ91=""),N(CK91),0)+IF(AND(CO91&lt;&gt;"",CP91=""),N(CQ91),0)</f>
        <v/>
      </c>
      <c r="DB91" s="48">
        <f>ROUND(IF(BQ91&lt;&gt;"",N(BS91)*MAX(0,((IF(BR91="",TODAY(),BR91))-BQ91)/7),0)+IF(BW91&lt;&gt;"",N(BY91)*MAX(0,((IF(BX91="",TODAY(),BX91))-BW91)/7),0)+IF(CC91&lt;&gt;"",N(CE91)*MAX(0,((IF(CD91="",TODAY(),CD91))-CC91)/7),0)+IF(CI91&lt;&gt;"",N(CK91)*MAX(0,((IF(CJ91="",TODAY(),CJ91))-CI91)/7),0)+IF(CO91&lt;&gt;"",N(CQ91)*MAX(0,((IF(CP91="",TODAY(),CP91))-CO91)/7),0),1)</f>
        <v/>
      </c>
      <c r="DC91" s="48">
        <f>IF(OR(TRIM(X91)="",TRIM(X91)="NA;",TRIM(X91)="NA"),0,1)</f>
        <v/>
      </c>
      <c r="DD91" s="48">
        <f>IF(OR(TRIM(Y91)="",TRIM(Y91)="NA;",TRIM(Y91)="NA"),0,1)</f>
        <v/>
      </c>
      <c r="DE91" s="48">
        <f>IF(OR(TRIM(Z91)="",TRIM(Z91)="NA;",TRIM(Z91)="NA"),0,1)</f>
        <v/>
      </c>
      <c r="DF91" s="48">
        <f>IF(OR(TRIM(AA91)="",TRIM(AA91)="NA;",TRIM(AA91)="NA"),0,1)</f>
        <v/>
      </c>
      <c r="DG91" s="48">
        <f>IF(OR(TRIM(AB91)="",TRIM(AB91)="NA;",TRIM(AB91)="NA"),0,1)</f>
        <v/>
      </c>
      <c r="DH91" s="48">
        <f>IF(OR(TRIM(AC91)="",TRIM(AC91)="NA;",TRIM(AC91)="NA"),0,1)</f>
        <v/>
      </c>
      <c r="DI91" s="48">
        <f>IF(OR(TRIM(AD91)="",TRIM(AD91)="NA;",TRIM(AD91)="NA"),0,1)</f>
        <v/>
      </c>
      <c r="DJ91" s="48">
        <f>TRIM(IF(DC91=1,"Mon ","")&amp;IF(DD91=1,"Tue ","")&amp;IF(DE91=1,"Wed ","")&amp;IF(DF91=1,"Thu ","")&amp;IF(DG91=1,"Fri ","")&amp;IF(DH91=1,"Sat ","")&amp;IF(DI91=1,"Sun ",""))</f>
        <v/>
      </c>
    </row>
    <row r="92">
      <c r="A92" s="48" t="inlineStr">
        <is>
          <t>T-N-00040</t>
        </is>
      </c>
      <c r="B92" s="48" t="inlineStr">
        <is>
          <t>Elena Levi</t>
        </is>
      </c>
      <c r="C92" s="48" t="inlineStr">
        <is>
          <t>elena.levi90@example.com</t>
        </is>
      </c>
      <c r="D92" s="48" t="inlineStr">
        <is>
          <t>+61 492 947 747</t>
        </is>
      </c>
      <c r="E92" s="48" t="inlineStr">
        <is>
          <t>Viktor Khan</t>
        </is>
      </c>
      <c r="F92" s="48" t="inlineStr">
        <is>
          <t>+61 439 803 407</t>
        </is>
      </c>
      <c r="G92" s="48" t="inlineStr">
        <is>
          <t>Adult Child</t>
        </is>
      </c>
      <c r="H92" s="48" t="inlineStr">
        <is>
          <t>Tutor</t>
        </is>
      </c>
      <c r="I92" s="49" t="n">
        <v>45946</v>
      </c>
      <c r="J92" s="48" t="inlineStr">
        <is>
          <t>ADM-ACT-MAT-CE</t>
        </is>
      </c>
      <c r="K92" s="48">
        <f>IFERROR(VLOOKUP(J92,'(A) Introduction'!$B$35:$C$45,2,FALSE),"")</f>
        <v/>
      </c>
      <c r="L92" s="48" t="inlineStr">
        <is>
          <t>No</t>
        </is>
      </c>
      <c r="M92" s="48" t="inlineStr"/>
      <c r="N92" s="48" t="inlineStr"/>
      <c r="O92" s="48" t="n">
        <v>1</v>
      </c>
      <c r="P92" s="48">
        <f>IF($H92="Tutor",((BQ92&lt;&gt;"")*(BR92=""))+((BW92&lt;&gt;"")*(BX92=""))+((CC92&lt;&gt;"")*(CD92=""))+((CI92&lt;&gt;"")*(CJ92=""))+((CO92&lt;&gt;"")*(CP92="")),SUMPRODUCT(--($BO$3:$BO$202=$A92),--($BR$3:$BR$202=""))+SUMPRODUCT(--($BU$3:$BU$202=$A92),--($BX$3:$BX$202=""))+SUMPRODUCT(--($CA$3:$CA$202=$A92),--($CD$3:$CD$202=""))+SUMPRODUCT(--($CG$3:$CG$202=$A92),--($CJ$3:$CJ$202=""))+SUMPRODUCT(--($CM$3:$CM$202=$A92),--($CP$3:$CP$202="")))</f>
        <v/>
      </c>
      <c r="Q92" s="48">
        <f>IF($H92="Tutor",(BQ92&lt;&gt;"")+(BW92&lt;&gt;"")+(CC92&lt;&gt;"")+(CI92&lt;&gt;"")+(CO92&lt;&gt;""),SUMPRODUCT(--($BO$3:$BO$202=$A92))+SUMPRODUCT(--($BU$3:$BU$202=$A92))+SUMPRODUCT(--($CA$3:$CA$202=$A92))+SUMPRODUCT(--($CG$3:$CG$202=$A92))+SUMPRODUCT(--($CM$3:$CM$202=$A92)))</f>
        <v/>
      </c>
      <c r="R92" s="48">
        <f>IF($H92="Tutor",TRIM(IF(AND(BQ92&lt;&gt;"",BR92=""),BP92&amp;"; ","")&amp;IF(AND(BW92&lt;&gt;"",BX92=""),BV92&amp;"; ","")&amp;IF(AND(CC92&lt;&gt;"",CD92=""),CB92&amp;"; ","")&amp;IF(AND(CI92&lt;&gt;"",CJ92=""),CH92&amp;"; ","")&amp;IF(AND(CO92&lt;&gt;"",CP92=""),CN92&amp;"; ","")),IFERROR(INDEX($A$3:$B$202,(SUMPRODUCT(($BO$3:$BO$202=$A92)*($BR$3:$BR$202="")*ROW($BO$3:$BO$202))+SUMPRODUCT(($BU$3:$BU$202=$A92)*($BX$3:$BX$202="")*ROW($BU$3:$BU$202))+SUMPRODUCT(($CA$3:$CA$202=$A92)*($CD$3:$CD$202="")*ROW($CA$3:$CA$202))+SUMPRODUCT(($CG$3:$CG$202=$A92)*($CJ$3:$CJ$202="")*ROW($CG$3:$CG$202))+SUMPRODUCT(($CM$3:$CM$202=$A92)*($CP$3:$CP$202="")*ROW($CM$3:$CM$202)))-2,2),""))</f>
        <v/>
      </c>
      <c r="S92" s="48" t="inlineStr">
        <is>
          <t>Not Provided</t>
        </is>
      </c>
      <c r="T92" s="48" t="inlineStr"/>
      <c r="U92" s="48" t="inlineStr"/>
      <c r="V92" s="49" t="n">
        <v>45945</v>
      </c>
      <c r="W92" s="48" t="inlineStr">
        <is>
          <t>ACDT (UTC+10:30)</t>
        </is>
      </c>
      <c r="X92" s="48" t="inlineStr">
        <is>
          <t>3pm-6pm;</t>
        </is>
      </c>
      <c r="Y92" s="48" t="inlineStr">
        <is>
          <t>3pm-6pm;</t>
        </is>
      </c>
      <c r="Z92" s="48" t="inlineStr">
        <is>
          <t>12pm-3pm;</t>
        </is>
      </c>
      <c r="AA92" s="48" t="inlineStr">
        <is>
          <t>6pm-9pm;</t>
        </is>
      </c>
      <c r="AB92" s="48" t="inlineStr">
        <is>
          <t>NA;</t>
        </is>
      </c>
      <c r="AC92" s="48" t="inlineStr">
        <is>
          <t>12pm-3pm;6pm-9pm;</t>
        </is>
      </c>
      <c r="AD92" s="48" t="inlineStr">
        <is>
          <t>9am-12pm;12pm-3pm;3pm-6pm;</t>
        </is>
      </c>
      <c r="AE92" s="48" t="inlineStr">
        <is>
          <t>In-Person</t>
        </is>
      </c>
      <c r="AF92" s="48" t="inlineStr">
        <is>
          <t>NA - Tutor</t>
        </is>
      </c>
      <c r="AG92" s="48" t="inlineStr">
        <is>
          <t>Australia</t>
        </is>
      </c>
      <c r="AH92" s="48" t="inlineStr">
        <is>
          <t>Victoria</t>
        </is>
      </c>
      <c r="AI92" s="48" t="inlineStr">
        <is>
          <t>Sunshine</t>
        </is>
      </c>
      <c r="AJ92" s="48" t="inlineStr">
        <is>
          <t>3020</t>
        </is>
      </c>
      <c r="AK92" s="49" t="n">
        <v>25163</v>
      </c>
      <c r="AL92" s="48" t="inlineStr">
        <is>
          <t>Female</t>
        </is>
      </c>
      <c r="AM92" s="48" t="inlineStr">
        <is>
          <t>NA</t>
        </is>
      </c>
      <c r="AN92" s="48" t="inlineStr">
        <is>
          <t>NA - Tutor</t>
        </is>
      </c>
      <c r="AO92" s="48" t="inlineStr">
        <is>
          <t>High</t>
        </is>
      </c>
      <c r="AP92" s="48" t="inlineStr">
        <is>
          <t>Australia</t>
        </is>
      </c>
      <c r="AQ92" s="48" t="inlineStr">
        <is>
          <t>NA</t>
        </is>
      </c>
      <c r="AR92" s="48" t="inlineStr">
        <is>
          <t>English (C2)</t>
        </is>
      </c>
      <c r="AS92" s="48" t="inlineStr">
        <is>
          <t>None</t>
        </is>
      </c>
      <c r="AT92" s="48" t="inlineStr">
        <is>
          <t>Science, Tech, Engineering and Math</t>
        </is>
      </c>
      <c r="AU92" s="48" t="inlineStr">
        <is>
          <t>Aged Care Worker</t>
        </is>
      </c>
      <c r="AV92" s="48" t="inlineStr">
        <is>
          <t>NA - Tutor</t>
        </is>
      </c>
      <c r="AW92" s="48" t="inlineStr">
        <is>
          <t>Art; Photography; Travel</t>
        </is>
      </c>
      <c r="AX92" s="48" t="inlineStr">
        <is>
          <t>NA - Tutor</t>
        </is>
      </c>
      <c r="AY92" s="48" t="inlineStr">
        <is>
          <t>Yes</t>
        </is>
      </c>
      <c r="AZ92" s="48" t="inlineStr">
        <is>
          <t>Yes</t>
        </is>
      </c>
      <c r="BA92" s="48" t="inlineStr">
        <is>
          <t>Iryna Stanley</t>
        </is>
      </c>
      <c r="BB92" s="48" t="inlineStr">
        <is>
          <t>Colleague</t>
        </is>
      </c>
      <c r="BC92" s="48" t="inlineStr">
        <is>
          <t>james.hall590@example.com</t>
        </is>
      </c>
      <c r="BD92" s="48" t="inlineStr">
        <is>
          <t>Yes</t>
        </is>
      </c>
      <c r="BE92" s="48" t="inlineStr">
        <is>
          <t>WWC9257506E</t>
        </is>
      </c>
      <c r="BF92" s="49" t="n">
        <v>46874</v>
      </c>
      <c r="BG92" s="48" t="inlineStr">
        <is>
          <t>Yes</t>
        </is>
      </c>
      <c r="BH92" s="48" t="inlineStr">
        <is>
          <t>Adults Only</t>
        </is>
      </c>
      <c r="BI92" s="48" t="inlineStr">
        <is>
          <t>Tasmania University (including the Law Society)</t>
        </is>
      </c>
      <c r="BJ92" s="48" t="inlineStr">
        <is>
          <t>KNIJNIK Marina</t>
        </is>
      </c>
      <c r="BK92" s="48" t="inlineStr">
        <is>
          <t>CROCK Mary</t>
        </is>
      </c>
      <c r="BL92" s="48" t="inlineStr">
        <is>
          <t>Synthetic test record.</t>
        </is>
      </c>
      <c r="BM92" s="48" t="inlineStr"/>
      <c r="BN92" s="48">
        <f>TRIM(IF(AND($H92="Student",$J92="ADM-ACT-MAT-CNE"),"Invalid: Student cannot be CNE. ","")&amp;IF(AND($H92="Student",ISNUMBER($O92)),"Check: capacity set for a Student. ","")&amp;IF(AND(LEFT($J92,11)="ADM-ACT-MAT",$P92=0),"Check: matched status but 0 active pairings. ","")&amp;IF(AND($H92="Tutor",ISNUMBER($O92),$P92&gt;$O92),"Check: pairings exceed capacity. ","")&amp;IF(AND($BH92="Everyone",NOT(AND($BD92="Yes",$BG92="Yes"))),"Check: approved to tutor children but WWCC not provided/confirmed. ","")&amp;IF(AND($P92&gt;0,NOT(AND(OR(LEFT($AY92,3)="Yes",LEFT($AY92,2)="NA"),OR(LEFT($AZ92,3)="Yes",LEFT($AZ92,2)="NA")))),"Matched but vetting incomplete (interview/reference). ","")&amp;IF(COUNTIF($B$3:$B$600,$B92)&gt;1,"Duplicate participant name. ",""))</f>
        <v/>
      </c>
      <c r="BO92" s="48" t="inlineStr">
        <is>
          <t>S-O-00038</t>
        </is>
      </c>
      <c r="BP92" s="48">
        <f>IFERROR(VLOOKUP(BO92,$A:$B,2,FALSE),"")</f>
        <v/>
      </c>
      <c r="BQ92" s="49" t="n">
        <v>45628</v>
      </c>
      <c r="BR92" s="48" t="inlineStr"/>
      <c r="BS92" s="48" t="n">
        <v>1.5</v>
      </c>
      <c r="BT92" s="48" t="inlineStr">
        <is>
          <t>SHANAHAN Jack</t>
        </is>
      </c>
      <c r="BU92" s="48" t="inlineStr"/>
      <c r="BV92" s="48" t="inlineStr"/>
      <c r="BW92" s="48" t="inlineStr"/>
      <c r="BX92" s="48" t="inlineStr"/>
      <c r="BY92" s="48" t="inlineStr"/>
      <c r="BZ92" s="48" t="inlineStr"/>
      <c r="CA92" s="48" t="inlineStr"/>
      <c r="CB92" s="48" t="inlineStr"/>
      <c r="CC92" s="48" t="inlineStr"/>
      <c r="CD92" s="48" t="inlineStr"/>
      <c r="CE92" s="48" t="inlineStr"/>
      <c r="CF92" s="48" t="inlineStr"/>
      <c r="CG92" s="48" t="inlineStr"/>
      <c r="CH92" s="48" t="inlineStr"/>
      <c r="CI92" s="48" t="inlineStr"/>
      <c r="CJ92" s="48" t="inlineStr"/>
      <c r="CK92" s="48" t="inlineStr"/>
      <c r="CL92" s="48" t="inlineStr"/>
      <c r="CM92" s="48" t="inlineStr"/>
      <c r="CN92" s="48" t="inlineStr"/>
      <c r="CO92" s="48" t="inlineStr"/>
      <c r="CP92" s="48" t="inlineStr"/>
      <c r="CQ92" s="48" t="inlineStr"/>
      <c r="CR92" s="48" t="inlineStr"/>
      <c r="CS92" s="48">
        <f>IF(LEFT($J92,3)="ERR",0,1)</f>
        <v/>
      </c>
      <c r="CT92" s="48">
        <f>IF(LEFT($J92,3)="ADM",1,0)</f>
        <v/>
      </c>
      <c r="CU92" s="48">
        <f>IF(OR($J92="ADM-ACT-MAT-CNE",$J92="ADM-ACT-MAT-CE",$J92="ADM-INACT-M&amp;T"),1,0)</f>
        <v/>
      </c>
      <c r="CV92" s="48">
        <f>IF(AND(CU92=1,ISNUMBER(M92),ISNUMBER(I92)),M92-I92,"")</f>
        <v/>
      </c>
      <c r="CW92" s="48">
        <f>IF(ISNUMBER(I92),TODAY()-I92,"")</f>
        <v/>
      </c>
      <c r="CX92" s="48">
        <f>IF(ISNUMBER(I92),DATE(YEAR(I92),MONTH(I92),1),"")</f>
        <v/>
      </c>
      <c r="CY92" s="48">
        <f>IFERROR(DATEDIF(AK92,TODAY(),"y"),"")</f>
        <v/>
      </c>
      <c r="CZ92" s="48">
        <f>IF(CY92="","",IF(CY92&lt;28,"18-27",IF(CY92&lt;38,"28-37",IF(CY92&lt;48,"38-47",IF(CY92&lt;58,"48-57",IF(CY92&lt;68,"58-67",IF(CY92&lt;78,"68-77","78+")))))) </f>
        <v/>
      </c>
      <c r="DA92" s="48">
        <f>IF(AND(BQ92&lt;&gt;"",BR92=""),N(BS92),0)+IF(AND(BW92&lt;&gt;"",BX92=""),N(BY92),0)+IF(AND(CC92&lt;&gt;"",CD92=""),N(CE92),0)+IF(AND(CI92&lt;&gt;"",CJ92=""),N(CK92),0)+IF(AND(CO92&lt;&gt;"",CP92=""),N(CQ92),0)</f>
        <v/>
      </c>
      <c r="DB92" s="48">
        <f>ROUND(IF(BQ92&lt;&gt;"",N(BS92)*MAX(0,((IF(BR92="",TODAY(),BR92))-BQ92)/7),0)+IF(BW92&lt;&gt;"",N(BY92)*MAX(0,((IF(BX92="",TODAY(),BX92))-BW92)/7),0)+IF(CC92&lt;&gt;"",N(CE92)*MAX(0,((IF(CD92="",TODAY(),CD92))-CC92)/7),0)+IF(CI92&lt;&gt;"",N(CK92)*MAX(0,((IF(CJ92="",TODAY(),CJ92))-CI92)/7),0)+IF(CO92&lt;&gt;"",N(CQ92)*MAX(0,((IF(CP92="",TODAY(),CP92))-CO92)/7),0),1)</f>
        <v/>
      </c>
      <c r="DC92" s="48">
        <f>IF(OR(TRIM(X92)="",TRIM(X92)="NA;",TRIM(X92)="NA"),0,1)</f>
        <v/>
      </c>
      <c r="DD92" s="48">
        <f>IF(OR(TRIM(Y92)="",TRIM(Y92)="NA;",TRIM(Y92)="NA"),0,1)</f>
        <v/>
      </c>
      <c r="DE92" s="48">
        <f>IF(OR(TRIM(Z92)="",TRIM(Z92)="NA;",TRIM(Z92)="NA"),0,1)</f>
        <v/>
      </c>
      <c r="DF92" s="48">
        <f>IF(OR(TRIM(AA92)="",TRIM(AA92)="NA;",TRIM(AA92)="NA"),0,1)</f>
        <v/>
      </c>
      <c r="DG92" s="48">
        <f>IF(OR(TRIM(AB92)="",TRIM(AB92)="NA;",TRIM(AB92)="NA"),0,1)</f>
        <v/>
      </c>
      <c r="DH92" s="48">
        <f>IF(OR(TRIM(AC92)="",TRIM(AC92)="NA;",TRIM(AC92)="NA"),0,1)</f>
        <v/>
      </c>
      <c r="DI92" s="48">
        <f>IF(OR(TRIM(AD92)="",TRIM(AD92)="NA;",TRIM(AD92)="NA"),0,1)</f>
        <v/>
      </c>
      <c r="DJ92" s="48">
        <f>TRIM(IF(DC92=1,"Mon ","")&amp;IF(DD92=1,"Tue ","")&amp;IF(DE92=1,"Wed ","")&amp;IF(DF92=1,"Thu ","")&amp;IF(DG92=1,"Fri ","")&amp;IF(DH92=1,"Sat ","")&amp;IF(DI92=1,"Sun ",""))</f>
        <v/>
      </c>
    </row>
    <row r="93">
      <c r="A93" s="48" t="inlineStr">
        <is>
          <t>T-N-00041</t>
        </is>
      </c>
      <c r="B93" s="48" t="inlineStr">
        <is>
          <t>Tariq Ahmed</t>
        </is>
      </c>
      <c r="C93" s="48" t="inlineStr">
        <is>
          <t>tariq.ahmed91@example.com</t>
        </is>
      </c>
      <c r="D93" s="48" t="inlineStr">
        <is>
          <t>+61 448 378 191</t>
        </is>
      </c>
      <c r="E93" s="48" t="inlineStr">
        <is>
          <t>Aisha Taylor</t>
        </is>
      </c>
      <c r="F93" s="48" t="inlineStr">
        <is>
          <t>+61 473 902 241</t>
        </is>
      </c>
      <c r="G93" s="48" t="inlineStr">
        <is>
          <t>Adult Child</t>
        </is>
      </c>
      <c r="H93" s="48" t="inlineStr">
        <is>
          <t>Tutor</t>
        </is>
      </c>
      <c r="I93" s="49" t="n">
        <v>45950</v>
      </c>
      <c r="J93" s="48" t="inlineStr">
        <is>
          <t>ADM-ACT-MAT-CNE</t>
        </is>
      </c>
      <c r="K93" s="48">
        <f>IFERROR(VLOOKUP(J93,'(A) Introduction'!$B$35:$C$45,2,FALSE),"")</f>
        <v/>
      </c>
      <c r="L93" s="48" t="inlineStr">
        <is>
          <t>No</t>
        </is>
      </c>
      <c r="M93" s="48" t="inlineStr"/>
      <c r="N93" s="48" t="inlineStr"/>
      <c r="O93" s="48" t="n">
        <v>2</v>
      </c>
      <c r="P93" s="48">
        <f>IF($H93="Tutor",((BQ93&lt;&gt;"")*(BR93=""))+((BW93&lt;&gt;"")*(BX93=""))+((CC93&lt;&gt;"")*(CD93=""))+((CI93&lt;&gt;"")*(CJ93=""))+((CO93&lt;&gt;"")*(CP93="")),SUMPRODUCT(--($BO$3:$BO$202=$A93),--($BR$3:$BR$202=""))+SUMPRODUCT(--($BU$3:$BU$202=$A93),--($BX$3:$BX$202=""))+SUMPRODUCT(--($CA$3:$CA$202=$A93),--($CD$3:$CD$202=""))+SUMPRODUCT(--($CG$3:$CG$202=$A93),--($CJ$3:$CJ$202=""))+SUMPRODUCT(--($CM$3:$CM$202=$A93),--($CP$3:$CP$202="")))</f>
        <v/>
      </c>
      <c r="Q93" s="48">
        <f>IF($H93="Tutor",(BQ93&lt;&gt;"")+(BW93&lt;&gt;"")+(CC93&lt;&gt;"")+(CI93&lt;&gt;"")+(CO93&lt;&gt;""),SUMPRODUCT(--($BO$3:$BO$202=$A93))+SUMPRODUCT(--($BU$3:$BU$202=$A93))+SUMPRODUCT(--($CA$3:$CA$202=$A93))+SUMPRODUCT(--($CG$3:$CG$202=$A93))+SUMPRODUCT(--($CM$3:$CM$202=$A93)))</f>
        <v/>
      </c>
      <c r="R93" s="48">
        <f>IF($H93="Tutor",TRIM(IF(AND(BQ93&lt;&gt;"",BR93=""),BP93&amp;"; ","")&amp;IF(AND(BW93&lt;&gt;"",BX93=""),BV93&amp;"; ","")&amp;IF(AND(CC93&lt;&gt;"",CD93=""),CB93&amp;"; ","")&amp;IF(AND(CI93&lt;&gt;"",CJ93=""),CH93&amp;"; ","")&amp;IF(AND(CO93&lt;&gt;"",CP93=""),CN93&amp;"; ","")),IFERROR(INDEX($A$3:$B$202,(SUMPRODUCT(($BO$3:$BO$202=$A93)*($BR$3:$BR$202="")*ROW($BO$3:$BO$202))+SUMPRODUCT(($BU$3:$BU$202=$A93)*($BX$3:$BX$202="")*ROW($BU$3:$BU$202))+SUMPRODUCT(($CA$3:$CA$202=$A93)*($CD$3:$CD$202="")*ROW($CA$3:$CA$202))+SUMPRODUCT(($CG$3:$CG$202=$A93)*($CJ$3:$CJ$202="")*ROW($CG$3:$CG$202))+SUMPRODUCT(($CM$3:$CM$202=$A93)*($CP$3:$CP$202="")*ROW($CM$3:$CM$202)))-2,2),""))</f>
        <v/>
      </c>
      <c r="S93" s="48" t="inlineStr">
        <is>
          <t>Provided</t>
        </is>
      </c>
      <c r="T93" s="48" t="inlineStr"/>
      <c r="U93" s="48" t="inlineStr"/>
      <c r="V93" s="49" t="n">
        <v>45837</v>
      </c>
      <c r="W93" s="48" t="inlineStr">
        <is>
          <t>AEST (UTC+10)</t>
        </is>
      </c>
      <c r="X93" s="48" t="inlineStr">
        <is>
          <t>6pm-9pm;</t>
        </is>
      </c>
      <c r="Y93" s="48" t="inlineStr">
        <is>
          <t>6pm-9pm;</t>
        </is>
      </c>
      <c r="Z93" s="48" t="inlineStr">
        <is>
          <t>3pm-6pm;</t>
        </is>
      </c>
      <c r="AA93" s="48" t="inlineStr">
        <is>
          <t>12pm-3pm;</t>
        </is>
      </c>
      <c r="AB93" s="48" t="inlineStr">
        <is>
          <t>3pm-6pm;</t>
        </is>
      </c>
      <c r="AC93" s="48" t="inlineStr">
        <is>
          <t>NA;</t>
        </is>
      </c>
      <c r="AD93" s="48" t="inlineStr">
        <is>
          <t>9am-12pm;</t>
        </is>
      </c>
      <c r="AE93" s="48" t="inlineStr">
        <is>
          <t>Either</t>
        </is>
      </c>
      <c r="AF93" s="48" t="inlineStr">
        <is>
          <t>NA - Tutor</t>
        </is>
      </c>
      <c r="AG93" s="48" t="inlineStr">
        <is>
          <t>Australia</t>
        </is>
      </c>
      <c r="AH93" s="48" t="inlineStr">
        <is>
          <t>New South Wales</t>
        </is>
      </c>
      <c r="AI93" s="48" t="inlineStr">
        <is>
          <t>Liverpool</t>
        </is>
      </c>
      <c r="AJ93" s="48" t="inlineStr">
        <is>
          <t>2170</t>
        </is>
      </c>
      <c r="AK93" s="49" t="n">
        <v>33582</v>
      </c>
      <c r="AL93" s="48" t="inlineStr">
        <is>
          <t>Female</t>
        </is>
      </c>
      <c r="AM93" s="48" t="inlineStr">
        <is>
          <t>NA</t>
        </is>
      </c>
      <c r="AN93" s="48" t="inlineStr">
        <is>
          <t>NA - Tutor</t>
        </is>
      </c>
      <c r="AO93" s="48" t="inlineStr">
        <is>
          <t>Low</t>
        </is>
      </c>
      <c r="AP93" s="48" t="inlineStr">
        <is>
          <t>Vietnam</t>
        </is>
      </c>
      <c r="AQ93" s="48" t="inlineStr">
        <is>
          <t>NA</t>
        </is>
      </c>
      <c r="AR93" s="48" t="inlineStr">
        <is>
          <t>English (C2)</t>
        </is>
      </c>
      <c r="AS93" s="48" t="inlineStr">
        <is>
          <t>Buddhist</t>
        </is>
      </c>
      <c r="AT93" s="48" t="inlineStr">
        <is>
          <t>Other / Unspecified</t>
        </is>
      </c>
      <c r="AU93" s="48" t="inlineStr">
        <is>
          <t>Retail</t>
        </is>
      </c>
      <c r="AV93" s="48" t="inlineStr">
        <is>
          <t>NA - Tutor</t>
        </is>
      </c>
      <c r="AW93" s="48" t="inlineStr">
        <is>
          <t>Art; Photography; Travel</t>
        </is>
      </c>
      <c r="AX93" s="48" t="inlineStr">
        <is>
          <t>NA - Tutor</t>
        </is>
      </c>
      <c r="AY93" s="48" t="inlineStr">
        <is>
          <t>No</t>
        </is>
      </c>
      <c r="AZ93" s="48" t="inlineStr">
        <is>
          <t>Yes</t>
        </is>
      </c>
      <c r="BA93" s="48" t="inlineStr">
        <is>
          <t>Diego Garcia</t>
        </is>
      </c>
      <c r="BB93" s="48" t="inlineStr">
        <is>
          <t>Friend</t>
        </is>
      </c>
      <c r="BC93" s="48" t="inlineStr">
        <is>
          <t>ben.mosquera591@example.com</t>
        </is>
      </c>
      <c r="BD93" s="48" t="inlineStr">
        <is>
          <t>Pending</t>
        </is>
      </c>
      <c r="BE93" s="48" t="inlineStr"/>
      <c r="BF93" s="48" t="inlineStr"/>
      <c r="BG93" s="48" t="inlineStr">
        <is>
          <t>Yes</t>
        </is>
      </c>
      <c r="BH93" s="48" t="inlineStr">
        <is>
          <t>Adults Only</t>
        </is>
      </c>
      <c r="BI93" s="48" t="inlineStr">
        <is>
          <t>Refugee Education Australia</t>
        </is>
      </c>
      <c r="BJ93" s="48" t="inlineStr">
        <is>
          <t>SHANAHAN Jack</t>
        </is>
      </c>
      <c r="BK93" s="48" t="inlineStr">
        <is>
          <t>MCCRORIE John</t>
        </is>
      </c>
      <c r="BL93" s="48" t="inlineStr">
        <is>
          <t>Synthetic test record.</t>
        </is>
      </c>
      <c r="BM93" s="48" t="inlineStr"/>
      <c r="BN93" s="48">
        <f>TRIM(IF(AND($H93="Student",$J93="ADM-ACT-MAT-CNE"),"Invalid: Student cannot be CNE. ","")&amp;IF(AND($H93="Student",ISNUMBER($O93)),"Check: capacity set for a Student. ","")&amp;IF(AND(LEFT($J93,11)="ADM-ACT-MAT",$P93=0),"Check: matched status but 0 active pairings. ","")&amp;IF(AND($H93="Tutor",ISNUMBER($O93),$P93&gt;$O93),"Check: pairings exceed capacity. ","")&amp;IF(AND($BH93="Everyone",NOT(AND($BD93="Yes",$BG93="Yes"))),"Check: approved to tutor children but WWCC not provided/confirmed. ","")&amp;IF(AND($P93&gt;0,NOT(AND(OR(LEFT($AY93,3)="Yes",LEFT($AY93,2)="NA"),OR(LEFT($AZ93,3)="Yes",LEFT($AZ93,2)="NA")))),"Matched but vetting incomplete (interview/reference). ","")&amp;IF(COUNTIF($B$3:$B$600,$B93)&gt;1,"Duplicate participant name. ",""))</f>
        <v/>
      </c>
      <c r="BO93" s="48" t="inlineStr">
        <is>
          <t>S-N-00041</t>
        </is>
      </c>
      <c r="BP93" s="48">
        <f>IFERROR(VLOOKUP(BO93,$A:$B,2,FALSE),"")</f>
        <v/>
      </c>
      <c r="BQ93" s="49" t="n">
        <v>46013</v>
      </c>
      <c r="BR93" s="48" t="inlineStr"/>
      <c r="BS93" s="48" t="n">
        <v>1</v>
      </c>
      <c r="BT93" s="48" t="inlineStr">
        <is>
          <t>HERVIR Oliver</t>
        </is>
      </c>
      <c r="BU93" s="48" t="inlineStr"/>
      <c r="BV93" s="48" t="inlineStr"/>
      <c r="BW93" s="48" t="inlineStr"/>
      <c r="BX93" s="48" t="inlineStr"/>
      <c r="BY93" s="48" t="inlineStr"/>
      <c r="BZ93" s="48" t="inlineStr"/>
      <c r="CA93" s="48" t="inlineStr"/>
      <c r="CB93" s="48" t="inlineStr"/>
      <c r="CC93" s="48" t="inlineStr"/>
      <c r="CD93" s="48" t="inlineStr"/>
      <c r="CE93" s="48" t="inlineStr"/>
      <c r="CF93" s="48" t="inlineStr"/>
      <c r="CG93" s="48" t="inlineStr"/>
      <c r="CH93" s="48" t="inlineStr"/>
      <c r="CI93" s="48" t="inlineStr"/>
      <c r="CJ93" s="48" t="inlineStr"/>
      <c r="CK93" s="48" t="inlineStr"/>
      <c r="CL93" s="48" t="inlineStr"/>
      <c r="CM93" s="48" t="inlineStr"/>
      <c r="CN93" s="48" t="inlineStr"/>
      <c r="CO93" s="48" t="inlineStr"/>
      <c r="CP93" s="48" t="inlineStr"/>
      <c r="CQ93" s="48" t="inlineStr"/>
      <c r="CR93" s="48" t="inlineStr"/>
      <c r="CS93" s="48">
        <f>IF(LEFT($J93,3)="ERR",0,1)</f>
        <v/>
      </c>
      <c r="CT93" s="48">
        <f>IF(LEFT($J93,3)="ADM",1,0)</f>
        <v/>
      </c>
      <c r="CU93" s="48">
        <f>IF(OR($J93="ADM-ACT-MAT-CNE",$J93="ADM-ACT-MAT-CE",$J93="ADM-INACT-M&amp;T"),1,0)</f>
        <v/>
      </c>
      <c r="CV93" s="48">
        <f>IF(AND(CU93=1,ISNUMBER(M93),ISNUMBER(I93)),M93-I93,"")</f>
        <v/>
      </c>
      <c r="CW93" s="48">
        <f>IF(ISNUMBER(I93),TODAY()-I93,"")</f>
        <v/>
      </c>
      <c r="CX93" s="48">
        <f>IF(ISNUMBER(I93),DATE(YEAR(I93),MONTH(I93),1),"")</f>
        <v/>
      </c>
      <c r="CY93" s="48">
        <f>IFERROR(DATEDIF(AK93,TODAY(),"y"),"")</f>
        <v/>
      </c>
      <c r="CZ93" s="48">
        <f>IF(CY93="","",IF(CY93&lt;28,"18-27",IF(CY93&lt;38,"28-37",IF(CY93&lt;48,"38-47",IF(CY93&lt;58,"48-57",IF(CY93&lt;68,"58-67",IF(CY93&lt;78,"68-77","78+")))))) </f>
        <v/>
      </c>
      <c r="DA93" s="48">
        <f>IF(AND(BQ93&lt;&gt;"",BR93=""),N(BS93),0)+IF(AND(BW93&lt;&gt;"",BX93=""),N(BY93),0)+IF(AND(CC93&lt;&gt;"",CD93=""),N(CE93),0)+IF(AND(CI93&lt;&gt;"",CJ93=""),N(CK93),0)+IF(AND(CO93&lt;&gt;"",CP93=""),N(CQ93),0)</f>
        <v/>
      </c>
      <c r="DB93" s="48">
        <f>ROUND(IF(BQ93&lt;&gt;"",N(BS93)*MAX(0,((IF(BR93="",TODAY(),BR93))-BQ93)/7),0)+IF(BW93&lt;&gt;"",N(BY93)*MAX(0,((IF(BX93="",TODAY(),BX93))-BW93)/7),0)+IF(CC93&lt;&gt;"",N(CE93)*MAX(0,((IF(CD93="",TODAY(),CD93))-CC93)/7),0)+IF(CI93&lt;&gt;"",N(CK93)*MAX(0,((IF(CJ93="",TODAY(),CJ93))-CI93)/7),0)+IF(CO93&lt;&gt;"",N(CQ93)*MAX(0,((IF(CP93="",TODAY(),CP93))-CO93)/7),0),1)</f>
        <v/>
      </c>
      <c r="DC93" s="48">
        <f>IF(OR(TRIM(X93)="",TRIM(X93)="NA;",TRIM(X93)="NA"),0,1)</f>
        <v/>
      </c>
      <c r="DD93" s="48">
        <f>IF(OR(TRIM(Y93)="",TRIM(Y93)="NA;",TRIM(Y93)="NA"),0,1)</f>
        <v/>
      </c>
      <c r="DE93" s="48">
        <f>IF(OR(TRIM(Z93)="",TRIM(Z93)="NA;",TRIM(Z93)="NA"),0,1)</f>
        <v/>
      </c>
      <c r="DF93" s="48">
        <f>IF(OR(TRIM(AA93)="",TRIM(AA93)="NA;",TRIM(AA93)="NA"),0,1)</f>
        <v/>
      </c>
      <c r="DG93" s="48">
        <f>IF(OR(TRIM(AB93)="",TRIM(AB93)="NA;",TRIM(AB93)="NA"),0,1)</f>
        <v/>
      </c>
      <c r="DH93" s="48">
        <f>IF(OR(TRIM(AC93)="",TRIM(AC93)="NA;",TRIM(AC93)="NA"),0,1)</f>
        <v/>
      </c>
      <c r="DI93" s="48">
        <f>IF(OR(TRIM(AD93)="",TRIM(AD93)="NA;",TRIM(AD93)="NA"),0,1)</f>
        <v/>
      </c>
      <c r="DJ93" s="48">
        <f>TRIM(IF(DC93=1,"Mon ","")&amp;IF(DD93=1,"Tue ","")&amp;IF(DE93=1,"Wed ","")&amp;IF(DF93=1,"Thu ","")&amp;IF(DG93=1,"Fri ","")&amp;IF(DH93=1,"Sat ","")&amp;IF(DI93=1,"Sun ",""))</f>
        <v/>
      </c>
    </row>
    <row r="94">
      <c r="A94" s="48" t="inlineStr">
        <is>
          <t>T-N-00042</t>
        </is>
      </c>
      <c r="B94" s="48" t="inlineStr">
        <is>
          <t>Camila King</t>
        </is>
      </c>
      <c r="C94" s="48" t="inlineStr">
        <is>
          <t>camila.king92@example.com</t>
        </is>
      </c>
      <c r="D94" s="48" t="inlineStr">
        <is>
          <t>+61 473 693 635</t>
        </is>
      </c>
      <c r="E94" s="48" t="inlineStr">
        <is>
          <t>Mohamed Jones</t>
        </is>
      </c>
      <c r="F94" s="48" t="inlineStr">
        <is>
          <t>+61 401 805 717</t>
        </is>
      </c>
      <c r="G94" s="48" t="inlineStr">
        <is>
          <t>Friend</t>
        </is>
      </c>
      <c r="H94" s="48" t="inlineStr">
        <is>
          <t>Tutor</t>
        </is>
      </c>
      <c r="I94" s="49" t="n">
        <v>45951</v>
      </c>
      <c r="J94" s="48" t="inlineStr">
        <is>
          <t>ADM-ACT-UNMAT</t>
        </is>
      </c>
      <c r="K94" s="48">
        <f>IFERROR(VLOOKUP(J94,'(A) Introduction'!$B$35:$C$45,2,FALSE),"")</f>
        <v/>
      </c>
      <c r="L94" s="48" t="inlineStr">
        <is>
          <t>No</t>
        </is>
      </c>
      <c r="M94" s="48" t="inlineStr"/>
      <c r="N94" s="48" t="inlineStr"/>
      <c r="O94" s="48" t="n">
        <v>1</v>
      </c>
      <c r="P94" s="48">
        <f>IF($H94="Tutor",((BQ94&lt;&gt;"")*(BR94=""))+((BW94&lt;&gt;"")*(BX94=""))+((CC94&lt;&gt;"")*(CD94=""))+((CI94&lt;&gt;"")*(CJ94=""))+((CO94&lt;&gt;"")*(CP94="")),SUMPRODUCT(--($BO$3:$BO$202=$A94),--($BR$3:$BR$202=""))+SUMPRODUCT(--($BU$3:$BU$202=$A94),--($BX$3:$BX$202=""))+SUMPRODUCT(--($CA$3:$CA$202=$A94),--($CD$3:$CD$202=""))+SUMPRODUCT(--($CG$3:$CG$202=$A94),--($CJ$3:$CJ$202=""))+SUMPRODUCT(--($CM$3:$CM$202=$A94),--($CP$3:$CP$202="")))</f>
        <v/>
      </c>
      <c r="Q94" s="48">
        <f>IF($H94="Tutor",(BQ94&lt;&gt;"")+(BW94&lt;&gt;"")+(CC94&lt;&gt;"")+(CI94&lt;&gt;"")+(CO94&lt;&gt;""),SUMPRODUCT(--($BO$3:$BO$202=$A94))+SUMPRODUCT(--($BU$3:$BU$202=$A94))+SUMPRODUCT(--($CA$3:$CA$202=$A94))+SUMPRODUCT(--($CG$3:$CG$202=$A94))+SUMPRODUCT(--($CM$3:$CM$202=$A94)))</f>
        <v/>
      </c>
      <c r="R94" s="48">
        <f>IF($H94="Tutor",TRIM(IF(AND(BQ94&lt;&gt;"",BR94=""),BP94&amp;"; ","")&amp;IF(AND(BW94&lt;&gt;"",BX94=""),BV94&amp;"; ","")&amp;IF(AND(CC94&lt;&gt;"",CD94=""),CB94&amp;"; ","")&amp;IF(AND(CI94&lt;&gt;"",CJ94=""),CH94&amp;"; ","")&amp;IF(AND(CO94&lt;&gt;"",CP94=""),CN94&amp;"; ","")),IFERROR(INDEX($A$3:$B$202,(SUMPRODUCT(($BO$3:$BO$202=$A94)*($BR$3:$BR$202="")*ROW($BO$3:$BO$202))+SUMPRODUCT(($BU$3:$BU$202=$A94)*($BX$3:$BX$202="")*ROW($BU$3:$BU$202))+SUMPRODUCT(($CA$3:$CA$202=$A94)*($CD$3:$CD$202="")*ROW($CA$3:$CA$202))+SUMPRODUCT(($CG$3:$CG$202=$A94)*($CJ$3:$CJ$202="")*ROW($CG$3:$CG$202))+SUMPRODUCT(($CM$3:$CM$202=$A94)*($CP$3:$CP$202="")*ROW($CM$3:$CM$202)))-2,2),""))</f>
        <v/>
      </c>
      <c r="S94" s="48" t="inlineStr">
        <is>
          <t>Provided</t>
        </is>
      </c>
      <c r="T94" s="48" t="inlineStr"/>
      <c r="U94" s="48" t="inlineStr"/>
      <c r="V94" s="49" t="n">
        <v>45742</v>
      </c>
      <c r="W94" s="48" t="inlineStr">
        <is>
          <t>AWST (UTC+8)</t>
        </is>
      </c>
      <c r="X94" s="48" t="inlineStr">
        <is>
          <t>6pm-9pm;</t>
        </is>
      </c>
      <c r="Y94" s="48" t="inlineStr">
        <is>
          <t>9am-12pm;</t>
        </is>
      </c>
      <c r="Z94" s="48" t="inlineStr">
        <is>
          <t>9am-12pm;</t>
        </is>
      </c>
      <c r="AA94" s="48" t="inlineStr">
        <is>
          <t>12pm-3pm;</t>
        </is>
      </c>
      <c r="AB94" s="48" t="inlineStr">
        <is>
          <t>12pm-3pm;</t>
        </is>
      </c>
      <c r="AC94" s="48" t="inlineStr">
        <is>
          <t>9am-12pm;</t>
        </is>
      </c>
      <c r="AD94" s="48" t="inlineStr">
        <is>
          <t>NA;</t>
        </is>
      </c>
      <c r="AE94" s="48" t="inlineStr">
        <is>
          <t>In-Person</t>
        </is>
      </c>
      <c r="AF94" s="48" t="inlineStr">
        <is>
          <t>NA - Tutor</t>
        </is>
      </c>
      <c r="AG94" s="48" t="inlineStr">
        <is>
          <t>Australia</t>
        </is>
      </c>
      <c r="AH94" s="48" t="inlineStr">
        <is>
          <t>Victoria</t>
        </is>
      </c>
      <c r="AI94" s="48" t="inlineStr">
        <is>
          <t>Dandenong</t>
        </is>
      </c>
      <c r="AJ94" s="48" t="inlineStr">
        <is>
          <t>3175</t>
        </is>
      </c>
      <c r="AK94" s="49" t="n">
        <v>23930</v>
      </c>
      <c r="AL94" s="48" t="inlineStr">
        <is>
          <t>Other</t>
        </is>
      </c>
      <c r="AM94" s="48" t="inlineStr">
        <is>
          <t>NA</t>
        </is>
      </c>
      <c r="AN94" s="48" t="inlineStr">
        <is>
          <t>NA - Tutor</t>
        </is>
      </c>
      <c r="AO94" s="48" t="inlineStr">
        <is>
          <t>Outstanding</t>
        </is>
      </c>
      <c r="AP94" s="48" t="inlineStr">
        <is>
          <t>Australia</t>
        </is>
      </c>
      <c r="AQ94" s="48" t="inlineStr">
        <is>
          <t>NA</t>
        </is>
      </c>
      <c r="AR94" s="48" t="inlineStr">
        <is>
          <t>Tigrinya (C2)</t>
        </is>
      </c>
      <c r="AS94" s="48" t="inlineStr">
        <is>
          <t>Christian (Catholic)</t>
        </is>
      </c>
      <c r="AT94" s="48" t="inlineStr">
        <is>
          <t>Social &amp; Community Services</t>
        </is>
      </c>
      <c r="AU94" s="48" t="inlineStr">
        <is>
          <t>Accountant</t>
        </is>
      </c>
      <c r="AV94" s="48" t="inlineStr">
        <is>
          <t>NA - Tutor</t>
        </is>
      </c>
      <c r="AW94" s="48" t="inlineStr">
        <is>
          <t>Language learning; Self-development</t>
        </is>
      </c>
      <c r="AX94" s="48" t="inlineStr">
        <is>
          <t>NA - Tutor</t>
        </is>
      </c>
      <c r="AY94" s="48" t="inlineStr">
        <is>
          <t>Yes</t>
        </is>
      </c>
      <c r="AZ94" s="48" t="inlineStr">
        <is>
          <t>Yes</t>
        </is>
      </c>
      <c r="BA94" s="48" t="inlineStr">
        <is>
          <t>Peter Walker</t>
        </is>
      </c>
      <c r="BB94" s="48" t="inlineStr">
        <is>
          <t>Friend</t>
        </is>
      </c>
      <c r="BC94" s="48" t="inlineStr">
        <is>
          <t>hassan.levi592@example.com</t>
        </is>
      </c>
      <c r="BD94" s="48" t="inlineStr">
        <is>
          <t>Yes</t>
        </is>
      </c>
      <c r="BE94" s="48" t="inlineStr">
        <is>
          <t>WWC9283332V</t>
        </is>
      </c>
      <c r="BF94" s="49" t="n">
        <v>46503</v>
      </c>
      <c r="BG94" s="48" t="inlineStr">
        <is>
          <t>No</t>
        </is>
      </c>
      <c r="BH94" s="48" t="inlineStr">
        <is>
          <t>Adults Only</t>
        </is>
      </c>
      <c r="BI94" s="48" t="inlineStr">
        <is>
          <t>University of Technology Sydney (including the Brennan Justice Program)</t>
        </is>
      </c>
      <c r="BJ94" s="48" t="inlineStr">
        <is>
          <t>MCCLELLAND Reeve</t>
        </is>
      </c>
      <c r="BK94" s="48" t="inlineStr">
        <is>
          <t>KNIJNIK Marina</t>
        </is>
      </c>
      <c r="BL94" s="48" t="inlineStr">
        <is>
          <t>Synthetic test record.</t>
        </is>
      </c>
      <c r="BM94" s="48" t="inlineStr"/>
      <c r="BN94" s="48">
        <f>TRIM(IF(AND($H94="Student",$J94="ADM-ACT-MAT-CNE"),"Invalid: Student cannot be CNE. ","")&amp;IF(AND($H94="Student",ISNUMBER($O94)),"Check: capacity set for a Student. ","")&amp;IF(AND(LEFT($J94,11)="ADM-ACT-MAT",$P94=0),"Check: matched status but 0 active pairings. ","")&amp;IF(AND($H94="Tutor",ISNUMBER($O94),$P94&gt;$O94),"Check: pairings exceed capacity. ","")&amp;IF(AND($BH94="Everyone",NOT(AND($BD94="Yes",$BG94="Yes"))),"Check: approved to tutor children but WWCC not provided/confirmed. ","")&amp;IF(AND($P94&gt;0,NOT(AND(OR(LEFT($AY94,3)="Yes",LEFT($AY94,2)="NA"),OR(LEFT($AZ94,3)="Yes",LEFT($AZ94,2)="NA")))),"Matched but vetting incomplete (interview/reference). ","")&amp;IF(COUNTIF($B$3:$B$600,$B94)&gt;1,"Duplicate participant name. ",""))</f>
        <v/>
      </c>
      <c r="BO94" s="48" t="inlineStr"/>
      <c r="BP94" s="48" t="inlineStr"/>
      <c r="BQ94" s="48" t="inlineStr"/>
      <c r="BR94" s="48" t="inlineStr"/>
      <c r="BS94" s="48" t="inlineStr"/>
      <c r="BT94" s="48" t="inlineStr"/>
      <c r="BU94" s="48" t="inlineStr"/>
      <c r="BV94" s="48" t="inlineStr"/>
      <c r="BW94" s="48" t="inlineStr"/>
      <c r="BX94" s="48" t="inlineStr"/>
      <c r="BY94" s="48" t="inlineStr"/>
      <c r="BZ94" s="48" t="inlineStr"/>
      <c r="CA94" s="48" t="inlineStr"/>
      <c r="CB94" s="48" t="inlineStr"/>
      <c r="CC94" s="48" t="inlineStr"/>
      <c r="CD94" s="48" t="inlineStr"/>
      <c r="CE94" s="48" t="inlineStr"/>
      <c r="CF94" s="48" t="inlineStr"/>
      <c r="CG94" s="48" t="inlineStr"/>
      <c r="CH94" s="48" t="inlineStr"/>
      <c r="CI94" s="48" t="inlineStr"/>
      <c r="CJ94" s="48" t="inlineStr"/>
      <c r="CK94" s="48" t="inlineStr"/>
      <c r="CL94" s="48" t="inlineStr"/>
      <c r="CM94" s="48" t="inlineStr"/>
      <c r="CN94" s="48" t="inlineStr"/>
      <c r="CO94" s="48" t="inlineStr"/>
      <c r="CP94" s="48" t="inlineStr"/>
      <c r="CQ94" s="48" t="inlineStr"/>
      <c r="CR94" s="48" t="inlineStr"/>
      <c r="CS94" s="48">
        <f>IF(LEFT($J94,3)="ERR",0,1)</f>
        <v/>
      </c>
      <c r="CT94" s="48">
        <f>IF(LEFT($J94,3)="ADM",1,0)</f>
        <v/>
      </c>
      <c r="CU94" s="48">
        <f>IF(OR($J94="ADM-ACT-MAT-CNE",$J94="ADM-ACT-MAT-CE",$J94="ADM-INACT-M&amp;T"),1,0)</f>
        <v/>
      </c>
      <c r="CV94" s="48">
        <f>IF(AND(CU94=1,ISNUMBER(M94),ISNUMBER(I94)),M94-I94,"")</f>
        <v/>
      </c>
      <c r="CW94" s="48">
        <f>IF(ISNUMBER(I94),TODAY()-I94,"")</f>
        <v/>
      </c>
      <c r="CX94" s="48">
        <f>IF(ISNUMBER(I94),DATE(YEAR(I94),MONTH(I94),1),"")</f>
        <v/>
      </c>
      <c r="CY94" s="48">
        <f>IFERROR(DATEDIF(AK94,TODAY(),"y"),"")</f>
        <v/>
      </c>
      <c r="CZ94" s="48">
        <f>IF(CY94="","",IF(CY94&lt;28,"18-27",IF(CY94&lt;38,"28-37",IF(CY94&lt;48,"38-47",IF(CY94&lt;58,"48-57",IF(CY94&lt;68,"58-67",IF(CY94&lt;78,"68-77","78+")))))) </f>
        <v/>
      </c>
      <c r="DA94" s="48">
        <f>IF(AND(BQ94&lt;&gt;"",BR94=""),N(BS94),0)+IF(AND(BW94&lt;&gt;"",BX94=""),N(BY94),0)+IF(AND(CC94&lt;&gt;"",CD94=""),N(CE94),0)+IF(AND(CI94&lt;&gt;"",CJ94=""),N(CK94),0)+IF(AND(CO94&lt;&gt;"",CP94=""),N(CQ94),0)</f>
        <v/>
      </c>
      <c r="DB94" s="48">
        <f>ROUND(IF(BQ94&lt;&gt;"",N(BS94)*MAX(0,((IF(BR94="",TODAY(),BR94))-BQ94)/7),0)+IF(BW94&lt;&gt;"",N(BY94)*MAX(0,((IF(BX94="",TODAY(),BX94))-BW94)/7),0)+IF(CC94&lt;&gt;"",N(CE94)*MAX(0,((IF(CD94="",TODAY(),CD94))-CC94)/7),0)+IF(CI94&lt;&gt;"",N(CK94)*MAX(0,((IF(CJ94="",TODAY(),CJ94))-CI94)/7),0)+IF(CO94&lt;&gt;"",N(CQ94)*MAX(0,((IF(CP94="",TODAY(),CP94))-CO94)/7),0),1)</f>
        <v/>
      </c>
      <c r="DC94" s="48">
        <f>IF(OR(TRIM(X94)="",TRIM(X94)="NA;",TRIM(X94)="NA"),0,1)</f>
        <v/>
      </c>
      <c r="DD94" s="48">
        <f>IF(OR(TRIM(Y94)="",TRIM(Y94)="NA;",TRIM(Y94)="NA"),0,1)</f>
        <v/>
      </c>
      <c r="DE94" s="48">
        <f>IF(OR(TRIM(Z94)="",TRIM(Z94)="NA;",TRIM(Z94)="NA"),0,1)</f>
        <v/>
      </c>
      <c r="DF94" s="48">
        <f>IF(OR(TRIM(AA94)="",TRIM(AA94)="NA;",TRIM(AA94)="NA"),0,1)</f>
        <v/>
      </c>
      <c r="DG94" s="48">
        <f>IF(OR(TRIM(AB94)="",TRIM(AB94)="NA;",TRIM(AB94)="NA"),0,1)</f>
        <v/>
      </c>
      <c r="DH94" s="48">
        <f>IF(OR(TRIM(AC94)="",TRIM(AC94)="NA;",TRIM(AC94)="NA"),0,1)</f>
        <v/>
      </c>
      <c r="DI94" s="48">
        <f>IF(OR(TRIM(AD94)="",TRIM(AD94)="NA;",TRIM(AD94)="NA"),0,1)</f>
        <v/>
      </c>
      <c r="DJ94" s="48">
        <f>TRIM(IF(DC94=1,"Mon ","")&amp;IF(DD94=1,"Tue ","")&amp;IF(DE94=1,"Wed ","")&amp;IF(DF94=1,"Thu ","")&amp;IF(DG94=1,"Fri ","")&amp;IF(DH94=1,"Sat ","")&amp;IF(DI94=1,"Sun ",""))</f>
        <v/>
      </c>
    </row>
    <row r="95">
      <c r="A95" s="48" t="inlineStr">
        <is>
          <t>T-N-00043</t>
        </is>
      </c>
      <c r="B95" s="48" t="inlineStr">
        <is>
          <t>Sofia Petrov</t>
        </is>
      </c>
      <c r="C95" s="48" t="inlineStr">
        <is>
          <t>sofia.petrov93@example.com</t>
        </is>
      </c>
      <c r="D95" s="48" t="inlineStr">
        <is>
          <t>+61 475 596 776</t>
        </is>
      </c>
      <c r="E95" s="48" t="inlineStr">
        <is>
          <t>Dmytro Taylor</t>
        </is>
      </c>
      <c r="F95" s="48" t="inlineStr">
        <is>
          <t>+61 434 918 381</t>
        </is>
      </c>
      <c r="G95" s="48" t="inlineStr">
        <is>
          <t>Spouse</t>
        </is>
      </c>
      <c r="H95" s="48" t="inlineStr">
        <is>
          <t>Tutor</t>
        </is>
      </c>
      <c r="I95" s="49" t="n">
        <v>45959</v>
      </c>
      <c r="J95" s="48" t="inlineStr">
        <is>
          <t>NADM-UNP</t>
        </is>
      </c>
      <c r="K95" s="48">
        <f>IFERROR(VLOOKUP(J95,'(A) Introduction'!$B$35:$C$45,2,FALSE),"")</f>
        <v/>
      </c>
      <c r="L95" s="48" t="inlineStr">
        <is>
          <t>No</t>
        </is>
      </c>
      <c r="M95" s="48" t="inlineStr"/>
      <c r="N95" s="48" t="inlineStr"/>
      <c r="O95" s="48" t="n">
        <v>1</v>
      </c>
      <c r="P95" s="48">
        <f>IF($H95="Tutor",((BQ95&lt;&gt;"")*(BR95=""))+((BW95&lt;&gt;"")*(BX95=""))+((CC95&lt;&gt;"")*(CD95=""))+((CI95&lt;&gt;"")*(CJ95=""))+((CO95&lt;&gt;"")*(CP95="")),SUMPRODUCT(--($BO$3:$BO$202=$A95),--($BR$3:$BR$202=""))+SUMPRODUCT(--($BU$3:$BU$202=$A95),--($BX$3:$BX$202=""))+SUMPRODUCT(--($CA$3:$CA$202=$A95),--($CD$3:$CD$202=""))+SUMPRODUCT(--($CG$3:$CG$202=$A95),--($CJ$3:$CJ$202=""))+SUMPRODUCT(--($CM$3:$CM$202=$A95),--($CP$3:$CP$202="")))</f>
        <v/>
      </c>
      <c r="Q95" s="48">
        <f>IF($H95="Tutor",(BQ95&lt;&gt;"")+(BW95&lt;&gt;"")+(CC95&lt;&gt;"")+(CI95&lt;&gt;"")+(CO95&lt;&gt;""),SUMPRODUCT(--($BO$3:$BO$202=$A95))+SUMPRODUCT(--($BU$3:$BU$202=$A95))+SUMPRODUCT(--($CA$3:$CA$202=$A95))+SUMPRODUCT(--($CG$3:$CG$202=$A95))+SUMPRODUCT(--($CM$3:$CM$202=$A95)))</f>
        <v/>
      </c>
      <c r="R95" s="48">
        <f>IF($H95="Tutor",TRIM(IF(AND(BQ95&lt;&gt;"",BR95=""),BP95&amp;"; ","")&amp;IF(AND(BW95&lt;&gt;"",BX95=""),BV95&amp;"; ","")&amp;IF(AND(CC95&lt;&gt;"",CD95=""),CB95&amp;"; ","")&amp;IF(AND(CI95&lt;&gt;"",CJ95=""),CH95&amp;"; ","")&amp;IF(AND(CO95&lt;&gt;"",CP95=""),CN95&amp;"; ","")),IFERROR(INDEX($A$3:$B$202,(SUMPRODUCT(($BO$3:$BO$202=$A95)*($BR$3:$BR$202="")*ROW($BO$3:$BO$202))+SUMPRODUCT(($BU$3:$BU$202=$A95)*($BX$3:$BX$202="")*ROW($BU$3:$BU$202))+SUMPRODUCT(($CA$3:$CA$202=$A95)*($CD$3:$CD$202="")*ROW($CA$3:$CA$202))+SUMPRODUCT(($CG$3:$CG$202=$A95)*($CJ$3:$CJ$202="")*ROW($CG$3:$CG$202))+SUMPRODUCT(($CM$3:$CM$202=$A95)*($CP$3:$CP$202="")*ROW($CM$3:$CM$202)))-2,2),""))</f>
        <v/>
      </c>
      <c r="S95" s="48" t="inlineStr">
        <is>
          <t>Provided</t>
        </is>
      </c>
      <c r="T95" s="48" t="inlineStr"/>
      <c r="U95" s="48" t="inlineStr"/>
      <c r="V95" s="48" t="inlineStr"/>
      <c r="W95" s="48" t="inlineStr">
        <is>
          <t>ACST (UTC+9:30)</t>
        </is>
      </c>
      <c r="X95" s="48" t="inlineStr">
        <is>
          <t>6pm-9pm;</t>
        </is>
      </c>
      <c r="Y95" s="48" t="inlineStr">
        <is>
          <t>3pm-6pm;</t>
        </is>
      </c>
      <c r="Z95" s="48" t="inlineStr">
        <is>
          <t>9am-12pm;12pm-3pm;3pm-6pm;</t>
        </is>
      </c>
      <c r="AA95" s="48" t="inlineStr">
        <is>
          <t>6am-9am;9am-12pm;</t>
        </is>
      </c>
      <c r="AB95" s="48" t="inlineStr">
        <is>
          <t>12pm-3pm;6pm-9pm;</t>
        </is>
      </c>
      <c r="AC95" s="48" t="inlineStr">
        <is>
          <t>3pm-6pm;</t>
        </is>
      </c>
      <c r="AD95" s="48" t="inlineStr">
        <is>
          <t>12pm-3pm;6pm-9pm;</t>
        </is>
      </c>
      <c r="AE95" s="48" t="inlineStr">
        <is>
          <t>Either</t>
        </is>
      </c>
      <c r="AF95" s="48" t="inlineStr">
        <is>
          <t>NA - Tutor</t>
        </is>
      </c>
      <c r="AG95" s="48" t="inlineStr">
        <is>
          <t>Australia</t>
        </is>
      </c>
      <c r="AH95" s="48" t="inlineStr">
        <is>
          <t>Queensland</t>
        </is>
      </c>
      <c r="AI95" s="48" t="inlineStr">
        <is>
          <t>Logan</t>
        </is>
      </c>
      <c r="AJ95" s="48" t="inlineStr">
        <is>
          <t>4114</t>
        </is>
      </c>
      <c r="AK95" s="49" t="n">
        <v>30602</v>
      </c>
      <c r="AL95" s="48" t="inlineStr">
        <is>
          <t>Other</t>
        </is>
      </c>
      <c r="AM95" s="48" t="inlineStr">
        <is>
          <t>NA</t>
        </is>
      </c>
      <c r="AN95" s="48" t="inlineStr">
        <is>
          <t>NA - Tutor</t>
        </is>
      </c>
      <c r="AO95" s="48" t="inlineStr">
        <is>
          <t>Outstanding</t>
        </is>
      </c>
      <c r="AP95" s="48" t="inlineStr">
        <is>
          <t>Australia; Egypt</t>
        </is>
      </c>
      <c r="AQ95" s="48" t="inlineStr">
        <is>
          <t>NA</t>
        </is>
      </c>
      <c r="AR95" s="48" t="inlineStr">
        <is>
          <t>English (C2)</t>
        </is>
      </c>
      <c r="AS95" s="48" t="inlineStr">
        <is>
          <t>Christian (Catholic)</t>
        </is>
      </c>
      <c r="AT95" s="48" t="inlineStr">
        <is>
          <t>Social &amp; Community Services</t>
        </is>
      </c>
      <c r="AU95" s="48" t="inlineStr">
        <is>
          <t>Aged Care Worker</t>
        </is>
      </c>
      <c r="AV95" s="48" t="inlineStr">
        <is>
          <t>NA - Tutor</t>
        </is>
      </c>
      <c r="AW95" s="48" t="inlineStr">
        <is>
          <t>Reading; Politics; Music</t>
        </is>
      </c>
      <c r="AX95" s="48" t="inlineStr">
        <is>
          <t>NA - Tutor</t>
        </is>
      </c>
      <c r="AY95" s="48" t="inlineStr">
        <is>
          <t>NA - RELT Member Verified</t>
        </is>
      </c>
      <c r="AZ95" s="48" t="inlineStr">
        <is>
          <t>Yes</t>
        </is>
      </c>
      <c r="BA95" s="48" t="inlineStr">
        <is>
          <t>Reza Bourne</t>
        </is>
      </c>
      <c r="BB95" s="48" t="inlineStr">
        <is>
          <t>Academic Referee</t>
        </is>
      </c>
      <c r="BC95" s="48" t="inlineStr">
        <is>
          <t>ibrahim.wilson593@example.com</t>
        </is>
      </c>
      <c r="BD95" s="48" t="inlineStr">
        <is>
          <t>Yes</t>
        </is>
      </c>
      <c r="BE95" s="48" t="inlineStr">
        <is>
          <t>WWC4513701E</t>
        </is>
      </c>
      <c r="BF95" s="49" t="n">
        <v>46060</v>
      </c>
      <c r="BG95" s="48" t="inlineStr">
        <is>
          <t>No</t>
        </is>
      </c>
      <c r="BH95" s="48" t="inlineStr">
        <is>
          <t>Adults Only</t>
        </is>
      </c>
      <c r="BI95" s="48" t="inlineStr">
        <is>
          <t>Refugee Advice and Casework Service</t>
        </is>
      </c>
      <c r="BJ95" s="48" t="inlineStr">
        <is>
          <t>ZULMAN Levi</t>
        </is>
      </c>
      <c r="BK95" s="48" t="inlineStr">
        <is>
          <t>HERVIR Oliver</t>
        </is>
      </c>
      <c r="BL95" s="48" t="inlineStr">
        <is>
          <t>Synthetic test record.</t>
        </is>
      </c>
      <c r="BM95" s="48" t="inlineStr"/>
      <c r="BN95" s="48">
        <f>TRIM(IF(AND($H95="Student",$J95="ADM-ACT-MAT-CNE"),"Invalid: Student cannot be CNE. ","")&amp;IF(AND($H95="Student",ISNUMBER($O95)),"Check: capacity set for a Student. ","")&amp;IF(AND(LEFT($J95,11)="ADM-ACT-MAT",$P95=0),"Check: matched status but 0 active pairings. ","")&amp;IF(AND($H95="Tutor",ISNUMBER($O95),$P95&gt;$O95),"Check: pairings exceed capacity. ","")&amp;IF(AND($BH95="Everyone",NOT(AND($BD95="Yes",$BG95="Yes"))),"Check: approved to tutor children but WWCC not provided/confirmed. ","")&amp;IF(AND($P95&gt;0,NOT(AND(OR(LEFT($AY95,3)="Yes",LEFT($AY95,2)="NA"),OR(LEFT($AZ95,3)="Yes",LEFT($AZ95,2)="NA")))),"Matched but vetting incomplete (interview/reference). ","")&amp;IF(COUNTIF($B$3:$B$600,$B95)&gt;1,"Duplicate participant name. ",""))</f>
        <v/>
      </c>
      <c r="BO95" s="48" t="inlineStr"/>
      <c r="BP95" s="48" t="inlineStr"/>
      <c r="BQ95" s="48" t="inlineStr"/>
      <c r="BR95" s="48" t="inlineStr"/>
      <c r="BS95" s="48" t="inlineStr"/>
      <c r="BT95" s="48" t="inlineStr"/>
      <c r="BU95" s="48" t="inlineStr"/>
      <c r="BV95" s="48" t="inlineStr"/>
      <c r="BW95" s="48" t="inlineStr"/>
      <c r="BX95" s="48" t="inlineStr"/>
      <c r="BY95" s="48" t="inlineStr"/>
      <c r="BZ95" s="48" t="inlineStr"/>
      <c r="CA95" s="48" t="inlineStr"/>
      <c r="CB95" s="48" t="inlineStr"/>
      <c r="CC95" s="48" t="inlineStr"/>
      <c r="CD95" s="48" t="inlineStr"/>
      <c r="CE95" s="48" t="inlineStr"/>
      <c r="CF95" s="48" t="inlineStr"/>
      <c r="CG95" s="48" t="inlineStr"/>
      <c r="CH95" s="48" t="inlineStr"/>
      <c r="CI95" s="48" t="inlineStr"/>
      <c r="CJ95" s="48" t="inlineStr"/>
      <c r="CK95" s="48" t="inlineStr"/>
      <c r="CL95" s="48" t="inlineStr"/>
      <c r="CM95" s="48" t="inlineStr"/>
      <c r="CN95" s="48" t="inlineStr"/>
      <c r="CO95" s="48" t="inlineStr"/>
      <c r="CP95" s="48" t="inlineStr"/>
      <c r="CQ95" s="48" t="inlineStr"/>
      <c r="CR95" s="48" t="inlineStr"/>
      <c r="CS95" s="48">
        <f>IF(LEFT($J95,3)="ERR",0,1)</f>
        <v/>
      </c>
      <c r="CT95" s="48">
        <f>IF(LEFT($J95,3)="ADM",1,0)</f>
        <v/>
      </c>
      <c r="CU95" s="48">
        <f>IF(OR($J95="ADM-ACT-MAT-CNE",$J95="ADM-ACT-MAT-CE",$J95="ADM-INACT-M&amp;T"),1,0)</f>
        <v/>
      </c>
      <c r="CV95" s="48">
        <f>IF(AND(CU95=1,ISNUMBER(M95),ISNUMBER(I95)),M95-I95,"")</f>
        <v/>
      </c>
      <c r="CW95" s="48">
        <f>IF(ISNUMBER(I95),TODAY()-I95,"")</f>
        <v/>
      </c>
      <c r="CX95" s="48">
        <f>IF(ISNUMBER(I95),DATE(YEAR(I95),MONTH(I95),1),"")</f>
        <v/>
      </c>
      <c r="CY95" s="48">
        <f>IFERROR(DATEDIF(AK95,TODAY(),"y"),"")</f>
        <v/>
      </c>
      <c r="CZ95" s="48">
        <f>IF(CY95="","",IF(CY95&lt;28,"18-27",IF(CY95&lt;38,"28-37",IF(CY95&lt;48,"38-47",IF(CY95&lt;58,"48-57",IF(CY95&lt;68,"58-67",IF(CY95&lt;78,"68-77","78+")))))) </f>
        <v/>
      </c>
      <c r="DA95" s="48">
        <f>IF(AND(BQ95&lt;&gt;"",BR95=""),N(BS95),0)+IF(AND(BW95&lt;&gt;"",BX95=""),N(BY95),0)+IF(AND(CC95&lt;&gt;"",CD95=""),N(CE95),0)+IF(AND(CI95&lt;&gt;"",CJ95=""),N(CK95),0)+IF(AND(CO95&lt;&gt;"",CP95=""),N(CQ95),0)</f>
        <v/>
      </c>
      <c r="DB95" s="48">
        <f>ROUND(IF(BQ95&lt;&gt;"",N(BS95)*MAX(0,((IF(BR95="",TODAY(),BR95))-BQ95)/7),0)+IF(BW95&lt;&gt;"",N(BY95)*MAX(0,((IF(BX95="",TODAY(),BX95))-BW95)/7),0)+IF(CC95&lt;&gt;"",N(CE95)*MAX(0,((IF(CD95="",TODAY(),CD95))-CC95)/7),0)+IF(CI95&lt;&gt;"",N(CK95)*MAX(0,((IF(CJ95="",TODAY(),CJ95))-CI95)/7),0)+IF(CO95&lt;&gt;"",N(CQ95)*MAX(0,((IF(CP95="",TODAY(),CP95))-CO95)/7),0),1)</f>
        <v/>
      </c>
      <c r="DC95" s="48">
        <f>IF(OR(TRIM(X95)="",TRIM(X95)="NA;",TRIM(X95)="NA"),0,1)</f>
        <v/>
      </c>
      <c r="DD95" s="48">
        <f>IF(OR(TRIM(Y95)="",TRIM(Y95)="NA;",TRIM(Y95)="NA"),0,1)</f>
        <v/>
      </c>
      <c r="DE95" s="48">
        <f>IF(OR(TRIM(Z95)="",TRIM(Z95)="NA;",TRIM(Z95)="NA"),0,1)</f>
        <v/>
      </c>
      <c r="DF95" s="48">
        <f>IF(OR(TRIM(AA95)="",TRIM(AA95)="NA;",TRIM(AA95)="NA"),0,1)</f>
        <v/>
      </c>
      <c r="DG95" s="48">
        <f>IF(OR(TRIM(AB95)="",TRIM(AB95)="NA;",TRIM(AB95)="NA"),0,1)</f>
        <v/>
      </c>
      <c r="DH95" s="48">
        <f>IF(OR(TRIM(AC95)="",TRIM(AC95)="NA;",TRIM(AC95)="NA"),0,1)</f>
        <v/>
      </c>
      <c r="DI95" s="48">
        <f>IF(OR(TRIM(AD95)="",TRIM(AD95)="NA;",TRIM(AD95)="NA"),0,1)</f>
        <v/>
      </c>
      <c r="DJ95" s="48">
        <f>TRIM(IF(DC95=1,"Mon ","")&amp;IF(DD95=1,"Tue ","")&amp;IF(DE95=1,"Wed ","")&amp;IF(DF95=1,"Thu ","")&amp;IF(DG95=1,"Fri ","")&amp;IF(DH95=1,"Sat ","")&amp;IF(DI95=1,"Sun ",""))</f>
        <v/>
      </c>
    </row>
    <row r="96">
      <c r="A96" s="48" t="inlineStr">
        <is>
          <t>T-N-00044</t>
        </is>
      </c>
      <c r="B96" s="48" t="inlineStr">
        <is>
          <t>Laura Nguyen</t>
        </is>
      </c>
      <c r="C96" s="48" t="inlineStr">
        <is>
          <t>laura.nguyen94@example.com</t>
        </is>
      </c>
      <c r="D96" s="48" t="inlineStr">
        <is>
          <t>+61 417 307 997</t>
        </is>
      </c>
      <c r="E96" s="48" t="inlineStr">
        <is>
          <t>Yusuf Yusuf</t>
        </is>
      </c>
      <c r="F96" s="48" t="inlineStr">
        <is>
          <t>+61 425 857 059</t>
        </is>
      </c>
      <c r="G96" s="48" t="inlineStr">
        <is>
          <t>Parent</t>
        </is>
      </c>
      <c r="H96" s="48" t="inlineStr">
        <is>
          <t>Tutor</t>
        </is>
      </c>
      <c r="I96" s="49" t="n">
        <v>45961</v>
      </c>
      <c r="J96" s="48" t="inlineStr">
        <is>
          <t>NADM-REJ-UNRES</t>
        </is>
      </c>
      <c r="K96" s="48">
        <f>IFERROR(VLOOKUP(J96,'(A) Introduction'!$B$35:$C$45,2,FALSE),"")</f>
        <v/>
      </c>
      <c r="L96" s="48" t="inlineStr">
        <is>
          <t>No</t>
        </is>
      </c>
      <c r="M96" s="48" t="inlineStr"/>
      <c r="N96" s="48" t="inlineStr"/>
      <c r="O96" s="48" t="n">
        <v>2</v>
      </c>
      <c r="P96" s="48">
        <f>IF($H96="Tutor",((BQ96&lt;&gt;"")*(BR96=""))+((BW96&lt;&gt;"")*(BX96=""))+((CC96&lt;&gt;"")*(CD96=""))+((CI96&lt;&gt;"")*(CJ96=""))+((CO96&lt;&gt;"")*(CP96="")),SUMPRODUCT(--($BO$3:$BO$202=$A96),--($BR$3:$BR$202=""))+SUMPRODUCT(--($BU$3:$BU$202=$A96),--($BX$3:$BX$202=""))+SUMPRODUCT(--($CA$3:$CA$202=$A96),--($CD$3:$CD$202=""))+SUMPRODUCT(--($CG$3:$CG$202=$A96),--($CJ$3:$CJ$202=""))+SUMPRODUCT(--($CM$3:$CM$202=$A96),--($CP$3:$CP$202="")))</f>
        <v/>
      </c>
      <c r="Q96" s="48">
        <f>IF($H96="Tutor",(BQ96&lt;&gt;"")+(BW96&lt;&gt;"")+(CC96&lt;&gt;"")+(CI96&lt;&gt;"")+(CO96&lt;&gt;""),SUMPRODUCT(--($BO$3:$BO$202=$A96))+SUMPRODUCT(--($BU$3:$BU$202=$A96))+SUMPRODUCT(--($CA$3:$CA$202=$A96))+SUMPRODUCT(--($CG$3:$CG$202=$A96))+SUMPRODUCT(--($CM$3:$CM$202=$A96)))</f>
        <v/>
      </c>
      <c r="R96" s="48">
        <f>IF($H96="Tutor",TRIM(IF(AND(BQ96&lt;&gt;"",BR96=""),BP96&amp;"; ","")&amp;IF(AND(BW96&lt;&gt;"",BX96=""),BV96&amp;"; ","")&amp;IF(AND(CC96&lt;&gt;"",CD96=""),CB96&amp;"; ","")&amp;IF(AND(CI96&lt;&gt;"",CJ96=""),CH96&amp;"; ","")&amp;IF(AND(CO96&lt;&gt;"",CP96=""),CN96&amp;"; ","")),IFERROR(INDEX($A$3:$B$202,(SUMPRODUCT(($BO$3:$BO$202=$A96)*($BR$3:$BR$202="")*ROW($BO$3:$BO$202))+SUMPRODUCT(($BU$3:$BU$202=$A96)*($BX$3:$BX$202="")*ROW($BU$3:$BU$202))+SUMPRODUCT(($CA$3:$CA$202=$A96)*($CD$3:$CD$202="")*ROW($CA$3:$CA$202))+SUMPRODUCT(($CG$3:$CG$202=$A96)*($CJ$3:$CJ$202="")*ROW($CG$3:$CG$202))+SUMPRODUCT(($CM$3:$CM$202=$A96)*($CP$3:$CP$202="")*ROW($CM$3:$CM$202)))-2,2),""))</f>
        <v/>
      </c>
      <c r="S96" s="48" t="inlineStr">
        <is>
          <t>Not Provided</t>
        </is>
      </c>
      <c r="T96" s="48" t="inlineStr"/>
      <c r="U96" s="48" t="inlineStr"/>
      <c r="V96" s="48" t="inlineStr"/>
      <c r="W96" s="48" t="inlineStr">
        <is>
          <t>AEST (UTC+10)</t>
        </is>
      </c>
      <c r="X96" s="48" t="inlineStr">
        <is>
          <t>12pm-3pm;6pm-9pm;</t>
        </is>
      </c>
      <c r="Y96" s="48" t="inlineStr">
        <is>
          <t>6pm-9pm;</t>
        </is>
      </c>
      <c r="Z96" s="48" t="inlineStr">
        <is>
          <t>12pm-3pm;</t>
        </is>
      </c>
      <c r="AA96" s="48" t="inlineStr">
        <is>
          <t>6pm-9pm;</t>
        </is>
      </c>
      <c r="AB96" s="48" t="inlineStr">
        <is>
          <t>12pm-3pm;</t>
        </is>
      </c>
      <c r="AC96" s="48" t="inlineStr">
        <is>
          <t>12pm-3pm;6pm-9pm;</t>
        </is>
      </c>
      <c r="AD96" s="48" t="inlineStr">
        <is>
          <t>6pm-9pm;</t>
        </is>
      </c>
      <c r="AE96" s="48" t="inlineStr">
        <is>
          <t>Either</t>
        </is>
      </c>
      <c r="AF96" s="48" t="inlineStr">
        <is>
          <t>NA - Tutor</t>
        </is>
      </c>
      <c r="AG96" s="48" t="inlineStr">
        <is>
          <t>Australia</t>
        </is>
      </c>
      <c r="AH96" s="48" t="inlineStr">
        <is>
          <t>New South Wales</t>
        </is>
      </c>
      <c r="AI96" s="48" t="inlineStr">
        <is>
          <t>Eastlakes</t>
        </is>
      </c>
      <c r="AJ96" s="48" t="inlineStr">
        <is>
          <t>2018</t>
        </is>
      </c>
      <c r="AK96" s="49" t="n">
        <v>36855</v>
      </c>
      <c r="AL96" s="48" t="inlineStr">
        <is>
          <t>Male</t>
        </is>
      </c>
      <c r="AM96" s="48" t="inlineStr">
        <is>
          <t>NA</t>
        </is>
      </c>
      <c r="AN96" s="48" t="inlineStr">
        <is>
          <t>NA - Tutor</t>
        </is>
      </c>
      <c r="AO96" s="48" t="inlineStr">
        <is>
          <t>Low</t>
        </is>
      </c>
      <c r="AP96" s="48" t="inlineStr">
        <is>
          <t>Lebanon</t>
        </is>
      </c>
      <c r="AQ96" s="48" t="inlineStr">
        <is>
          <t>NA</t>
        </is>
      </c>
      <c r="AR96" s="48" t="inlineStr">
        <is>
          <t>English (C2)</t>
        </is>
      </c>
      <c r="AS96" s="48" t="inlineStr">
        <is>
          <t>Christian (Catholic)</t>
        </is>
      </c>
      <c r="AT96" s="48" t="inlineStr">
        <is>
          <t>Business &amp; Finance</t>
        </is>
      </c>
      <c r="AU96" s="48" t="inlineStr">
        <is>
          <t>Accountant</t>
        </is>
      </c>
      <c r="AV96" s="48" t="inlineStr">
        <is>
          <t>NA - Tutor</t>
        </is>
      </c>
      <c r="AW96" s="48" t="inlineStr">
        <is>
          <t>Reading; Politics; Music</t>
        </is>
      </c>
      <c r="AX96" s="48" t="inlineStr">
        <is>
          <t>NA - Tutor</t>
        </is>
      </c>
      <c r="AY96" s="48" t="inlineStr">
        <is>
          <t>No</t>
        </is>
      </c>
      <c r="AZ96" s="48" t="inlineStr">
        <is>
          <t>NA - Partner Organisation Verified</t>
        </is>
      </c>
      <c r="BA96" s="48" t="inlineStr">
        <is>
          <t>Olha Jones</t>
        </is>
      </c>
      <c r="BB96" s="48" t="inlineStr">
        <is>
          <t>Colleague</t>
        </is>
      </c>
      <c r="BC96" s="48" t="inlineStr">
        <is>
          <t>karim.yusuf594@example.com</t>
        </is>
      </c>
      <c r="BD96" s="48" t="inlineStr">
        <is>
          <t>Yes</t>
        </is>
      </c>
      <c r="BE96" s="48" t="inlineStr">
        <is>
          <t>WWC7019442V</t>
        </is>
      </c>
      <c r="BF96" s="49" t="n">
        <v>46754</v>
      </c>
      <c r="BG96" s="48" t="inlineStr">
        <is>
          <t>No</t>
        </is>
      </c>
      <c r="BH96" s="48" t="inlineStr">
        <is>
          <t>Adults Only</t>
        </is>
      </c>
      <c r="BI96" s="48" t="inlineStr">
        <is>
          <t>University of Sydney (including St. Paul's College)</t>
        </is>
      </c>
      <c r="BJ96" s="48" t="inlineStr">
        <is>
          <t>SINGH Veera</t>
        </is>
      </c>
      <c r="BK96" s="48" t="inlineStr">
        <is>
          <t>AGARWAL Akanksha</t>
        </is>
      </c>
      <c r="BL96" s="48" t="inlineStr">
        <is>
          <t>Synthetic test record.</t>
        </is>
      </c>
      <c r="BM96" s="48" t="inlineStr"/>
      <c r="BN96" s="48">
        <f>TRIM(IF(AND($H96="Student",$J96="ADM-ACT-MAT-CNE"),"Invalid: Student cannot be CNE. ","")&amp;IF(AND($H96="Student",ISNUMBER($O96)),"Check: capacity set for a Student. ","")&amp;IF(AND(LEFT($J96,11)="ADM-ACT-MAT",$P96=0),"Check: matched status but 0 active pairings. ","")&amp;IF(AND($H96="Tutor",ISNUMBER($O96),$P96&gt;$O96),"Check: pairings exceed capacity. ","")&amp;IF(AND($BH96="Everyone",NOT(AND($BD96="Yes",$BG96="Yes"))),"Check: approved to tutor children but WWCC not provided/confirmed. ","")&amp;IF(AND($P96&gt;0,NOT(AND(OR(LEFT($AY96,3)="Yes",LEFT($AY96,2)="NA"),OR(LEFT($AZ96,3)="Yes",LEFT($AZ96,2)="NA")))),"Matched but vetting incomplete (interview/reference). ","")&amp;IF(COUNTIF($B$3:$B$600,$B96)&gt;1,"Duplicate participant name. ",""))</f>
        <v/>
      </c>
      <c r="BO96" s="48" t="inlineStr"/>
      <c r="BP96" s="48" t="inlineStr"/>
      <c r="BQ96" s="48" t="inlineStr"/>
      <c r="BR96" s="48" t="inlineStr"/>
      <c r="BS96" s="48" t="inlineStr"/>
      <c r="BT96" s="48" t="inlineStr"/>
      <c r="BU96" s="48" t="inlineStr"/>
      <c r="BV96" s="48" t="inlineStr"/>
      <c r="BW96" s="48" t="inlineStr"/>
      <c r="BX96" s="48" t="inlineStr"/>
      <c r="BY96" s="48" t="inlineStr"/>
      <c r="BZ96" s="48" t="inlineStr"/>
      <c r="CA96" s="48" t="inlineStr"/>
      <c r="CB96" s="48" t="inlineStr"/>
      <c r="CC96" s="48" t="inlineStr"/>
      <c r="CD96" s="48" t="inlineStr"/>
      <c r="CE96" s="48" t="inlineStr"/>
      <c r="CF96" s="48" t="inlineStr"/>
      <c r="CG96" s="48" t="inlineStr"/>
      <c r="CH96" s="48" t="inlineStr"/>
      <c r="CI96" s="48" t="inlineStr"/>
      <c r="CJ96" s="48" t="inlineStr"/>
      <c r="CK96" s="48" t="inlineStr"/>
      <c r="CL96" s="48" t="inlineStr"/>
      <c r="CM96" s="48" t="inlineStr"/>
      <c r="CN96" s="48" t="inlineStr"/>
      <c r="CO96" s="48" t="inlineStr"/>
      <c r="CP96" s="48" t="inlineStr"/>
      <c r="CQ96" s="48" t="inlineStr"/>
      <c r="CR96" s="48" t="inlineStr"/>
      <c r="CS96" s="48">
        <f>IF(LEFT($J96,3)="ERR",0,1)</f>
        <v/>
      </c>
      <c r="CT96" s="48">
        <f>IF(LEFT($J96,3)="ADM",1,0)</f>
        <v/>
      </c>
      <c r="CU96" s="48">
        <f>IF(OR($J96="ADM-ACT-MAT-CNE",$J96="ADM-ACT-MAT-CE",$J96="ADM-INACT-M&amp;T"),1,0)</f>
        <v/>
      </c>
      <c r="CV96" s="48">
        <f>IF(AND(CU96=1,ISNUMBER(M96),ISNUMBER(I96)),M96-I96,"")</f>
        <v/>
      </c>
      <c r="CW96" s="48">
        <f>IF(ISNUMBER(I96),TODAY()-I96,"")</f>
        <v/>
      </c>
      <c r="CX96" s="48">
        <f>IF(ISNUMBER(I96),DATE(YEAR(I96),MONTH(I96),1),"")</f>
        <v/>
      </c>
      <c r="CY96" s="48">
        <f>IFERROR(DATEDIF(AK96,TODAY(),"y"),"")</f>
        <v/>
      </c>
      <c r="CZ96" s="48">
        <f>IF(CY96="","",IF(CY96&lt;28,"18-27",IF(CY96&lt;38,"28-37",IF(CY96&lt;48,"38-47",IF(CY96&lt;58,"48-57",IF(CY96&lt;68,"58-67",IF(CY96&lt;78,"68-77","78+")))))) </f>
        <v/>
      </c>
      <c r="DA96" s="48">
        <f>IF(AND(BQ96&lt;&gt;"",BR96=""),N(BS96),0)+IF(AND(BW96&lt;&gt;"",BX96=""),N(BY96),0)+IF(AND(CC96&lt;&gt;"",CD96=""),N(CE96),0)+IF(AND(CI96&lt;&gt;"",CJ96=""),N(CK96),0)+IF(AND(CO96&lt;&gt;"",CP96=""),N(CQ96),0)</f>
        <v/>
      </c>
      <c r="DB96" s="48">
        <f>ROUND(IF(BQ96&lt;&gt;"",N(BS96)*MAX(0,((IF(BR96="",TODAY(),BR96))-BQ96)/7),0)+IF(BW96&lt;&gt;"",N(BY96)*MAX(0,((IF(BX96="",TODAY(),BX96))-BW96)/7),0)+IF(CC96&lt;&gt;"",N(CE96)*MAX(0,((IF(CD96="",TODAY(),CD96))-CC96)/7),0)+IF(CI96&lt;&gt;"",N(CK96)*MAX(0,((IF(CJ96="",TODAY(),CJ96))-CI96)/7),0)+IF(CO96&lt;&gt;"",N(CQ96)*MAX(0,((IF(CP96="",TODAY(),CP96))-CO96)/7),0),1)</f>
        <v/>
      </c>
      <c r="DC96" s="48">
        <f>IF(OR(TRIM(X96)="",TRIM(X96)="NA;",TRIM(X96)="NA"),0,1)</f>
        <v/>
      </c>
      <c r="DD96" s="48">
        <f>IF(OR(TRIM(Y96)="",TRIM(Y96)="NA;",TRIM(Y96)="NA"),0,1)</f>
        <v/>
      </c>
      <c r="DE96" s="48">
        <f>IF(OR(TRIM(Z96)="",TRIM(Z96)="NA;",TRIM(Z96)="NA"),0,1)</f>
        <v/>
      </c>
      <c r="DF96" s="48">
        <f>IF(OR(TRIM(AA96)="",TRIM(AA96)="NA;",TRIM(AA96)="NA"),0,1)</f>
        <v/>
      </c>
      <c r="DG96" s="48">
        <f>IF(OR(TRIM(AB96)="",TRIM(AB96)="NA;",TRIM(AB96)="NA"),0,1)</f>
        <v/>
      </c>
      <c r="DH96" s="48">
        <f>IF(OR(TRIM(AC96)="",TRIM(AC96)="NA;",TRIM(AC96)="NA"),0,1)</f>
        <v/>
      </c>
      <c r="DI96" s="48">
        <f>IF(OR(TRIM(AD96)="",TRIM(AD96)="NA;",TRIM(AD96)="NA"),0,1)</f>
        <v/>
      </c>
      <c r="DJ96" s="48">
        <f>TRIM(IF(DC96=1,"Mon ","")&amp;IF(DD96=1,"Tue ","")&amp;IF(DE96=1,"Wed ","")&amp;IF(DF96=1,"Thu ","")&amp;IF(DG96=1,"Fri ","")&amp;IF(DH96=1,"Sat ","")&amp;IF(DI96=1,"Sun ",""))</f>
        <v/>
      </c>
    </row>
    <row r="97">
      <c r="A97" s="48" t="inlineStr">
        <is>
          <t>T-N-00045</t>
        </is>
      </c>
      <c r="B97" s="48" t="inlineStr">
        <is>
          <t>Ibrahim Morris</t>
        </is>
      </c>
      <c r="C97" s="48" t="inlineStr">
        <is>
          <t>ibrahim.morris95@example.com</t>
        </is>
      </c>
      <c r="D97" s="48" t="inlineStr">
        <is>
          <t>+61 464 406 650</t>
        </is>
      </c>
      <c r="E97" s="48" t="inlineStr">
        <is>
          <t>Zara Ibrahim</t>
        </is>
      </c>
      <c r="F97" s="48" t="inlineStr">
        <is>
          <t>+61 434 667 419</t>
        </is>
      </c>
      <c r="G97" s="48" t="inlineStr">
        <is>
          <t>Friend</t>
        </is>
      </c>
      <c r="H97" s="48" t="inlineStr">
        <is>
          <t>Tutor</t>
        </is>
      </c>
      <c r="I97" s="49" t="n">
        <v>45973</v>
      </c>
      <c r="J97" s="48" t="inlineStr">
        <is>
          <t>NADM-UNP</t>
        </is>
      </c>
      <c r="K97" s="48">
        <f>IFERROR(VLOOKUP(J97,'(A) Introduction'!$B$35:$C$45,2,FALSE),"")</f>
        <v/>
      </c>
      <c r="L97" s="48" t="inlineStr">
        <is>
          <t>No</t>
        </is>
      </c>
      <c r="M97" s="48" t="inlineStr"/>
      <c r="N97" s="48" t="inlineStr"/>
      <c r="O97" s="48" t="n">
        <v>1</v>
      </c>
      <c r="P97" s="48">
        <f>IF($H97="Tutor",((BQ97&lt;&gt;"")*(BR97=""))+((BW97&lt;&gt;"")*(BX97=""))+((CC97&lt;&gt;"")*(CD97=""))+((CI97&lt;&gt;"")*(CJ97=""))+((CO97&lt;&gt;"")*(CP97="")),SUMPRODUCT(--($BO$3:$BO$202=$A97),--($BR$3:$BR$202=""))+SUMPRODUCT(--($BU$3:$BU$202=$A97),--($BX$3:$BX$202=""))+SUMPRODUCT(--($CA$3:$CA$202=$A97),--($CD$3:$CD$202=""))+SUMPRODUCT(--($CG$3:$CG$202=$A97),--($CJ$3:$CJ$202=""))+SUMPRODUCT(--($CM$3:$CM$202=$A97),--($CP$3:$CP$202="")))</f>
        <v/>
      </c>
      <c r="Q97" s="48">
        <f>IF($H97="Tutor",(BQ97&lt;&gt;"")+(BW97&lt;&gt;"")+(CC97&lt;&gt;"")+(CI97&lt;&gt;"")+(CO97&lt;&gt;""),SUMPRODUCT(--($BO$3:$BO$202=$A97))+SUMPRODUCT(--($BU$3:$BU$202=$A97))+SUMPRODUCT(--($CA$3:$CA$202=$A97))+SUMPRODUCT(--($CG$3:$CG$202=$A97))+SUMPRODUCT(--($CM$3:$CM$202=$A97)))</f>
        <v/>
      </c>
      <c r="R97" s="48">
        <f>IF($H97="Tutor",TRIM(IF(AND(BQ97&lt;&gt;"",BR97=""),BP97&amp;"; ","")&amp;IF(AND(BW97&lt;&gt;"",BX97=""),BV97&amp;"; ","")&amp;IF(AND(CC97&lt;&gt;"",CD97=""),CB97&amp;"; ","")&amp;IF(AND(CI97&lt;&gt;"",CJ97=""),CH97&amp;"; ","")&amp;IF(AND(CO97&lt;&gt;"",CP97=""),CN97&amp;"; ","")),IFERROR(INDEX($A$3:$B$202,(SUMPRODUCT(($BO$3:$BO$202=$A97)*($BR$3:$BR$202="")*ROW($BO$3:$BO$202))+SUMPRODUCT(($BU$3:$BU$202=$A97)*($BX$3:$BX$202="")*ROW($BU$3:$BU$202))+SUMPRODUCT(($CA$3:$CA$202=$A97)*($CD$3:$CD$202="")*ROW($CA$3:$CA$202))+SUMPRODUCT(($CG$3:$CG$202=$A97)*($CJ$3:$CJ$202="")*ROW($CG$3:$CG$202))+SUMPRODUCT(($CM$3:$CM$202=$A97)*($CP$3:$CP$202="")*ROW($CM$3:$CM$202)))-2,2),""))</f>
        <v/>
      </c>
      <c r="S97" s="48" t="inlineStr">
        <is>
          <t>NA</t>
        </is>
      </c>
      <c r="T97" s="48" t="inlineStr"/>
      <c r="U97" s="48" t="inlineStr"/>
      <c r="V97" s="48" t="inlineStr"/>
      <c r="W97" s="48" t="inlineStr">
        <is>
          <t>AEST (UTC+10)</t>
        </is>
      </c>
      <c r="X97" s="48" t="inlineStr">
        <is>
          <t>12pm-3pm;</t>
        </is>
      </c>
      <c r="Y97" s="48" t="inlineStr">
        <is>
          <t>6am-9am;9am-12pm;</t>
        </is>
      </c>
      <c r="Z97" s="48" t="inlineStr">
        <is>
          <t>6pm-9pm;</t>
        </is>
      </c>
      <c r="AA97" s="48" t="inlineStr">
        <is>
          <t>6pm-9pm;</t>
        </is>
      </c>
      <c r="AB97" s="48" t="inlineStr">
        <is>
          <t>9am-12pm;</t>
        </is>
      </c>
      <c r="AC97" s="48" t="inlineStr">
        <is>
          <t>6pm-9pm;</t>
        </is>
      </c>
      <c r="AD97" s="48" t="inlineStr">
        <is>
          <t>9am-12pm;12pm-3pm;3pm-6pm;</t>
        </is>
      </c>
      <c r="AE97" s="48" t="inlineStr">
        <is>
          <t>In-Person</t>
        </is>
      </c>
      <c r="AF97" s="48" t="inlineStr">
        <is>
          <t>NA - Tutor</t>
        </is>
      </c>
      <c r="AG97" s="48" t="inlineStr">
        <is>
          <t>Australia</t>
        </is>
      </c>
      <c r="AH97" s="48" t="inlineStr">
        <is>
          <t>New South Wales</t>
        </is>
      </c>
      <c r="AI97" s="48" t="inlineStr">
        <is>
          <t>Blacktown</t>
        </is>
      </c>
      <c r="AJ97" s="48" t="inlineStr">
        <is>
          <t>2148</t>
        </is>
      </c>
      <c r="AK97" s="49" t="n">
        <v>28287</v>
      </c>
      <c r="AL97" s="48" t="inlineStr">
        <is>
          <t>Female</t>
        </is>
      </c>
      <c r="AM97" s="48" t="inlineStr">
        <is>
          <t>NA</t>
        </is>
      </c>
      <c r="AN97" s="48" t="inlineStr">
        <is>
          <t>NA - Tutor</t>
        </is>
      </c>
      <c r="AO97" s="48" t="inlineStr">
        <is>
          <t>High</t>
        </is>
      </c>
      <c r="AP97" s="48" t="inlineStr">
        <is>
          <t>United Kingdom</t>
        </is>
      </c>
      <c r="AQ97" s="48" t="inlineStr">
        <is>
          <t>NA</t>
        </is>
      </c>
      <c r="AR97" s="48" t="inlineStr">
        <is>
          <t>Arabic (C2)</t>
        </is>
      </c>
      <c r="AS97" s="48" t="inlineStr">
        <is>
          <t>Christian</t>
        </is>
      </c>
      <c r="AT97" s="48" t="inlineStr">
        <is>
          <t>Health &amp; Medicine</t>
        </is>
      </c>
      <c r="AU97" s="48" t="inlineStr">
        <is>
          <t>Engineer</t>
        </is>
      </c>
      <c r="AV97" s="48" t="inlineStr">
        <is>
          <t>NA - Tutor</t>
        </is>
      </c>
      <c r="AW97" s="48" t="inlineStr">
        <is>
          <t>Art; Photography; Travel</t>
        </is>
      </c>
      <c r="AX97" s="48" t="inlineStr">
        <is>
          <t>NA - Tutor</t>
        </is>
      </c>
      <c r="AY97" s="48" t="inlineStr">
        <is>
          <t>Yes</t>
        </is>
      </c>
      <c r="AZ97" s="48" t="inlineStr">
        <is>
          <t>Yes</t>
        </is>
      </c>
      <c r="BA97" s="48" t="inlineStr">
        <is>
          <t>Layla Hadaya</t>
        </is>
      </c>
      <c r="BB97" s="48" t="inlineStr">
        <is>
          <t>Friend</t>
        </is>
      </c>
      <c r="BC97" s="48" t="inlineStr">
        <is>
          <t>nadia.ahmed595@example.com</t>
        </is>
      </c>
      <c r="BD97" s="48" t="inlineStr">
        <is>
          <t>Pending</t>
        </is>
      </c>
      <c r="BE97" s="48" t="inlineStr"/>
      <c r="BF97" s="48" t="inlineStr"/>
      <c r="BG97" s="48" t="inlineStr">
        <is>
          <t>No</t>
        </is>
      </c>
      <c r="BH97" s="48" t="inlineStr">
        <is>
          <t>Adults Only</t>
        </is>
      </c>
      <c r="BI97" s="48" t="inlineStr">
        <is>
          <t>Jesuit Refugee Service</t>
        </is>
      </c>
      <c r="BJ97" s="48" t="inlineStr">
        <is>
          <t>HERVIR Oliver</t>
        </is>
      </c>
      <c r="BK97" s="48" t="inlineStr">
        <is>
          <t>THET Moh Moh</t>
        </is>
      </c>
      <c r="BL97" s="48" t="inlineStr">
        <is>
          <t>Synthetic test record.</t>
        </is>
      </c>
      <c r="BM97" s="48" t="inlineStr"/>
      <c r="BN97" s="48">
        <f>TRIM(IF(AND($H97="Student",$J97="ADM-ACT-MAT-CNE"),"Invalid: Student cannot be CNE. ","")&amp;IF(AND($H97="Student",ISNUMBER($O97)),"Check: capacity set for a Student. ","")&amp;IF(AND(LEFT($J97,11)="ADM-ACT-MAT",$P97=0),"Check: matched status but 0 active pairings. ","")&amp;IF(AND($H97="Tutor",ISNUMBER($O97),$P97&gt;$O97),"Check: pairings exceed capacity. ","")&amp;IF(AND($BH97="Everyone",NOT(AND($BD97="Yes",$BG97="Yes"))),"Check: approved to tutor children but WWCC not provided/confirmed. ","")&amp;IF(AND($P97&gt;0,NOT(AND(OR(LEFT($AY97,3)="Yes",LEFT($AY97,2)="NA"),OR(LEFT($AZ97,3)="Yes",LEFT($AZ97,2)="NA")))),"Matched but vetting incomplete (interview/reference). ","")&amp;IF(COUNTIF($B$3:$B$600,$B97)&gt;1,"Duplicate participant name. ",""))</f>
        <v/>
      </c>
      <c r="BO97" s="48" t="inlineStr"/>
      <c r="BP97" s="48" t="inlineStr"/>
      <c r="BQ97" s="48" t="inlineStr"/>
      <c r="BR97" s="48" t="inlineStr"/>
      <c r="BS97" s="48" t="inlineStr"/>
      <c r="BT97" s="48" t="inlineStr"/>
      <c r="BU97" s="48" t="inlineStr"/>
      <c r="BV97" s="48" t="inlineStr"/>
      <c r="BW97" s="48" t="inlineStr"/>
      <c r="BX97" s="48" t="inlineStr"/>
      <c r="BY97" s="48" t="inlineStr"/>
      <c r="BZ97" s="48" t="inlineStr"/>
      <c r="CA97" s="48" t="inlineStr"/>
      <c r="CB97" s="48" t="inlineStr"/>
      <c r="CC97" s="48" t="inlineStr"/>
      <c r="CD97" s="48" t="inlineStr"/>
      <c r="CE97" s="48" t="inlineStr"/>
      <c r="CF97" s="48" t="inlineStr"/>
      <c r="CG97" s="48" t="inlineStr"/>
      <c r="CH97" s="48" t="inlineStr"/>
      <c r="CI97" s="48" t="inlineStr"/>
      <c r="CJ97" s="48" t="inlineStr"/>
      <c r="CK97" s="48" t="inlineStr"/>
      <c r="CL97" s="48" t="inlineStr"/>
      <c r="CM97" s="48" t="inlineStr"/>
      <c r="CN97" s="48" t="inlineStr"/>
      <c r="CO97" s="48" t="inlineStr"/>
      <c r="CP97" s="48" t="inlineStr"/>
      <c r="CQ97" s="48" t="inlineStr"/>
      <c r="CR97" s="48" t="inlineStr"/>
      <c r="CS97" s="48">
        <f>IF(LEFT($J97,3)="ERR",0,1)</f>
        <v/>
      </c>
      <c r="CT97" s="48">
        <f>IF(LEFT($J97,3)="ADM",1,0)</f>
        <v/>
      </c>
      <c r="CU97" s="48">
        <f>IF(OR($J97="ADM-ACT-MAT-CNE",$J97="ADM-ACT-MAT-CE",$J97="ADM-INACT-M&amp;T"),1,0)</f>
        <v/>
      </c>
      <c r="CV97" s="48">
        <f>IF(AND(CU97=1,ISNUMBER(M97),ISNUMBER(I97)),M97-I97,"")</f>
        <v/>
      </c>
      <c r="CW97" s="48">
        <f>IF(ISNUMBER(I97),TODAY()-I97,"")</f>
        <v/>
      </c>
      <c r="CX97" s="48">
        <f>IF(ISNUMBER(I97),DATE(YEAR(I97),MONTH(I97),1),"")</f>
        <v/>
      </c>
      <c r="CY97" s="48">
        <f>IFERROR(DATEDIF(AK97,TODAY(),"y"),"")</f>
        <v/>
      </c>
      <c r="CZ97" s="48">
        <f>IF(CY97="","",IF(CY97&lt;28,"18-27",IF(CY97&lt;38,"28-37",IF(CY97&lt;48,"38-47",IF(CY97&lt;58,"48-57",IF(CY97&lt;68,"58-67",IF(CY97&lt;78,"68-77","78+")))))) </f>
        <v/>
      </c>
      <c r="DA97" s="48">
        <f>IF(AND(BQ97&lt;&gt;"",BR97=""),N(BS97),0)+IF(AND(BW97&lt;&gt;"",BX97=""),N(BY97),0)+IF(AND(CC97&lt;&gt;"",CD97=""),N(CE97),0)+IF(AND(CI97&lt;&gt;"",CJ97=""),N(CK97),0)+IF(AND(CO97&lt;&gt;"",CP97=""),N(CQ97),0)</f>
        <v/>
      </c>
      <c r="DB97" s="48">
        <f>ROUND(IF(BQ97&lt;&gt;"",N(BS97)*MAX(0,((IF(BR97="",TODAY(),BR97))-BQ97)/7),0)+IF(BW97&lt;&gt;"",N(BY97)*MAX(0,((IF(BX97="",TODAY(),BX97))-BW97)/7),0)+IF(CC97&lt;&gt;"",N(CE97)*MAX(0,((IF(CD97="",TODAY(),CD97))-CC97)/7),0)+IF(CI97&lt;&gt;"",N(CK97)*MAX(0,((IF(CJ97="",TODAY(),CJ97))-CI97)/7),0)+IF(CO97&lt;&gt;"",N(CQ97)*MAX(0,((IF(CP97="",TODAY(),CP97))-CO97)/7),0),1)</f>
        <v/>
      </c>
      <c r="DC97" s="48">
        <f>IF(OR(TRIM(X97)="",TRIM(X97)="NA;",TRIM(X97)="NA"),0,1)</f>
        <v/>
      </c>
      <c r="DD97" s="48">
        <f>IF(OR(TRIM(Y97)="",TRIM(Y97)="NA;",TRIM(Y97)="NA"),0,1)</f>
        <v/>
      </c>
      <c r="DE97" s="48">
        <f>IF(OR(TRIM(Z97)="",TRIM(Z97)="NA;",TRIM(Z97)="NA"),0,1)</f>
        <v/>
      </c>
      <c r="DF97" s="48">
        <f>IF(OR(TRIM(AA97)="",TRIM(AA97)="NA;",TRIM(AA97)="NA"),0,1)</f>
        <v/>
      </c>
      <c r="DG97" s="48">
        <f>IF(OR(TRIM(AB97)="",TRIM(AB97)="NA;",TRIM(AB97)="NA"),0,1)</f>
        <v/>
      </c>
      <c r="DH97" s="48">
        <f>IF(OR(TRIM(AC97)="",TRIM(AC97)="NA;",TRIM(AC97)="NA"),0,1)</f>
        <v/>
      </c>
      <c r="DI97" s="48">
        <f>IF(OR(TRIM(AD97)="",TRIM(AD97)="NA;",TRIM(AD97)="NA"),0,1)</f>
        <v/>
      </c>
      <c r="DJ97" s="48">
        <f>TRIM(IF(DC97=1,"Mon ","")&amp;IF(DD97=1,"Tue ","")&amp;IF(DE97=1,"Wed ","")&amp;IF(DF97=1,"Thu ","")&amp;IF(DG97=1,"Fri ","")&amp;IF(DH97=1,"Sat ","")&amp;IF(DI97=1,"Sun ",""))</f>
        <v/>
      </c>
    </row>
    <row r="98">
      <c r="A98" s="48" t="inlineStr">
        <is>
          <t>T-N-00046</t>
        </is>
      </c>
      <c r="B98" s="48" t="inlineStr">
        <is>
          <t>Sarah Hadaya</t>
        </is>
      </c>
      <c r="C98" s="48" t="inlineStr">
        <is>
          <t>sarah.hadaya96@example.com</t>
        </is>
      </c>
      <c r="D98" s="48" t="inlineStr">
        <is>
          <t>+61 432 622 824</t>
        </is>
      </c>
      <c r="E98" s="48" t="inlineStr">
        <is>
          <t>Ibrahim Marks</t>
        </is>
      </c>
      <c r="F98" s="48" t="inlineStr">
        <is>
          <t>+61 435 267 671</t>
        </is>
      </c>
      <c r="G98" s="48" t="inlineStr">
        <is>
          <t>Caseworker</t>
        </is>
      </c>
      <c r="H98" s="48" t="inlineStr">
        <is>
          <t>Tutor</t>
        </is>
      </c>
      <c r="I98" s="49" t="n">
        <v>45982</v>
      </c>
      <c r="J98" s="48" t="inlineStr">
        <is>
          <t>ADM-ACT-MAT-CE</t>
        </is>
      </c>
      <c r="K98" s="48">
        <f>IFERROR(VLOOKUP(J98,'(A) Introduction'!$B$35:$C$45,2,FALSE),"")</f>
        <v/>
      </c>
      <c r="L98" s="48" t="inlineStr">
        <is>
          <t>No</t>
        </is>
      </c>
      <c r="M98" s="48" t="inlineStr"/>
      <c r="N98" s="48" t="inlineStr"/>
      <c r="O98" s="48" t="n">
        <v>1</v>
      </c>
      <c r="P98" s="48">
        <f>IF($H98="Tutor",((BQ98&lt;&gt;"")*(BR98=""))+((BW98&lt;&gt;"")*(BX98=""))+((CC98&lt;&gt;"")*(CD98=""))+((CI98&lt;&gt;"")*(CJ98=""))+((CO98&lt;&gt;"")*(CP98="")),SUMPRODUCT(--($BO$3:$BO$202=$A98),--($BR$3:$BR$202=""))+SUMPRODUCT(--($BU$3:$BU$202=$A98),--($BX$3:$BX$202=""))+SUMPRODUCT(--($CA$3:$CA$202=$A98),--($CD$3:$CD$202=""))+SUMPRODUCT(--($CG$3:$CG$202=$A98),--($CJ$3:$CJ$202=""))+SUMPRODUCT(--($CM$3:$CM$202=$A98),--($CP$3:$CP$202="")))</f>
        <v/>
      </c>
      <c r="Q98" s="48">
        <f>IF($H98="Tutor",(BQ98&lt;&gt;"")+(BW98&lt;&gt;"")+(CC98&lt;&gt;"")+(CI98&lt;&gt;"")+(CO98&lt;&gt;""),SUMPRODUCT(--($BO$3:$BO$202=$A98))+SUMPRODUCT(--($BU$3:$BU$202=$A98))+SUMPRODUCT(--($CA$3:$CA$202=$A98))+SUMPRODUCT(--($CG$3:$CG$202=$A98))+SUMPRODUCT(--($CM$3:$CM$202=$A98)))</f>
        <v/>
      </c>
      <c r="R98" s="48">
        <f>IF($H98="Tutor",TRIM(IF(AND(BQ98&lt;&gt;"",BR98=""),BP98&amp;"; ","")&amp;IF(AND(BW98&lt;&gt;"",BX98=""),BV98&amp;"; ","")&amp;IF(AND(CC98&lt;&gt;"",CD98=""),CB98&amp;"; ","")&amp;IF(AND(CI98&lt;&gt;"",CJ98=""),CH98&amp;"; ","")&amp;IF(AND(CO98&lt;&gt;"",CP98=""),CN98&amp;"; ","")),IFERROR(INDEX($A$3:$B$202,(SUMPRODUCT(($BO$3:$BO$202=$A98)*($BR$3:$BR$202="")*ROW($BO$3:$BO$202))+SUMPRODUCT(($BU$3:$BU$202=$A98)*($BX$3:$BX$202="")*ROW($BU$3:$BU$202))+SUMPRODUCT(($CA$3:$CA$202=$A98)*($CD$3:$CD$202="")*ROW($CA$3:$CA$202))+SUMPRODUCT(($CG$3:$CG$202=$A98)*($CJ$3:$CJ$202="")*ROW($CG$3:$CG$202))+SUMPRODUCT(($CM$3:$CM$202=$A98)*($CP$3:$CP$202="")*ROW($CM$3:$CM$202)))-2,2),""))</f>
        <v/>
      </c>
      <c r="S98" s="48" t="inlineStr">
        <is>
          <t>NA</t>
        </is>
      </c>
      <c r="T98" s="48" t="inlineStr"/>
      <c r="U98" s="48" t="inlineStr"/>
      <c r="V98" s="49" t="n">
        <v>45758</v>
      </c>
      <c r="W98" s="48" t="inlineStr">
        <is>
          <t>ACDT (UTC+10:30)</t>
        </is>
      </c>
      <c r="X98" s="48" t="inlineStr">
        <is>
          <t>3pm-6pm;</t>
        </is>
      </c>
      <c r="Y98" s="48" t="inlineStr">
        <is>
          <t>12pm-3pm;6pm-9pm;</t>
        </is>
      </c>
      <c r="Z98" s="48" t="inlineStr">
        <is>
          <t>12pm-3pm;6pm-9pm;</t>
        </is>
      </c>
      <c r="AA98" s="48" t="inlineStr">
        <is>
          <t>6am-9am;9am-12pm;</t>
        </is>
      </c>
      <c r="AB98" s="48" t="inlineStr">
        <is>
          <t>6pm-9pm;</t>
        </is>
      </c>
      <c r="AC98" s="48" t="inlineStr">
        <is>
          <t>3pm-6pm;</t>
        </is>
      </c>
      <c r="AD98" s="48" t="inlineStr">
        <is>
          <t>12pm-3pm;</t>
        </is>
      </c>
      <c r="AE98" s="48" t="inlineStr">
        <is>
          <t>In-Person</t>
        </is>
      </c>
      <c r="AF98" s="48" t="inlineStr">
        <is>
          <t>NA - Tutor</t>
        </is>
      </c>
      <c r="AG98" s="48" t="inlineStr">
        <is>
          <t>Australia</t>
        </is>
      </c>
      <c r="AH98" s="48" t="inlineStr">
        <is>
          <t>New South Wales</t>
        </is>
      </c>
      <c r="AI98" s="48" t="inlineStr">
        <is>
          <t>Eastlakes</t>
        </is>
      </c>
      <c r="AJ98" s="48" t="inlineStr">
        <is>
          <t>2018</t>
        </is>
      </c>
      <c r="AK98" s="49" t="n">
        <v>27597</v>
      </c>
      <c r="AL98" s="48" t="inlineStr">
        <is>
          <t>Other</t>
        </is>
      </c>
      <c r="AM98" s="48" t="inlineStr">
        <is>
          <t>NA</t>
        </is>
      </c>
      <c r="AN98" s="48" t="inlineStr">
        <is>
          <t>NA - Tutor</t>
        </is>
      </c>
      <c r="AO98" s="48" t="inlineStr">
        <is>
          <t>Outstanding</t>
        </is>
      </c>
      <c r="AP98" s="48" t="inlineStr">
        <is>
          <t>Egypt</t>
        </is>
      </c>
      <c r="AQ98" s="48" t="inlineStr">
        <is>
          <t>NA</t>
        </is>
      </c>
      <c r="AR98" s="48" t="inlineStr">
        <is>
          <t>Pashto (C2)</t>
        </is>
      </c>
      <c r="AS98" s="48" t="inlineStr">
        <is>
          <t>Christian</t>
        </is>
      </c>
      <c r="AT98" s="48" t="inlineStr">
        <is>
          <t>Arts, Media &amp; Design</t>
        </is>
      </c>
      <c r="AU98" s="48" t="inlineStr">
        <is>
          <t>Retail</t>
        </is>
      </c>
      <c r="AV98" s="48" t="inlineStr">
        <is>
          <t>NA - Tutor</t>
        </is>
      </c>
      <c r="AW98" s="48" t="inlineStr">
        <is>
          <t>Reading; Politics; Music</t>
        </is>
      </c>
      <c r="AX98" s="48" t="inlineStr">
        <is>
          <t>NA - Tutor</t>
        </is>
      </c>
      <c r="AY98" s="48" t="inlineStr">
        <is>
          <t>NA - Partner Organisation Verified</t>
        </is>
      </c>
      <c r="AZ98" s="48" t="inlineStr">
        <is>
          <t>No</t>
        </is>
      </c>
      <c r="BA98" s="48" t="inlineStr">
        <is>
          <t>James Bourne</t>
        </is>
      </c>
      <c r="BB98" s="48" t="inlineStr">
        <is>
          <t>Manager</t>
        </is>
      </c>
      <c r="BC98" s="48" t="inlineStr">
        <is>
          <t>sofia.walker596@example.com</t>
        </is>
      </c>
      <c r="BD98" s="48" t="inlineStr">
        <is>
          <t>Yes</t>
        </is>
      </c>
      <c r="BE98" s="48" t="inlineStr">
        <is>
          <t>WWC3660958E</t>
        </is>
      </c>
      <c r="BF98" s="49" t="n">
        <v>47054</v>
      </c>
      <c r="BG98" s="48" t="inlineStr">
        <is>
          <t>No</t>
        </is>
      </c>
      <c r="BH98" s="48" t="inlineStr">
        <is>
          <t>Adults Only</t>
        </is>
      </c>
      <c r="BI98" s="48" t="inlineStr">
        <is>
          <t>Supporting Asylum Seekers Sydney</t>
        </is>
      </c>
      <c r="BJ98" s="48" t="inlineStr">
        <is>
          <t>CROCK Mary</t>
        </is>
      </c>
      <c r="BK98" s="48" t="inlineStr">
        <is>
          <t>MCCLELLAND Reeve</t>
        </is>
      </c>
      <c r="BL98" s="48" t="inlineStr">
        <is>
          <t>Synthetic test record.</t>
        </is>
      </c>
      <c r="BM98" s="48" t="inlineStr"/>
      <c r="BN98" s="48">
        <f>TRIM(IF(AND($H98="Student",$J98="ADM-ACT-MAT-CNE"),"Invalid: Student cannot be CNE. ","")&amp;IF(AND($H98="Student",ISNUMBER($O98)),"Check: capacity set for a Student. ","")&amp;IF(AND(LEFT($J98,11)="ADM-ACT-MAT",$P98=0),"Check: matched status but 0 active pairings. ","")&amp;IF(AND($H98="Tutor",ISNUMBER($O98),$P98&gt;$O98),"Check: pairings exceed capacity. ","")&amp;IF(AND($BH98="Everyone",NOT(AND($BD98="Yes",$BG98="Yes"))),"Check: approved to tutor children but WWCC not provided/confirmed. ","")&amp;IF(AND($P98&gt;0,NOT(AND(OR(LEFT($AY98,3)="Yes",LEFT($AY98,2)="NA"),OR(LEFT($AZ98,3)="Yes",LEFT($AZ98,2)="NA")))),"Matched but vetting incomplete (interview/reference). ","")&amp;IF(COUNTIF($B$3:$B$600,$B98)&gt;1,"Duplicate participant name. ",""))</f>
        <v/>
      </c>
      <c r="BO98" s="48" t="inlineStr">
        <is>
          <t>S-N-00044</t>
        </is>
      </c>
      <c r="BP98" s="48">
        <f>IFERROR(VLOOKUP(BO98,$A:$B,2,FALSE),"")</f>
        <v/>
      </c>
      <c r="BQ98" s="49" t="n">
        <v>45994</v>
      </c>
      <c r="BR98" s="48" t="inlineStr"/>
      <c r="BS98" s="48" t="n">
        <v>1</v>
      </c>
      <c r="BT98" s="48" t="inlineStr">
        <is>
          <t>CROCK Mary</t>
        </is>
      </c>
      <c r="BU98" s="48" t="inlineStr"/>
      <c r="BV98" s="48" t="inlineStr"/>
      <c r="BW98" s="48" t="inlineStr"/>
      <c r="BX98" s="48" t="inlineStr"/>
      <c r="BY98" s="48" t="inlineStr"/>
      <c r="BZ98" s="48" t="inlineStr"/>
      <c r="CA98" s="48" t="inlineStr"/>
      <c r="CB98" s="48" t="inlineStr"/>
      <c r="CC98" s="48" t="inlineStr"/>
      <c r="CD98" s="48" t="inlineStr"/>
      <c r="CE98" s="48" t="inlineStr"/>
      <c r="CF98" s="48" t="inlineStr"/>
      <c r="CG98" s="48" t="inlineStr"/>
      <c r="CH98" s="48" t="inlineStr"/>
      <c r="CI98" s="48" t="inlineStr"/>
      <c r="CJ98" s="48" t="inlineStr"/>
      <c r="CK98" s="48" t="inlineStr"/>
      <c r="CL98" s="48" t="inlineStr"/>
      <c r="CM98" s="48" t="inlineStr"/>
      <c r="CN98" s="48" t="inlineStr"/>
      <c r="CO98" s="48" t="inlineStr"/>
      <c r="CP98" s="48" t="inlineStr"/>
      <c r="CQ98" s="48" t="inlineStr"/>
      <c r="CR98" s="48" t="inlineStr"/>
      <c r="CS98" s="48">
        <f>IF(LEFT($J98,3)="ERR",0,1)</f>
        <v/>
      </c>
      <c r="CT98" s="48">
        <f>IF(LEFT($J98,3)="ADM",1,0)</f>
        <v/>
      </c>
      <c r="CU98" s="48">
        <f>IF(OR($J98="ADM-ACT-MAT-CNE",$J98="ADM-ACT-MAT-CE",$J98="ADM-INACT-M&amp;T"),1,0)</f>
        <v/>
      </c>
      <c r="CV98" s="48">
        <f>IF(AND(CU98=1,ISNUMBER(M98),ISNUMBER(I98)),M98-I98,"")</f>
        <v/>
      </c>
      <c r="CW98" s="48">
        <f>IF(ISNUMBER(I98),TODAY()-I98,"")</f>
        <v/>
      </c>
      <c r="CX98" s="48">
        <f>IF(ISNUMBER(I98),DATE(YEAR(I98),MONTH(I98),1),"")</f>
        <v/>
      </c>
      <c r="CY98" s="48">
        <f>IFERROR(DATEDIF(AK98,TODAY(),"y"),"")</f>
        <v/>
      </c>
      <c r="CZ98" s="48">
        <f>IF(CY98="","",IF(CY98&lt;28,"18-27",IF(CY98&lt;38,"28-37",IF(CY98&lt;48,"38-47",IF(CY98&lt;58,"48-57",IF(CY98&lt;68,"58-67",IF(CY98&lt;78,"68-77","78+")))))) </f>
        <v/>
      </c>
      <c r="DA98" s="48">
        <f>IF(AND(BQ98&lt;&gt;"",BR98=""),N(BS98),0)+IF(AND(BW98&lt;&gt;"",BX98=""),N(BY98),0)+IF(AND(CC98&lt;&gt;"",CD98=""),N(CE98),0)+IF(AND(CI98&lt;&gt;"",CJ98=""),N(CK98),0)+IF(AND(CO98&lt;&gt;"",CP98=""),N(CQ98),0)</f>
        <v/>
      </c>
      <c r="DB98" s="48">
        <f>ROUND(IF(BQ98&lt;&gt;"",N(BS98)*MAX(0,((IF(BR98="",TODAY(),BR98))-BQ98)/7),0)+IF(BW98&lt;&gt;"",N(BY98)*MAX(0,((IF(BX98="",TODAY(),BX98))-BW98)/7),0)+IF(CC98&lt;&gt;"",N(CE98)*MAX(0,((IF(CD98="",TODAY(),CD98))-CC98)/7),0)+IF(CI98&lt;&gt;"",N(CK98)*MAX(0,((IF(CJ98="",TODAY(),CJ98))-CI98)/7),0)+IF(CO98&lt;&gt;"",N(CQ98)*MAX(0,((IF(CP98="",TODAY(),CP98))-CO98)/7),0),1)</f>
        <v/>
      </c>
      <c r="DC98" s="48">
        <f>IF(OR(TRIM(X98)="",TRIM(X98)="NA;",TRIM(X98)="NA"),0,1)</f>
        <v/>
      </c>
      <c r="DD98" s="48">
        <f>IF(OR(TRIM(Y98)="",TRIM(Y98)="NA;",TRIM(Y98)="NA"),0,1)</f>
        <v/>
      </c>
      <c r="DE98" s="48">
        <f>IF(OR(TRIM(Z98)="",TRIM(Z98)="NA;",TRIM(Z98)="NA"),0,1)</f>
        <v/>
      </c>
      <c r="DF98" s="48">
        <f>IF(OR(TRIM(AA98)="",TRIM(AA98)="NA;",TRIM(AA98)="NA"),0,1)</f>
        <v/>
      </c>
      <c r="DG98" s="48">
        <f>IF(OR(TRIM(AB98)="",TRIM(AB98)="NA;",TRIM(AB98)="NA"),0,1)</f>
        <v/>
      </c>
      <c r="DH98" s="48">
        <f>IF(OR(TRIM(AC98)="",TRIM(AC98)="NA;",TRIM(AC98)="NA"),0,1)</f>
        <v/>
      </c>
      <c r="DI98" s="48">
        <f>IF(OR(TRIM(AD98)="",TRIM(AD98)="NA;",TRIM(AD98)="NA"),0,1)</f>
        <v/>
      </c>
      <c r="DJ98" s="48">
        <f>TRIM(IF(DC98=1,"Mon ","")&amp;IF(DD98=1,"Tue ","")&amp;IF(DE98=1,"Wed ","")&amp;IF(DF98=1,"Thu ","")&amp;IF(DG98=1,"Fri ","")&amp;IF(DH98=1,"Sat ","")&amp;IF(DI98=1,"Sun ",""))</f>
        <v/>
      </c>
    </row>
    <row r="99">
      <c r="A99" s="48" t="inlineStr">
        <is>
          <t>T-N-00047</t>
        </is>
      </c>
      <c r="B99" s="48" t="inlineStr">
        <is>
          <t>Ava Schaffer</t>
        </is>
      </c>
      <c r="C99" s="48" t="inlineStr">
        <is>
          <t>ava.schaffer97@example.com</t>
        </is>
      </c>
      <c r="D99" s="48" t="inlineStr">
        <is>
          <t>+61 476 413 676</t>
        </is>
      </c>
      <c r="E99" s="48" t="inlineStr">
        <is>
          <t>Yusuf Harris</t>
        </is>
      </c>
      <c r="F99" s="48" t="inlineStr">
        <is>
          <t>+61 412 482 131</t>
        </is>
      </c>
      <c r="G99" s="48" t="inlineStr">
        <is>
          <t>Caseworker</t>
        </is>
      </c>
      <c r="H99" s="48" t="inlineStr">
        <is>
          <t>Tutor</t>
        </is>
      </c>
      <c r="I99" s="49" t="n">
        <v>45988</v>
      </c>
      <c r="J99" s="48" t="inlineStr">
        <is>
          <t>ADM-INACT-NOM&amp;T</t>
        </is>
      </c>
      <c r="K99" s="48">
        <f>IFERROR(VLOOKUP(J99,'(A) Introduction'!$B$35:$C$45,2,FALSE),"")</f>
        <v/>
      </c>
      <c r="L99" s="48" t="inlineStr">
        <is>
          <t>No</t>
        </is>
      </c>
      <c r="M99" s="48" t="inlineStr"/>
      <c r="N99" s="48" t="inlineStr"/>
      <c r="O99" s="48" t="n">
        <v>2</v>
      </c>
      <c r="P99" s="48">
        <f>IF($H99="Tutor",((BQ99&lt;&gt;"")*(BR99=""))+((BW99&lt;&gt;"")*(BX99=""))+((CC99&lt;&gt;"")*(CD99=""))+((CI99&lt;&gt;"")*(CJ99=""))+((CO99&lt;&gt;"")*(CP99="")),SUMPRODUCT(--($BO$3:$BO$202=$A99),--($BR$3:$BR$202=""))+SUMPRODUCT(--($BU$3:$BU$202=$A99),--($BX$3:$BX$202=""))+SUMPRODUCT(--($CA$3:$CA$202=$A99),--($CD$3:$CD$202=""))+SUMPRODUCT(--($CG$3:$CG$202=$A99),--($CJ$3:$CJ$202=""))+SUMPRODUCT(--($CM$3:$CM$202=$A99),--($CP$3:$CP$202="")))</f>
        <v/>
      </c>
      <c r="Q99" s="48">
        <f>IF($H99="Tutor",(BQ99&lt;&gt;"")+(BW99&lt;&gt;"")+(CC99&lt;&gt;"")+(CI99&lt;&gt;"")+(CO99&lt;&gt;""),SUMPRODUCT(--($BO$3:$BO$202=$A99))+SUMPRODUCT(--($BU$3:$BU$202=$A99))+SUMPRODUCT(--($CA$3:$CA$202=$A99))+SUMPRODUCT(--($CG$3:$CG$202=$A99))+SUMPRODUCT(--($CM$3:$CM$202=$A99)))</f>
        <v/>
      </c>
      <c r="R99" s="48">
        <f>IF($H99="Tutor",TRIM(IF(AND(BQ99&lt;&gt;"",BR99=""),BP99&amp;"; ","")&amp;IF(AND(BW99&lt;&gt;"",BX99=""),BV99&amp;"; ","")&amp;IF(AND(CC99&lt;&gt;"",CD99=""),CB99&amp;"; ","")&amp;IF(AND(CI99&lt;&gt;"",CJ99=""),CH99&amp;"; ","")&amp;IF(AND(CO99&lt;&gt;"",CP99=""),CN99&amp;"; ","")),IFERROR(INDEX($A$3:$B$202,(SUMPRODUCT(($BO$3:$BO$202=$A99)*($BR$3:$BR$202="")*ROW($BO$3:$BO$202))+SUMPRODUCT(($BU$3:$BU$202=$A99)*($BX$3:$BX$202="")*ROW($BU$3:$BU$202))+SUMPRODUCT(($CA$3:$CA$202=$A99)*($CD$3:$CD$202="")*ROW($CA$3:$CA$202))+SUMPRODUCT(($CG$3:$CG$202=$A99)*($CJ$3:$CJ$202="")*ROW($CG$3:$CG$202))+SUMPRODUCT(($CM$3:$CM$202=$A99)*($CP$3:$CP$202="")*ROW($CM$3:$CM$202)))-2,2),""))</f>
        <v/>
      </c>
      <c r="S99" s="48" t="inlineStr">
        <is>
          <t>NA</t>
        </is>
      </c>
      <c r="T99" s="48" t="inlineStr"/>
      <c r="U99" s="48" t="inlineStr"/>
      <c r="V99" s="49" t="n">
        <v>45482</v>
      </c>
      <c r="W99" s="48" t="inlineStr">
        <is>
          <t>AEST (UTC+10)</t>
        </is>
      </c>
      <c r="X99" s="48" t="inlineStr">
        <is>
          <t>NA;</t>
        </is>
      </c>
      <c r="Y99" s="48" t="inlineStr">
        <is>
          <t>6pm-9pm;</t>
        </is>
      </c>
      <c r="Z99" s="48" t="inlineStr">
        <is>
          <t>3pm-6pm;</t>
        </is>
      </c>
      <c r="AA99" s="48" t="inlineStr">
        <is>
          <t>3pm-6pm;</t>
        </is>
      </c>
      <c r="AB99" s="48" t="inlineStr">
        <is>
          <t>12pm-3pm;6pm-9pm;</t>
        </is>
      </c>
      <c r="AC99" s="48" t="inlineStr">
        <is>
          <t>12pm-3pm;6pm-9pm;</t>
        </is>
      </c>
      <c r="AD99" s="48" t="inlineStr">
        <is>
          <t>12pm-3pm;6pm-9pm;</t>
        </is>
      </c>
      <c r="AE99" s="48" t="inlineStr">
        <is>
          <t>Either</t>
        </is>
      </c>
      <c r="AF99" s="48" t="inlineStr">
        <is>
          <t>NA - Tutor</t>
        </is>
      </c>
      <c r="AG99" s="48" t="inlineStr">
        <is>
          <t>Australia</t>
        </is>
      </c>
      <c r="AH99" s="48" t="inlineStr">
        <is>
          <t>New South Wales</t>
        </is>
      </c>
      <c r="AI99" s="48" t="inlineStr">
        <is>
          <t>Epping</t>
        </is>
      </c>
      <c r="AJ99" s="48" t="inlineStr">
        <is>
          <t>2121</t>
        </is>
      </c>
      <c r="AK99" s="49" t="n">
        <v>23225</v>
      </c>
      <c r="AL99" s="48" t="inlineStr">
        <is>
          <t>Other</t>
        </is>
      </c>
      <c r="AM99" s="48" t="inlineStr">
        <is>
          <t>NA</t>
        </is>
      </c>
      <c r="AN99" s="48" t="inlineStr">
        <is>
          <t>NA - Tutor</t>
        </is>
      </c>
      <c r="AO99" s="48" t="inlineStr">
        <is>
          <t>Moderate</t>
        </is>
      </c>
      <c r="AP99" s="48" t="inlineStr">
        <is>
          <t>India</t>
        </is>
      </c>
      <c r="AQ99" s="48" t="inlineStr">
        <is>
          <t>NA</t>
        </is>
      </c>
      <c r="AR99" s="48" t="inlineStr">
        <is>
          <t>English (C2)</t>
        </is>
      </c>
      <c r="AS99" s="48" t="inlineStr">
        <is>
          <t>Christian (Orthodox)</t>
        </is>
      </c>
      <c r="AT99" s="48" t="inlineStr">
        <is>
          <t>Science, Tech, Engineering and Math</t>
        </is>
      </c>
      <c r="AU99" s="48" t="inlineStr">
        <is>
          <t>Retail</t>
        </is>
      </c>
      <c r="AV99" s="48" t="inlineStr">
        <is>
          <t>NA - Tutor</t>
        </is>
      </c>
      <c r="AW99" s="48" t="inlineStr">
        <is>
          <t>Reading; Politics; Music</t>
        </is>
      </c>
      <c r="AX99" s="48" t="inlineStr">
        <is>
          <t>NA - Tutor</t>
        </is>
      </c>
      <c r="AY99" s="48" t="inlineStr">
        <is>
          <t>NA - RELT Member Verified</t>
        </is>
      </c>
      <c r="AZ99" s="48" t="inlineStr">
        <is>
          <t>No</t>
        </is>
      </c>
      <c r="BA99" s="48" t="inlineStr">
        <is>
          <t>Lina Young</t>
        </is>
      </c>
      <c r="BB99" s="48" t="inlineStr">
        <is>
          <t>Manager</t>
        </is>
      </c>
      <c r="BC99" s="48" t="inlineStr">
        <is>
          <t>mark.fernando597@example.com</t>
        </is>
      </c>
      <c r="BD99" s="48" t="inlineStr">
        <is>
          <t>Pending</t>
        </is>
      </c>
      <c r="BE99" s="48" t="inlineStr"/>
      <c r="BF99" s="48" t="inlineStr"/>
      <c r="BG99" s="48" t="inlineStr">
        <is>
          <t>Yes</t>
        </is>
      </c>
      <c r="BH99" s="48" t="inlineStr">
        <is>
          <t>Adults Only</t>
        </is>
      </c>
      <c r="BI99" s="48" t="inlineStr">
        <is>
          <t>Grandmothers for Refugees</t>
        </is>
      </c>
      <c r="BJ99" s="48" t="inlineStr">
        <is>
          <t>THET Moh Moh</t>
        </is>
      </c>
      <c r="BK99" s="48" t="inlineStr">
        <is>
          <t>SHANAHAN Jack</t>
        </is>
      </c>
      <c r="BL99" s="48" t="inlineStr">
        <is>
          <t>Synthetic test record.</t>
        </is>
      </c>
      <c r="BM99" s="48" t="inlineStr"/>
      <c r="BN99" s="48">
        <f>TRIM(IF(AND($H99="Student",$J99="ADM-ACT-MAT-CNE"),"Invalid: Student cannot be CNE. ","")&amp;IF(AND($H99="Student",ISNUMBER($O99)),"Check: capacity set for a Student. ","")&amp;IF(AND(LEFT($J99,11)="ADM-ACT-MAT",$P99=0),"Check: matched status but 0 active pairings. ","")&amp;IF(AND($H99="Tutor",ISNUMBER($O99),$P99&gt;$O99),"Check: pairings exceed capacity. ","")&amp;IF(AND($BH99="Everyone",NOT(AND($BD99="Yes",$BG99="Yes"))),"Check: approved to tutor children but WWCC not provided/confirmed. ","")&amp;IF(AND($P99&gt;0,NOT(AND(OR(LEFT($AY99,3)="Yes",LEFT($AY99,2)="NA"),OR(LEFT($AZ99,3)="Yes",LEFT($AZ99,2)="NA")))),"Matched but vetting incomplete (interview/reference). ","")&amp;IF(COUNTIF($B$3:$B$600,$B99)&gt;1,"Duplicate participant name. ",""))</f>
        <v/>
      </c>
      <c r="BO99" s="48" t="inlineStr"/>
      <c r="BP99" s="48" t="inlineStr"/>
      <c r="BQ99" s="48" t="inlineStr"/>
      <c r="BR99" s="48" t="inlineStr"/>
      <c r="BS99" s="48" t="inlineStr"/>
      <c r="BT99" s="48" t="inlineStr"/>
      <c r="BU99" s="48" t="inlineStr"/>
      <c r="BV99" s="48" t="inlineStr"/>
      <c r="BW99" s="48" t="inlineStr"/>
      <c r="BX99" s="48" t="inlineStr"/>
      <c r="BY99" s="48" t="inlineStr"/>
      <c r="BZ99" s="48" t="inlineStr"/>
      <c r="CA99" s="48" t="inlineStr"/>
      <c r="CB99" s="48" t="inlineStr"/>
      <c r="CC99" s="48" t="inlineStr"/>
      <c r="CD99" s="48" t="inlineStr"/>
      <c r="CE99" s="48" t="inlineStr"/>
      <c r="CF99" s="48" t="inlineStr"/>
      <c r="CG99" s="48" t="inlineStr"/>
      <c r="CH99" s="48" t="inlineStr"/>
      <c r="CI99" s="48" t="inlineStr"/>
      <c r="CJ99" s="48" t="inlineStr"/>
      <c r="CK99" s="48" t="inlineStr"/>
      <c r="CL99" s="48" t="inlineStr"/>
      <c r="CM99" s="48" t="inlineStr"/>
      <c r="CN99" s="48" t="inlineStr"/>
      <c r="CO99" s="48" t="inlineStr"/>
      <c r="CP99" s="48" t="inlineStr"/>
      <c r="CQ99" s="48" t="inlineStr"/>
      <c r="CR99" s="48" t="inlineStr"/>
      <c r="CS99" s="48">
        <f>IF(LEFT($J99,3)="ERR",0,1)</f>
        <v/>
      </c>
      <c r="CT99" s="48">
        <f>IF(LEFT($J99,3)="ADM",1,0)</f>
        <v/>
      </c>
      <c r="CU99" s="48">
        <f>IF(OR($J99="ADM-ACT-MAT-CNE",$J99="ADM-ACT-MAT-CE",$J99="ADM-INACT-M&amp;T"),1,0)</f>
        <v/>
      </c>
      <c r="CV99" s="48">
        <f>IF(AND(CU99=1,ISNUMBER(M99),ISNUMBER(I99)),M99-I99,"")</f>
        <v/>
      </c>
      <c r="CW99" s="48">
        <f>IF(ISNUMBER(I99),TODAY()-I99,"")</f>
        <v/>
      </c>
      <c r="CX99" s="48">
        <f>IF(ISNUMBER(I99),DATE(YEAR(I99),MONTH(I99),1),"")</f>
        <v/>
      </c>
      <c r="CY99" s="48">
        <f>IFERROR(DATEDIF(AK99,TODAY(),"y"),"")</f>
        <v/>
      </c>
      <c r="CZ99" s="48">
        <f>IF(CY99="","",IF(CY99&lt;28,"18-27",IF(CY99&lt;38,"28-37",IF(CY99&lt;48,"38-47",IF(CY99&lt;58,"48-57",IF(CY99&lt;68,"58-67",IF(CY99&lt;78,"68-77","78+")))))) </f>
        <v/>
      </c>
      <c r="DA99" s="48">
        <f>IF(AND(BQ99&lt;&gt;"",BR99=""),N(BS99),0)+IF(AND(BW99&lt;&gt;"",BX99=""),N(BY99),0)+IF(AND(CC99&lt;&gt;"",CD99=""),N(CE99),0)+IF(AND(CI99&lt;&gt;"",CJ99=""),N(CK99),0)+IF(AND(CO99&lt;&gt;"",CP99=""),N(CQ99),0)</f>
        <v/>
      </c>
      <c r="DB99" s="48">
        <f>ROUND(IF(BQ99&lt;&gt;"",N(BS99)*MAX(0,((IF(BR99="",TODAY(),BR99))-BQ99)/7),0)+IF(BW99&lt;&gt;"",N(BY99)*MAX(0,((IF(BX99="",TODAY(),BX99))-BW99)/7),0)+IF(CC99&lt;&gt;"",N(CE99)*MAX(0,((IF(CD99="",TODAY(),CD99))-CC99)/7),0)+IF(CI99&lt;&gt;"",N(CK99)*MAX(0,((IF(CJ99="",TODAY(),CJ99))-CI99)/7),0)+IF(CO99&lt;&gt;"",N(CQ99)*MAX(0,((IF(CP99="",TODAY(),CP99))-CO99)/7),0),1)</f>
        <v/>
      </c>
      <c r="DC99" s="48">
        <f>IF(OR(TRIM(X99)="",TRIM(X99)="NA;",TRIM(X99)="NA"),0,1)</f>
        <v/>
      </c>
      <c r="DD99" s="48">
        <f>IF(OR(TRIM(Y99)="",TRIM(Y99)="NA;",TRIM(Y99)="NA"),0,1)</f>
        <v/>
      </c>
      <c r="DE99" s="48">
        <f>IF(OR(TRIM(Z99)="",TRIM(Z99)="NA;",TRIM(Z99)="NA"),0,1)</f>
        <v/>
      </c>
      <c r="DF99" s="48">
        <f>IF(OR(TRIM(AA99)="",TRIM(AA99)="NA;",TRIM(AA99)="NA"),0,1)</f>
        <v/>
      </c>
      <c r="DG99" s="48">
        <f>IF(OR(TRIM(AB99)="",TRIM(AB99)="NA;",TRIM(AB99)="NA"),0,1)</f>
        <v/>
      </c>
      <c r="DH99" s="48">
        <f>IF(OR(TRIM(AC99)="",TRIM(AC99)="NA;",TRIM(AC99)="NA"),0,1)</f>
        <v/>
      </c>
      <c r="DI99" s="48">
        <f>IF(OR(TRIM(AD99)="",TRIM(AD99)="NA;",TRIM(AD99)="NA"),0,1)</f>
        <v/>
      </c>
      <c r="DJ99" s="48">
        <f>TRIM(IF(DC99=1,"Mon ","")&amp;IF(DD99=1,"Tue ","")&amp;IF(DE99=1,"Wed ","")&amp;IF(DF99=1,"Thu ","")&amp;IF(DG99=1,"Fri ","")&amp;IF(DH99=1,"Sat ","")&amp;IF(DI99=1,"Sun ",""))</f>
        <v/>
      </c>
    </row>
    <row r="100">
      <c r="A100" s="48" t="inlineStr">
        <is>
          <t>T-N-00048</t>
        </is>
      </c>
      <c r="B100" s="48" t="inlineStr">
        <is>
          <t>James Garcia</t>
        </is>
      </c>
      <c r="C100" s="48" t="inlineStr">
        <is>
          <t>james.garcia98@example.com</t>
        </is>
      </c>
      <c r="D100" s="48" t="inlineStr">
        <is>
          <t>+61 445 228 762</t>
        </is>
      </c>
      <c r="E100" s="48" t="inlineStr">
        <is>
          <t>Reza Levi</t>
        </is>
      </c>
      <c r="F100" s="48" t="inlineStr">
        <is>
          <t>+61 472 914 928</t>
        </is>
      </c>
      <c r="G100" s="48" t="inlineStr">
        <is>
          <t>Adult Child</t>
        </is>
      </c>
      <c r="H100" s="48" t="inlineStr">
        <is>
          <t>Tutor</t>
        </is>
      </c>
      <c r="I100" s="49" t="n">
        <v>45995</v>
      </c>
      <c r="J100" s="48" t="inlineStr">
        <is>
          <t>NADM-UNP</t>
        </is>
      </c>
      <c r="K100" s="48">
        <f>IFERROR(VLOOKUP(J100,'(A) Introduction'!$B$35:$C$45,2,FALSE),"")</f>
        <v/>
      </c>
      <c r="L100" s="48" t="inlineStr">
        <is>
          <t>No</t>
        </is>
      </c>
      <c r="M100" s="48" t="inlineStr"/>
      <c r="N100" s="48" t="inlineStr"/>
      <c r="O100" s="48" t="n">
        <v>2</v>
      </c>
      <c r="P100" s="48">
        <f>IF($H100="Tutor",((BQ100&lt;&gt;"")*(BR100=""))+((BW100&lt;&gt;"")*(BX100=""))+((CC100&lt;&gt;"")*(CD100=""))+((CI100&lt;&gt;"")*(CJ100=""))+((CO100&lt;&gt;"")*(CP100="")),SUMPRODUCT(--($BO$3:$BO$202=$A100),--($BR$3:$BR$202=""))+SUMPRODUCT(--($BU$3:$BU$202=$A100),--($BX$3:$BX$202=""))+SUMPRODUCT(--($CA$3:$CA$202=$A100),--($CD$3:$CD$202=""))+SUMPRODUCT(--($CG$3:$CG$202=$A100),--($CJ$3:$CJ$202=""))+SUMPRODUCT(--($CM$3:$CM$202=$A100),--($CP$3:$CP$202="")))</f>
        <v/>
      </c>
      <c r="Q100" s="48">
        <f>IF($H100="Tutor",(BQ100&lt;&gt;"")+(BW100&lt;&gt;"")+(CC100&lt;&gt;"")+(CI100&lt;&gt;"")+(CO100&lt;&gt;""),SUMPRODUCT(--($BO$3:$BO$202=$A100))+SUMPRODUCT(--($BU$3:$BU$202=$A100))+SUMPRODUCT(--($CA$3:$CA$202=$A100))+SUMPRODUCT(--($CG$3:$CG$202=$A100))+SUMPRODUCT(--($CM$3:$CM$202=$A100)))</f>
        <v/>
      </c>
      <c r="R100" s="48">
        <f>IF($H100="Tutor",TRIM(IF(AND(BQ100&lt;&gt;"",BR100=""),BP100&amp;"; ","")&amp;IF(AND(BW100&lt;&gt;"",BX100=""),BV100&amp;"; ","")&amp;IF(AND(CC100&lt;&gt;"",CD100=""),CB100&amp;"; ","")&amp;IF(AND(CI100&lt;&gt;"",CJ100=""),CH100&amp;"; ","")&amp;IF(AND(CO100&lt;&gt;"",CP100=""),CN100&amp;"; ","")),IFERROR(INDEX($A$3:$B$202,(SUMPRODUCT(($BO$3:$BO$202=$A100)*($BR$3:$BR$202="")*ROW($BO$3:$BO$202))+SUMPRODUCT(($BU$3:$BU$202=$A100)*($BX$3:$BX$202="")*ROW($BU$3:$BU$202))+SUMPRODUCT(($CA$3:$CA$202=$A100)*($CD$3:$CD$202="")*ROW($CA$3:$CA$202))+SUMPRODUCT(($CG$3:$CG$202=$A100)*($CJ$3:$CJ$202="")*ROW($CG$3:$CG$202))+SUMPRODUCT(($CM$3:$CM$202=$A100)*($CP$3:$CP$202="")*ROW($CM$3:$CM$202)))-2,2),""))</f>
        <v/>
      </c>
      <c r="S100" s="48" t="inlineStr">
        <is>
          <t>Not Provided</t>
        </is>
      </c>
      <c r="T100" s="48" t="inlineStr"/>
      <c r="U100" s="48" t="inlineStr"/>
      <c r="V100" s="48" t="inlineStr"/>
      <c r="W100" s="48" t="inlineStr">
        <is>
          <t>AWST (UTC+8)</t>
        </is>
      </c>
      <c r="X100" s="48" t="inlineStr">
        <is>
          <t>6am-9am;9am-12pm;</t>
        </is>
      </c>
      <c r="Y100" s="48" t="inlineStr">
        <is>
          <t>6am-9am;9am-12pm;</t>
        </is>
      </c>
      <c r="Z100" s="48" t="inlineStr">
        <is>
          <t>3pm-6pm;</t>
        </is>
      </c>
      <c r="AA100" s="48" t="inlineStr">
        <is>
          <t>3pm-6pm;</t>
        </is>
      </c>
      <c r="AB100" s="48" t="inlineStr">
        <is>
          <t>6pm-9pm;</t>
        </is>
      </c>
      <c r="AC100" s="48" t="inlineStr">
        <is>
          <t>6pm-9pm;</t>
        </is>
      </c>
      <c r="AD100" s="48" t="inlineStr">
        <is>
          <t>6pm-9pm;</t>
        </is>
      </c>
      <c r="AE100" s="48" t="inlineStr">
        <is>
          <t>Online</t>
        </is>
      </c>
      <c r="AF100" s="48" t="inlineStr">
        <is>
          <t>NA - Tutor</t>
        </is>
      </c>
      <c r="AG100" s="48" t="inlineStr">
        <is>
          <t>Australia</t>
        </is>
      </c>
      <c r="AH100" s="48" t="inlineStr">
        <is>
          <t>New South Wales</t>
        </is>
      </c>
      <c r="AI100" s="48" t="inlineStr">
        <is>
          <t>Eastlakes</t>
        </is>
      </c>
      <c r="AJ100" s="48" t="inlineStr">
        <is>
          <t>2018</t>
        </is>
      </c>
      <c r="AK100" s="49" t="n">
        <v>36841</v>
      </c>
      <c r="AL100" s="48" t="inlineStr">
        <is>
          <t>Other</t>
        </is>
      </c>
      <c r="AM100" s="48" t="inlineStr">
        <is>
          <t>NA</t>
        </is>
      </c>
      <c r="AN100" s="48" t="inlineStr">
        <is>
          <t>NA - Tutor</t>
        </is>
      </c>
      <c r="AO100" s="48" t="inlineStr">
        <is>
          <t>Low</t>
        </is>
      </c>
      <c r="AP100" s="48" t="inlineStr">
        <is>
          <t>China</t>
        </is>
      </c>
      <c r="AQ100" s="48" t="inlineStr">
        <is>
          <t>NA</t>
        </is>
      </c>
      <c r="AR100" s="48" t="inlineStr">
        <is>
          <t>English (C2)</t>
        </is>
      </c>
      <c r="AS100" s="48" t="inlineStr">
        <is>
          <t>Christian (Orthodox)</t>
        </is>
      </c>
      <c r="AT100" s="48" t="inlineStr">
        <is>
          <t>Military &amp; Public Safety</t>
        </is>
      </c>
      <c r="AU100" s="48" t="inlineStr">
        <is>
          <t>Teacher</t>
        </is>
      </c>
      <c r="AV100" s="48" t="inlineStr">
        <is>
          <t>NA - Tutor</t>
        </is>
      </c>
      <c r="AW100" s="48" t="inlineStr">
        <is>
          <t>Gardening; Cooking; Walking</t>
        </is>
      </c>
      <c r="AX100" s="48" t="inlineStr">
        <is>
          <t>NA - Tutor</t>
        </is>
      </c>
      <c r="AY100" s="48" t="inlineStr">
        <is>
          <t>NA - RELT Member Verified</t>
        </is>
      </c>
      <c r="AZ100" s="48" t="inlineStr">
        <is>
          <t>No</t>
        </is>
      </c>
      <c r="BA100" s="48" t="inlineStr">
        <is>
          <t>Sofia Marks</t>
        </is>
      </c>
      <c r="BB100" s="48" t="inlineStr">
        <is>
          <t>Manager</t>
        </is>
      </c>
      <c r="BC100" s="48" t="inlineStr">
        <is>
          <t>luke.garcia598@example.com</t>
        </is>
      </c>
      <c r="BD100" s="48" t="inlineStr">
        <is>
          <t>Yes</t>
        </is>
      </c>
      <c r="BE100" s="48" t="inlineStr">
        <is>
          <t>WWC1536367E</t>
        </is>
      </c>
      <c r="BF100" s="49" t="n">
        <v>46714</v>
      </c>
      <c r="BG100" s="48" t="inlineStr">
        <is>
          <t>Yes</t>
        </is>
      </c>
      <c r="BH100" s="48" t="inlineStr">
        <is>
          <t>Everyone</t>
        </is>
      </c>
      <c r="BI100" s="48" t="inlineStr">
        <is>
          <t>CareerSeekers</t>
        </is>
      </c>
      <c r="BJ100" s="48" t="inlineStr">
        <is>
          <t>HALLORAN Isobel</t>
        </is>
      </c>
      <c r="BK100" s="48" t="inlineStr">
        <is>
          <t>HERVIR Oliver</t>
        </is>
      </c>
      <c r="BL100" s="48" t="inlineStr">
        <is>
          <t>Synthetic test record.</t>
        </is>
      </c>
      <c r="BM100" s="48" t="inlineStr"/>
      <c r="BN100" s="48">
        <f>TRIM(IF(AND($H100="Student",$J100="ADM-ACT-MAT-CNE"),"Invalid: Student cannot be CNE. ","")&amp;IF(AND($H100="Student",ISNUMBER($O100)),"Check: capacity set for a Student. ","")&amp;IF(AND(LEFT($J100,11)="ADM-ACT-MAT",$P100=0),"Check: matched status but 0 active pairings. ","")&amp;IF(AND($H100="Tutor",ISNUMBER($O100),$P100&gt;$O100),"Check: pairings exceed capacity. ","")&amp;IF(AND($BH100="Everyone",NOT(AND($BD100="Yes",$BG100="Yes"))),"Check: approved to tutor children but WWCC not provided/confirmed. ","")&amp;IF(AND($P100&gt;0,NOT(AND(OR(LEFT($AY100,3)="Yes",LEFT($AY100,2)="NA"),OR(LEFT($AZ100,3)="Yes",LEFT($AZ100,2)="NA")))),"Matched but vetting incomplete (interview/reference). ","")&amp;IF(COUNTIF($B$3:$B$600,$B100)&gt;1,"Duplicate participant name. ",""))</f>
        <v/>
      </c>
      <c r="BO100" s="48" t="inlineStr"/>
      <c r="BP100" s="48" t="inlineStr"/>
      <c r="BQ100" s="48" t="inlineStr"/>
      <c r="BR100" s="48" t="inlineStr"/>
      <c r="BS100" s="48" t="inlineStr"/>
      <c r="BT100" s="48" t="inlineStr"/>
      <c r="BU100" s="48" t="inlineStr"/>
      <c r="BV100" s="48" t="inlineStr"/>
      <c r="BW100" s="48" t="inlineStr"/>
      <c r="BX100" s="48" t="inlineStr"/>
      <c r="BY100" s="48" t="inlineStr"/>
      <c r="BZ100" s="48" t="inlineStr"/>
      <c r="CA100" s="48" t="inlineStr"/>
      <c r="CB100" s="48" t="inlineStr"/>
      <c r="CC100" s="48" t="inlineStr"/>
      <c r="CD100" s="48" t="inlineStr"/>
      <c r="CE100" s="48" t="inlineStr"/>
      <c r="CF100" s="48" t="inlineStr"/>
      <c r="CG100" s="48" t="inlineStr"/>
      <c r="CH100" s="48" t="inlineStr"/>
      <c r="CI100" s="48" t="inlineStr"/>
      <c r="CJ100" s="48" t="inlineStr"/>
      <c r="CK100" s="48" t="inlineStr"/>
      <c r="CL100" s="48" t="inlineStr"/>
      <c r="CM100" s="48" t="inlineStr"/>
      <c r="CN100" s="48" t="inlineStr"/>
      <c r="CO100" s="48" t="inlineStr"/>
      <c r="CP100" s="48" t="inlineStr"/>
      <c r="CQ100" s="48" t="inlineStr"/>
      <c r="CR100" s="48" t="inlineStr"/>
      <c r="CS100" s="48">
        <f>IF(LEFT($J100,3)="ERR",0,1)</f>
        <v/>
      </c>
      <c r="CT100" s="48">
        <f>IF(LEFT($J100,3)="ADM",1,0)</f>
        <v/>
      </c>
      <c r="CU100" s="48">
        <f>IF(OR($J100="ADM-ACT-MAT-CNE",$J100="ADM-ACT-MAT-CE",$J100="ADM-INACT-M&amp;T"),1,0)</f>
        <v/>
      </c>
      <c r="CV100" s="48">
        <f>IF(AND(CU100=1,ISNUMBER(M100),ISNUMBER(I100)),M100-I100,"")</f>
        <v/>
      </c>
      <c r="CW100" s="48">
        <f>IF(ISNUMBER(I100),TODAY()-I100,"")</f>
        <v/>
      </c>
      <c r="CX100" s="48">
        <f>IF(ISNUMBER(I100),DATE(YEAR(I100),MONTH(I100),1),"")</f>
        <v/>
      </c>
      <c r="CY100" s="48">
        <f>IFERROR(DATEDIF(AK100,TODAY(),"y"),"")</f>
        <v/>
      </c>
      <c r="CZ100" s="48">
        <f>IF(CY100="","",IF(CY100&lt;28,"18-27",IF(CY100&lt;38,"28-37",IF(CY100&lt;48,"38-47",IF(CY100&lt;58,"48-57",IF(CY100&lt;68,"58-67",IF(CY100&lt;78,"68-77","78+")))))) </f>
        <v/>
      </c>
      <c r="DA100" s="48">
        <f>IF(AND(BQ100&lt;&gt;"",BR100=""),N(BS100),0)+IF(AND(BW100&lt;&gt;"",BX100=""),N(BY100),0)+IF(AND(CC100&lt;&gt;"",CD100=""),N(CE100),0)+IF(AND(CI100&lt;&gt;"",CJ100=""),N(CK100),0)+IF(AND(CO100&lt;&gt;"",CP100=""),N(CQ100),0)</f>
        <v/>
      </c>
      <c r="DB100" s="48">
        <f>ROUND(IF(BQ100&lt;&gt;"",N(BS100)*MAX(0,((IF(BR100="",TODAY(),BR100))-BQ100)/7),0)+IF(BW100&lt;&gt;"",N(BY100)*MAX(0,((IF(BX100="",TODAY(),BX100))-BW100)/7),0)+IF(CC100&lt;&gt;"",N(CE100)*MAX(0,((IF(CD100="",TODAY(),CD100))-CC100)/7),0)+IF(CI100&lt;&gt;"",N(CK100)*MAX(0,((IF(CJ100="",TODAY(),CJ100))-CI100)/7),0)+IF(CO100&lt;&gt;"",N(CQ100)*MAX(0,((IF(CP100="",TODAY(),CP100))-CO100)/7),0),1)</f>
        <v/>
      </c>
      <c r="DC100" s="48">
        <f>IF(OR(TRIM(X100)="",TRIM(X100)="NA;",TRIM(X100)="NA"),0,1)</f>
        <v/>
      </c>
      <c r="DD100" s="48">
        <f>IF(OR(TRIM(Y100)="",TRIM(Y100)="NA;",TRIM(Y100)="NA"),0,1)</f>
        <v/>
      </c>
      <c r="DE100" s="48">
        <f>IF(OR(TRIM(Z100)="",TRIM(Z100)="NA;",TRIM(Z100)="NA"),0,1)</f>
        <v/>
      </c>
      <c r="DF100" s="48">
        <f>IF(OR(TRIM(AA100)="",TRIM(AA100)="NA;",TRIM(AA100)="NA"),0,1)</f>
        <v/>
      </c>
      <c r="DG100" s="48">
        <f>IF(OR(TRIM(AB100)="",TRIM(AB100)="NA;",TRIM(AB100)="NA"),0,1)</f>
        <v/>
      </c>
      <c r="DH100" s="48">
        <f>IF(OR(TRIM(AC100)="",TRIM(AC100)="NA;",TRIM(AC100)="NA"),0,1)</f>
        <v/>
      </c>
      <c r="DI100" s="48">
        <f>IF(OR(TRIM(AD100)="",TRIM(AD100)="NA;",TRIM(AD100)="NA"),0,1)</f>
        <v/>
      </c>
      <c r="DJ100" s="48">
        <f>TRIM(IF(DC100=1,"Mon ","")&amp;IF(DD100=1,"Tue ","")&amp;IF(DE100=1,"Wed ","")&amp;IF(DF100=1,"Thu ","")&amp;IF(DG100=1,"Fri ","")&amp;IF(DH100=1,"Sat ","")&amp;IF(DI100=1,"Sun ",""))</f>
        <v/>
      </c>
    </row>
    <row r="101">
      <c r="A101" s="48" t="inlineStr">
        <is>
          <t>T-N-00049</t>
        </is>
      </c>
      <c r="B101" s="48" t="inlineStr">
        <is>
          <t>Iryna Fernando</t>
        </is>
      </c>
      <c r="C101" s="48" t="inlineStr">
        <is>
          <t>iryna.fernando99@example.com</t>
        </is>
      </c>
      <c r="D101" s="48" t="inlineStr">
        <is>
          <t>+61 440 649 059</t>
        </is>
      </c>
      <c r="E101" s="48" t="inlineStr">
        <is>
          <t>Mark Hadaya</t>
        </is>
      </c>
      <c r="F101" s="48" t="inlineStr">
        <is>
          <t>+61 480 751 254</t>
        </is>
      </c>
      <c r="G101" s="48" t="inlineStr">
        <is>
          <t>Parent</t>
        </is>
      </c>
      <c r="H101" s="48" t="inlineStr">
        <is>
          <t>Tutor</t>
        </is>
      </c>
      <c r="I101" s="49" t="n">
        <v>45997</v>
      </c>
      <c r="J101" s="48" t="inlineStr">
        <is>
          <t>ADM-ACT-MAT-CNE</t>
        </is>
      </c>
      <c r="K101" s="48">
        <f>IFERROR(VLOOKUP(J101,'(A) Introduction'!$B$35:$C$45,2,FALSE),"")</f>
        <v/>
      </c>
      <c r="L101" s="48" t="inlineStr">
        <is>
          <t>No</t>
        </is>
      </c>
      <c r="M101" s="48" t="inlineStr"/>
      <c r="N101" s="48" t="inlineStr"/>
      <c r="O101" s="48" t="n">
        <v>3</v>
      </c>
      <c r="P101" s="48">
        <f>IF($H101="Tutor",((BQ101&lt;&gt;"")*(BR101=""))+((BW101&lt;&gt;"")*(BX101=""))+((CC101&lt;&gt;"")*(CD101=""))+((CI101&lt;&gt;"")*(CJ101=""))+((CO101&lt;&gt;"")*(CP101="")),SUMPRODUCT(--($BO$3:$BO$202=$A101),--($BR$3:$BR$202=""))+SUMPRODUCT(--($BU$3:$BU$202=$A101),--($BX$3:$BX$202=""))+SUMPRODUCT(--($CA$3:$CA$202=$A101),--($CD$3:$CD$202=""))+SUMPRODUCT(--($CG$3:$CG$202=$A101),--($CJ$3:$CJ$202=""))+SUMPRODUCT(--($CM$3:$CM$202=$A101),--($CP$3:$CP$202="")))</f>
        <v/>
      </c>
      <c r="Q101" s="48">
        <f>IF($H101="Tutor",(BQ101&lt;&gt;"")+(BW101&lt;&gt;"")+(CC101&lt;&gt;"")+(CI101&lt;&gt;"")+(CO101&lt;&gt;""),SUMPRODUCT(--($BO$3:$BO$202=$A101))+SUMPRODUCT(--($BU$3:$BU$202=$A101))+SUMPRODUCT(--($CA$3:$CA$202=$A101))+SUMPRODUCT(--($CG$3:$CG$202=$A101))+SUMPRODUCT(--($CM$3:$CM$202=$A101)))</f>
        <v/>
      </c>
      <c r="R101" s="48">
        <f>IF($H101="Tutor",TRIM(IF(AND(BQ101&lt;&gt;"",BR101=""),BP101&amp;"; ","")&amp;IF(AND(BW101&lt;&gt;"",BX101=""),BV101&amp;"; ","")&amp;IF(AND(CC101&lt;&gt;"",CD101=""),CB101&amp;"; ","")&amp;IF(AND(CI101&lt;&gt;"",CJ101=""),CH101&amp;"; ","")&amp;IF(AND(CO101&lt;&gt;"",CP101=""),CN101&amp;"; ","")),IFERROR(INDEX($A$3:$B$202,(SUMPRODUCT(($BO$3:$BO$202=$A101)*($BR$3:$BR$202="")*ROW($BO$3:$BO$202))+SUMPRODUCT(($BU$3:$BU$202=$A101)*($BX$3:$BX$202="")*ROW($BU$3:$BU$202))+SUMPRODUCT(($CA$3:$CA$202=$A101)*($CD$3:$CD$202="")*ROW($CA$3:$CA$202))+SUMPRODUCT(($CG$3:$CG$202=$A101)*($CJ$3:$CJ$202="")*ROW($CG$3:$CG$202))+SUMPRODUCT(($CM$3:$CM$202=$A101)*($CP$3:$CP$202="")*ROW($CM$3:$CM$202)))-2,2),""))</f>
        <v/>
      </c>
      <c r="S101" s="48" t="inlineStr">
        <is>
          <t>Not Provided</t>
        </is>
      </c>
      <c r="T101" s="48" t="inlineStr"/>
      <c r="U101" s="48" t="inlineStr"/>
      <c r="V101" s="49" t="n">
        <v>46016</v>
      </c>
      <c r="W101" s="48" t="inlineStr">
        <is>
          <t>AEST (UTC+10)</t>
        </is>
      </c>
      <c r="X101" s="48" t="inlineStr">
        <is>
          <t>12pm-3pm;</t>
        </is>
      </c>
      <c r="Y101" s="48" t="inlineStr">
        <is>
          <t>9am-12pm;</t>
        </is>
      </c>
      <c r="Z101" s="48" t="inlineStr">
        <is>
          <t>9am-12pm;</t>
        </is>
      </c>
      <c r="AA101" s="48" t="inlineStr">
        <is>
          <t>6pm-9pm;</t>
        </is>
      </c>
      <c r="AB101" s="48" t="inlineStr">
        <is>
          <t>6pm-9pm;</t>
        </is>
      </c>
      <c r="AC101" s="48" t="inlineStr">
        <is>
          <t>9am-12pm;</t>
        </is>
      </c>
      <c r="AD101" s="48" t="inlineStr">
        <is>
          <t>12pm-3pm;6pm-9pm;</t>
        </is>
      </c>
      <c r="AE101" s="48" t="inlineStr">
        <is>
          <t>Either</t>
        </is>
      </c>
      <c r="AF101" s="48" t="inlineStr">
        <is>
          <t>NA - Tutor</t>
        </is>
      </c>
      <c r="AG101" s="48" t="inlineStr">
        <is>
          <t>Australia</t>
        </is>
      </c>
      <c r="AH101" s="48" t="inlineStr">
        <is>
          <t>New South Wales</t>
        </is>
      </c>
      <c r="AI101" s="48" t="inlineStr">
        <is>
          <t>Greenacre</t>
        </is>
      </c>
      <c r="AJ101" s="48" t="inlineStr">
        <is>
          <t>2190</t>
        </is>
      </c>
      <c r="AK101" s="49" t="n">
        <v>29682</v>
      </c>
      <c r="AL101" s="48" t="inlineStr">
        <is>
          <t>Male</t>
        </is>
      </c>
      <c r="AM101" s="48" t="inlineStr">
        <is>
          <t>NA</t>
        </is>
      </c>
      <c r="AN101" s="48" t="inlineStr">
        <is>
          <t>NA - Tutor</t>
        </is>
      </c>
      <c r="AO101" s="48" t="inlineStr">
        <is>
          <t>Outstanding</t>
        </is>
      </c>
      <c r="AP101" s="48" t="inlineStr">
        <is>
          <t>China</t>
        </is>
      </c>
      <c r="AQ101" s="48" t="inlineStr">
        <is>
          <t>NA</t>
        </is>
      </c>
      <c r="AR101" s="48" t="inlineStr">
        <is>
          <t>English (C2)</t>
        </is>
      </c>
      <c r="AS101" s="48" t="inlineStr">
        <is>
          <t>Hindu</t>
        </is>
      </c>
      <c r="AT101" s="48" t="inlineStr">
        <is>
          <t>Arts, Media &amp; Design</t>
        </is>
      </c>
      <c r="AU101" s="48" t="inlineStr">
        <is>
          <t>Engineer</t>
        </is>
      </c>
      <c r="AV101" s="48" t="inlineStr">
        <is>
          <t>NA - Tutor</t>
        </is>
      </c>
      <c r="AW101" s="48" t="inlineStr">
        <is>
          <t>Football; Cooking; Family</t>
        </is>
      </c>
      <c r="AX101" s="48" t="inlineStr">
        <is>
          <t>NA - Tutor</t>
        </is>
      </c>
      <c r="AY101" s="48" t="inlineStr">
        <is>
          <t>Yes</t>
        </is>
      </c>
      <c r="AZ101" s="48" t="inlineStr">
        <is>
          <t>No</t>
        </is>
      </c>
      <c r="BA101" s="48" t="inlineStr">
        <is>
          <t>Laura Yang</t>
        </is>
      </c>
      <c r="BB101" s="48" t="inlineStr">
        <is>
          <t>Academic Referee</t>
        </is>
      </c>
      <c r="BC101" s="48" t="inlineStr">
        <is>
          <t>nadia.nguyen599@example.com</t>
        </is>
      </c>
      <c r="BD101" s="48" t="inlineStr">
        <is>
          <t>Yes</t>
        </is>
      </c>
      <c r="BE101" s="48" t="inlineStr">
        <is>
          <t>WWC4803231E</t>
        </is>
      </c>
      <c r="BF101" s="49" t="n">
        <v>46481</v>
      </c>
      <c r="BG101" s="48" t="inlineStr">
        <is>
          <t>No</t>
        </is>
      </c>
      <c r="BH101" s="48" t="inlineStr">
        <is>
          <t>Adults Only</t>
        </is>
      </c>
      <c r="BI101" s="48" t="inlineStr">
        <is>
          <t>University of Sydney (including St. Paul's College)</t>
        </is>
      </c>
      <c r="BJ101" s="48" t="inlineStr">
        <is>
          <t>HERVIR Oliver</t>
        </is>
      </c>
      <c r="BK101" s="48" t="inlineStr">
        <is>
          <t>AGARWAL Akanksha</t>
        </is>
      </c>
      <c r="BL101" s="48" t="inlineStr">
        <is>
          <t>Synthetic test record.</t>
        </is>
      </c>
      <c r="BM101" s="48" t="inlineStr"/>
      <c r="BN101" s="48">
        <f>TRIM(IF(AND($H101="Student",$J101="ADM-ACT-MAT-CNE"),"Invalid: Student cannot be CNE. ","")&amp;IF(AND($H101="Student",ISNUMBER($O101)),"Check: capacity set for a Student. ","")&amp;IF(AND(LEFT($J101,11)="ADM-ACT-MAT",$P101=0),"Check: matched status but 0 active pairings. ","")&amp;IF(AND($H101="Tutor",ISNUMBER($O101),$P101&gt;$O101),"Check: pairings exceed capacity. ","")&amp;IF(AND($BH101="Everyone",NOT(AND($BD101="Yes",$BG101="Yes"))),"Check: approved to tutor children but WWCC not provided/confirmed. ","")&amp;IF(AND($P101&gt;0,NOT(AND(OR(LEFT($AY101,3)="Yes",LEFT($AY101,2)="NA"),OR(LEFT($AZ101,3)="Yes",LEFT($AZ101,2)="NA")))),"Matched but vetting incomplete (interview/reference). ","")&amp;IF(COUNTIF($B$3:$B$600,$B101)&gt;1,"Duplicate participant name. ",""))</f>
        <v/>
      </c>
      <c r="BO101" s="48" t="inlineStr">
        <is>
          <t>S-O-00046</t>
        </is>
      </c>
      <c r="BP101" s="48">
        <f>IFERROR(VLOOKUP(BO101,$A:$B,2,FALSE),"")</f>
        <v/>
      </c>
      <c r="BQ101" s="49" t="n">
        <v>45695</v>
      </c>
      <c r="BR101" s="48" t="inlineStr"/>
      <c r="BS101" s="48" t="n">
        <v>1</v>
      </c>
      <c r="BT101" s="48" t="inlineStr">
        <is>
          <t>HERVIR Oliver</t>
        </is>
      </c>
      <c r="BU101" s="48" t="inlineStr">
        <is>
          <t>S-O-00011</t>
        </is>
      </c>
      <c r="BV101" s="48">
        <f>IFERROR(VLOOKUP(BU101,$A:$B,2,FALSE),"")</f>
        <v/>
      </c>
      <c r="BW101" s="49" t="n">
        <v>45474</v>
      </c>
      <c r="BX101" s="48" t="inlineStr"/>
      <c r="BY101" s="48" t="n">
        <v>1</v>
      </c>
      <c r="BZ101" s="48" t="inlineStr">
        <is>
          <t>HERVIR Oliver</t>
        </is>
      </c>
      <c r="CA101" s="48" t="inlineStr"/>
      <c r="CB101" s="48" t="inlineStr"/>
      <c r="CC101" s="48" t="inlineStr"/>
      <c r="CD101" s="48" t="inlineStr"/>
      <c r="CE101" s="48" t="inlineStr"/>
      <c r="CF101" s="48" t="inlineStr"/>
      <c r="CG101" s="48" t="inlineStr"/>
      <c r="CH101" s="48" t="inlineStr"/>
      <c r="CI101" s="48" t="inlineStr"/>
      <c r="CJ101" s="48" t="inlineStr"/>
      <c r="CK101" s="48" t="inlineStr"/>
      <c r="CL101" s="48" t="inlineStr"/>
      <c r="CM101" s="48" t="inlineStr"/>
      <c r="CN101" s="48" t="inlineStr"/>
      <c r="CO101" s="48" t="inlineStr"/>
      <c r="CP101" s="48" t="inlineStr"/>
      <c r="CQ101" s="48" t="inlineStr"/>
      <c r="CR101" s="48" t="inlineStr"/>
      <c r="CS101" s="48">
        <f>IF(LEFT($J101,3)="ERR",0,1)</f>
        <v/>
      </c>
      <c r="CT101" s="48">
        <f>IF(LEFT($J101,3)="ADM",1,0)</f>
        <v/>
      </c>
      <c r="CU101" s="48">
        <f>IF(OR($J101="ADM-ACT-MAT-CNE",$J101="ADM-ACT-MAT-CE",$J101="ADM-INACT-M&amp;T"),1,0)</f>
        <v/>
      </c>
      <c r="CV101" s="48">
        <f>IF(AND(CU101=1,ISNUMBER(M101),ISNUMBER(I101)),M101-I101,"")</f>
        <v/>
      </c>
      <c r="CW101" s="48">
        <f>IF(ISNUMBER(I101),TODAY()-I101,"")</f>
        <v/>
      </c>
      <c r="CX101" s="48">
        <f>IF(ISNUMBER(I101),DATE(YEAR(I101),MONTH(I101),1),"")</f>
        <v/>
      </c>
      <c r="CY101" s="48">
        <f>IFERROR(DATEDIF(AK101,TODAY(),"y"),"")</f>
        <v/>
      </c>
      <c r="CZ101" s="48">
        <f>IF(CY101="","",IF(CY101&lt;28,"18-27",IF(CY101&lt;38,"28-37",IF(CY101&lt;48,"38-47",IF(CY101&lt;58,"48-57",IF(CY101&lt;68,"58-67",IF(CY101&lt;78,"68-77","78+")))))) </f>
        <v/>
      </c>
      <c r="DA101" s="48">
        <f>IF(AND(BQ101&lt;&gt;"",BR101=""),N(BS101),0)+IF(AND(BW101&lt;&gt;"",BX101=""),N(BY101),0)+IF(AND(CC101&lt;&gt;"",CD101=""),N(CE101),0)+IF(AND(CI101&lt;&gt;"",CJ101=""),N(CK101),0)+IF(AND(CO101&lt;&gt;"",CP101=""),N(CQ101),0)</f>
        <v/>
      </c>
      <c r="DB101" s="48">
        <f>ROUND(IF(BQ101&lt;&gt;"",N(BS101)*MAX(0,((IF(BR101="",TODAY(),BR101))-BQ101)/7),0)+IF(BW101&lt;&gt;"",N(BY101)*MAX(0,((IF(BX101="",TODAY(),BX101))-BW101)/7),0)+IF(CC101&lt;&gt;"",N(CE101)*MAX(0,((IF(CD101="",TODAY(),CD101))-CC101)/7),0)+IF(CI101&lt;&gt;"",N(CK101)*MAX(0,((IF(CJ101="",TODAY(),CJ101))-CI101)/7),0)+IF(CO101&lt;&gt;"",N(CQ101)*MAX(0,((IF(CP101="",TODAY(),CP101))-CO101)/7),0),1)</f>
        <v/>
      </c>
      <c r="DC101" s="48">
        <f>IF(OR(TRIM(X101)="",TRIM(X101)="NA;",TRIM(X101)="NA"),0,1)</f>
        <v/>
      </c>
      <c r="DD101" s="48">
        <f>IF(OR(TRIM(Y101)="",TRIM(Y101)="NA;",TRIM(Y101)="NA"),0,1)</f>
        <v/>
      </c>
      <c r="DE101" s="48">
        <f>IF(OR(TRIM(Z101)="",TRIM(Z101)="NA;",TRIM(Z101)="NA"),0,1)</f>
        <v/>
      </c>
      <c r="DF101" s="48">
        <f>IF(OR(TRIM(AA101)="",TRIM(AA101)="NA;",TRIM(AA101)="NA"),0,1)</f>
        <v/>
      </c>
      <c r="DG101" s="48">
        <f>IF(OR(TRIM(AB101)="",TRIM(AB101)="NA;",TRIM(AB101)="NA"),0,1)</f>
        <v/>
      </c>
      <c r="DH101" s="48">
        <f>IF(OR(TRIM(AC101)="",TRIM(AC101)="NA;",TRIM(AC101)="NA"),0,1)</f>
        <v/>
      </c>
      <c r="DI101" s="48">
        <f>IF(OR(TRIM(AD101)="",TRIM(AD101)="NA;",TRIM(AD101)="NA"),0,1)</f>
        <v/>
      </c>
      <c r="DJ101" s="48">
        <f>TRIM(IF(DC101=1,"Mon ","")&amp;IF(DD101=1,"Tue ","")&amp;IF(DE101=1,"Wed ","")&amp;IF(DF101=1,"Thu ","")&amp;IF(DG101=1,"Fri ","")&amp;IF(DH101=1,"Sat ","")&amp;IF(DI101=1,"Sun ",""))</f>
        <v/>
      </c>
    </row>
    <row r="102">
      <c r="A102" s="48" t="inlineStr">
        <is>
          <t>T-N-00050</t>
        </is>
      </c>
      <c r="B102" s="48" t="inlineStr">
        <is>
          <t>Tariq Lee</t>
        </is>
      </c>
      <c r="C102" s="48" t="inlineStr">
        <is>
          <t>tariq.lee100@example.com</t>
        </is>
      </c>
      <c r="D102" s="48" t="inlineStr">
        <is>
          <t>+61 439 171 066</t>
        </is>
      </c>
      <c r="E102" s="48" t="inlineStr">
        <is>
          <t>Karim Mosquera</t>
        </is>
      </c>
      <c r="F102" s="48" t="inlineStr">
        <is>
          <t>+61 448 897 655</t>
        </is>
      </c>
      <c r="G102" s="48" t="inlineStr">
        <is>
          <t>Sibling</t>
        </is>
      </c>
      <c r="H102" s="48" t="inlineStr">
        <is>
          <t>Tutor</t>
        </is>
      </c>
      <c r="I102" s="49" t="n">
        <v>46000</v>
      </c>
      <c r="J102" s="48" t="inlineStr">
        <is>
          <t>ADM-INACT-M&amp;T</t>
        </is>
      </c>
      <c r="K102" s="48">
        <f>IFERROR(VLOOKUP(J102,'(A) Introduction'!$B$35:$C$45,2,FALSE),"")</f>
        <v/>
      </c>
      <c r="L102" s="48" t="inlineStr">
        <is>
          <t>No</t>
        </is>
      </c>
      <c r="M102" s="48" t="inlineStr"/>
      <c r="N102" s="48" t="inlineStr"/>
      <c r="O102" s="48" t="n">
        <v>1</v>
      </c>
      <c r="P102" s="48">
        <f>IF($H102="Tutor",((BQ102&lt;&gt;"")*(BR102=""))+((BW102&lt;&gt;"")*(BX102=""))+((CC102&lt;&gt;"")*(CD102=""))+((CI102&lt;&gt;"")*(CJ102=""))+((CO102&lt;&gt;"")*(CP102="")),SUMPRODUCT(--($BO$3:$BO$202=$A102),--($BR$3:$BR$202=""))+SUMPRODUCT(--($BU$3:$BU$202=$A102),--($BX$3:$BX$202=""))+SUMPRODUCT(--($CA$3:$CA$202=$A102),--($CD$3:$CD$202=""))+SUMPRODUCT(--($CG$3:$CG$202=$A102),--($CJ$3:$CJ$202=""))+SUMPRODUCT(--($CM$3:$CM$202=$A102),--($CP$3:$CP$202="")))</f>
        <v/>
      </c>
      <c r="Q102" s="48">
        <f>IF($H102="Tutor",(BQ102&lt;&gt;"")+(BW102&lt;&gt;"")+(CC102&lt;&gt;"")+(CI102&lt;&gt;"")+(CO102&lt;&gt;""),SUMPRODUCT(--($BO$3:$BO$202=$A102))+SUMPRODUCT(--($BU$3:$BU$202=$A102))+SUMPRODUCT(--($CA$3:$CA$202=$A102))+SUMPRODUCT(--($CG$3:$CG$202=$A102))+SUMPRODUCT(--($CM$3:$CM$202=$A102)))</f>
        <v/>
      </c>
      <c r="R102" s="48">
        <f>IF($H102="Tutor",TRIM(IF(AND(BQ102&lt;&gt;"",BR102=""),BP102&amp;"; ","")&amp;IF(AND(BW102&lt;&gt;"",BX102=""),BV102&amp;"; ","")&amp;IF(AND(CC102&lt;&gt;"",CD102=""),CB102&amp;"; ","")&amp;IF(AND(CI102&lt;&gt;"",CJ102=""),CH102&amp;"; ","")&amp;IF(AND(CO102&lt;&gt;"",CP102=""),CN102&amp;"; ","")),IFERROR(INDEX($A$3:$B$202,(SUMPRODUCT(($BO$3:$BO$202=$A102)*($BR$3:$BR$202="")*ROW($BO$3:$BO$202))+SUMPRODUCT(($BU$3:$BU$202=$A102)*($BX$3:$BX$202="")*ROW($BU$3:$BU$202))+SUMPRODUCT(($CA$3:$CA$202=$A102)*($CD$3:$CD$202="")*ROW($CA$3:$CA$202))+SUMPRODUCT(($CG$3:$CG$202=$A102)*($CJ$3:$CJ$202="")*ROW($CG$3:$CG$202))+SUMPRODUCT(($CM$3:$CM$202=$A102)*($CP$3:$CP$202="")*ROW($CM$3:$CM$202)))-2,2),""))</f>
        <v/>
      </c>
      <c r="S102" s="48" t="inlineStr">
        <is>
          <t>Not Provided</t>
        </is>
      </c>
      <c r="T102" s="48" t="inlineStr"/>
      <c r="U102" s="48" t="inlineStr"/>
      <c r="V102" s="49" t="n">
        <v>45716</v>
      </c>
      <c r="W102" s="48" t="inlineStr">
        <is>
          <t>AEST (UTC+10)</t>
        </is>
      </c>
      <c r="X102" s="48" t="inlineStr">
        <is>
          <t>6pm-9pm;</t>
        </is>
      </c>
      <c r="Y102" s="48" t="inlineStr">
        <is>
          <t>9am-12pm;12pm-3pm;3pm-6pm;</t>
        </is>
      </c>
      <c r="Z102" s="48" t="inlineStr">
        <is>
          <t>9am-12pm;12pm-3pm;3pm-6pm;</t>
        </is>
      </c>
      <c r="AA102" s="48" t="inlineStr">
        <is>
          <t>6am-9am;9am-12pm;</t>
        </is>
      </c>
      <c r="AB102" s="48" t="inlineStr">
        <is>
          <t>12pm-3pm;6pm-9pm;</t>
        </is>
      </c>
      <c r="AC102" s="48" t="inlineStr">
        <is>
          <t>9am-12pm;</t>
        </is>
      </c>
      <c r="AD102" s="48" t="inlineStr">
        <is>
          <t>6am-9am;9am-12pm;</t>
        </is>
      </c>
      <c r="AE102" s="48" t="inlineStr">
        <is>
          <t>In-Person</t>
        </is>
      </c>
      <c r="AF102" s="48" t="inlineStr">
        <is>
          <t>NA - Tutor</t>
        </is>
      </c>
      <c r="AG102" s="48" t="inlineStr">
        <is>
          <t>Australia</t>
        </is>
      </c>
      <c r="AH102" s="48" t="inlineStr">
        <is>
          <t>Queensland</t>
        </is>
      </c>
      <c r="AI102" s="48" t="inlineStr">
        <is>
          <t>Logan</t>
        </is>
      </c>
      <c r="AJ102" s="48" t="inlineStr">
        <is>
          <t>4114</t>
        </is>
      </c>
      <c r="AK102" s="49" t="n">
        <v>28532</v>
      </c>
      <c r="AL102" s="48" t="inlineStr">
        <is>
          <t>Female</t>
        </is>
      </c>
      <c r="AM102" s="48" t="inlineStr">
        <is>
          <t>NA</t>
        </is>
      </c>
      <c r="AN102" s="48" t="inlineStr">
        <is>
          <t>NA - Tutor</t>
        </is>
      </c>
      <c r="AO102" s="48" t="inlineStr">
        <is>
          <t>Moderate</t>
        </is>
      </c>
      <c r="AP102" s="48" t="inlineStr">
        <is>
          <t>Israel</t>
        </is>
      </c>
      <c r="AQ102" s="48" t="inlineStr">
        <is>
          <t>NA</t>
        </is>
      </c>
      <c r="AR102" s="48" t="inlineStr">
        <is>
          <t>English (C2)</t>
        </is>
      </c>
      <c r="AS102" s="48" t="inlineStr">
        <is>
          <t>Muslim</t>
        </is>
      </c>
      <c r="AT102" s="48" t="inlineStr">
        <is>
          <t>Education &amp; Academia</t>
        </is>
      </c>
      <c r="AU102" s="48" t="inlineStr">
        <is>
          <t>Student</t>
        </is>
      </c>
      <c r="AV102" s="48" t="inlineStr">
        <is>
          <t>NA - Tutor</t>
        </is>
      </c>
      <c r="AW102" s="48" t="inlineStr">
        <is>
          <t>Reading; Politics; Music</t>
        </is>
      </c>
      <c r="AX102" s="48" t="inlineStr">
        <is>
          <t>NA - Tutor</t>
        </is>
      </c>
      <c r="AY102" s="48" t="inlineStr">
        <is>
          <t>Yes</t>
        </is>
      </c>
      <c r="AZ102" s="48" t="inlineStr">
        <is>
          <t>Yes</t>
        </is>
      </c>
      <c r="BA102" s="48" t="inlineStr">
        <is>
          <t>Luke Hall</t>
        </is>
      </c>
      <c r="BB102" s="48" t="inlineStr">
        <is>
          <t>Colleague</t>
        </is>
      </c>
      <c r="BC102" s="48" t="inlineStr">
        <is>
          <t>sarah.rafipour600@example.com</t>
        </is>
      </c>
      <c r="BD102" s="48" t="inlineStr">
        <is>
          <t>Pending</t>
        </is>
      </c>
      <c r="BE102" s="48" t="inlineStr"/>
      <c r="BF102" s="48" t="inlineStr"/>
      <c r="BG102" s="48" t="inlineStr">
        <is>
          <t>Yes</t>
        </is>
      </c>
      <c r="BH102" s="48" t="inlineStr">
        <is>
          <t>Adults Only</t>
        </is>
      </c>
      <c r="BI102" s="48" t="inlineStr">
        <is>
          <t>University of Sydney (including St. Paul's College)</t>
        </is>
      </c>
      <c r="BJ102" s="48" t="inlineStr">
        <is>
          <t>HALLORAN Isobel</t>
        </is>
      </c>
      <c r="BK102" s="48" t="inlineStr">
        <is>
          <t>CROCK Mary</t>
        </is>
      </c>
      <c r="BL102" s="48" t="inlineStr">
        <is>
          <t>Synthetic test record.</t>
        </is>
      </c>
      <c r="BM102" s="48" t="inlineStr"/>
      <c r="BN102" s="48">
        <f>TRIM(IF(AND($H102="Student",$J102="ADM-ACT-MAT-CNE"),"Invalid: Student cannot be CNE. ","")&amp;IF(AND($H102="Student",ISNUMBER($O102)),"Check: capacity set for a Student. ","")&amp;IF(AND(LEFT($J102,11)="ADM-ACT-MAT",$P102=0),"Check: matched status but 0 active pairings. ","")&amp;IF(AND($H102="Tutor",ISNUMBER($O102),$P102&gt;$O102),"Check: pairings exceed capacity. ","")&amp;IF(AND($BH102="Everyone",NOT(AND($BD102="Yes",$BG102="Yes"))),"Check: approved to tutor children but WWCC not provided/confirmed. ","")&amp;IF(AND($P102&gt;0,NOT(AND(OR(LEFT($AY102,3)="Yes",LEFT($AY102,2)="NA"),OR(LEFT($AZ102,3)="Yes",LEFT($AZ102,2)="NA")))),"Matched but vetting incomplete (interview/reference). ","")&amp;IF(COUNTIF($B$3:$B$600,$B102)&gt;1,"Duplicate participant name. ",""))</f>
        <v/>
      </c>
      <c r="BO102" s="48" t="inlineStr">
        <is>
          <t>S-N-00001</t>
        </is>
      </c>
      <c r="BP102" s="48">
        <f>IFERROR(VLOOKUP(BO102,$A:$B,2,FALSE),"")</f>
        <v/>
      </c>
      <c r="BQ102" s="49" t="n">
        <v>45722</v>
      </c>
      <c r="BR102" s="49" t="n">
        <v>45923</v>
      </c>
      <c r="BS102" s="48" t="n">
        <v>1</v>
      </c>
      <c r="BT102" s="48" t="inlineStr">
        <is>
          <t>THET Moh Moh</t>
        </is>
      </c>
      <c r="BU102" s="48" t="inlineStr"/>
      <c r="BV102" s="48" t="inlineStr"/>
      <c r="BW102" s="48" t="inlineStr"/>
      <c r="BX102" s="48" t="inlineStr"/>
      <c r="BY102" s="48" t="inlineStr"/>
      <c r="BZ102" s="48" t="inlineStr"/>
      <c r="CA102" s="48" t="inlineStr"/>
      <c r="CB102" s="48" t="inlineStr"/>
      <c r="CC102" s="48" t="inlineStr"/>
      <c r="CD102" s="48" t="inlineStr"/>
      <c r="CE102" s="48" t="inlineStr"/>
      <c r="CF102" s="48" t="inlineStr"/>
      <c r="CG102" s="48" t="inlineStr"/>
      <c r="CH102" s="48" t="inlineStr"/>
      <c r="CI102" s="48" t="inlineStr"/>
      <c r="CJ102" s="48" t="inlineStr"/>
      <c r="CK102" s="48" t="inlineStr"/>
      <c r="CL102" s="48" t="inlineStr"/>
      <c r="CM102" s="48" t="inlineStr"/>
      <c r="CN102" s="48" t="inlineStr"/>
      <c r="CO102" s="48" t="inlineStr"/>
      <c r="CP102" s="48" t="inlineStr"/>
      <c r="CQ102" s="48" t="inlineStr"/>
      <c r="CR102" s="48" t="inlineStr"/>
      <c r="CS102" s="48">
        <f>IF(LEFT($J102,3)="ERR",0,1)</f>
        <v/>
      </c>
      <c r="CT102" s="48">
        <f>IF(LEFT($J102,3)="ADM",1,0)</f>
        <v/>
      </c>
      <c r="CU102" s="48">
        <f>IF(OR($J102="ADM-ACT-MAT-CNE",$J102="ADM-ACT-MAT-CE",$J102="ADM-INACT-M&amp;T"),1,0)</f>
        <v/>
      </c>
      <c r="CV102" s="48">
        <f>IF(AND(CU102=1,ISNUMBER(M102),ISNUMBER(I102)),M102-I102,"")</f>
        <v/>
      </c>
      <c r="CW102" s="48">
        <f>IF(ISNUMBER(I102),TODAY()-I102,"")</f>
        <v/>
      </c>
      <c r="CX102" s="48">
        <f>IF(ISNUMBER(I102),DATE(YEAR(I102),MONTH(I102),1),"")</f>
        <v/>
      </c>
      <c r="CY102" s="48">
        <f>IFERROR(DATEDIF(AK102,TODAY(),"y"),"")</f>
        <v/>
      </c>
      <c r="CZ102" s="48">
        <f>IF(CY102="","",IF(CY102&lt;28,"18-27",IF(CY102&lt;38,"28-37",IF(CY102&lt;48,"38-47",IF(CY102&lt;58,"48-57",IF(CY102&lt;68,"58-67",IF(CY102&lt;78,"68-77","78+")))))) </f>
        <v/>
      </c>
      <c r="DA102" s="48">
        <f>IF(AND(BQ102&lt;&gt;"",BR102=""),N(BS102),0)+IF(AND(BW102&lt;&gt;"",BX102=""),N(BY102),0)+IF(AND(CC102&lt;&gt;"",CD102=""),N(CE102),0)+IF(AND(CI102&lt;&gt;"",CJ102=""),N(CK102),0)+IF(AND(CO102&lt;&gt;"",CP102=""),N(CQ102),0)</f>
        <v/>
      </c>
      <c r="DB102" s="48">
        <f>ROUND(IF(BQ102&lt;&gt;"",N(BS102)*MAX(0,((IF(BR102="",TODAY(),BR102))-BQ102)/7),0)+IF(BW102&lt;&gt;"",N(BY102)*MAX(0,((IF(BX102="",TODAY(),BX102))-BW102)/7),0)+IF(CC102&lt;&gt;"",N(CE102)*MAX(0,((IF(CD102="",TODAY(),CD102))-CC102)/7),0)+IF(CI102&lt;&gt;"",N(CK102)*MAX(0,((IF(CJ102="",TODAY(),CJ102))-CI102)/7),0)+IF(CO102&lt;&gt;"",N(CQ102)*MAX(0,((IF(CP102="",TODAY(),CP102))-CO102)/7),0),1)</f>
        <v/>
      </c>
      <c r="DC102" s="48">
        <f>IF(OR(TRIM(X102)="",TRIM(X102)="NA;",TRIM(X102)="NA"),0,1)</f>
        <v/>
      </c>
      <c r="DD102" s="48">
        <f>IF(OR(TRIM(Y102)="",TRIM(Y102)="NA;",TRIM(Y102)="NA"),0,1)</f>
        <v/>
      </c>
      <c r="DE102" s="48">
        <f>IF(OR(TRIM(Z102)="",TRIM(Z102)="NA;",TRIM(Z102)="NA"),0,1)</f>
        <v/>
      </c>
      <c r="DF102" s="48">
        <f>IF(OR(TRIM(AA102)="",TRIM(AA102)="NA;",TRIM(AA102)="NA"),0,1)</f>
        <v/>
      </c>
      <c r="DG102" s="48">
        <f>IF(OR(TRIM(AB102)="",TRIM(AB102)="NA;",TRIM(AB102)="NA"),0,1)</f>
        <v/>
      </c>
      <c r="DH102" s="48">
        <f>IF(OR(TRIM(AC102)="",TRIM(AC102)="NA;",TRIM(AC102)="NA"),0,1)</f>
        <v/>
      </c>
      <c r="DI102" s="48">
        <f>IF(OR(TRIM(AD102)="",TRIM(AD102)="NA;",TRIM(AD102)="NA"),0,1)</f>
        <v/>
      </c>
      <c r="DJ102" s="48">
        <f>TRIM(IF(DC102=1,"Mon ","")&amp;IF(DD102=1,"Tue ","")&amp;IF(DE102=1,"Wed ","")&amp;IF(DF102=1,"Thu ","")&amp;IF(DG102=1,"Fri ","")&amp;IF(DH102=1,"Sat ","")&amp;IF(DI102=1,"Sun ",""))</f>
        <v/>
      </c>
    </row>
    <row r="103">
      <c r="A103" s="48" t="inlineStr">
        <is>
          <t>S-O-00001</t>
        </is>
      </c>
      <c r="B103" s="48" t="inlineStr">
        <is>
          <t>Hannah Nguyen</t>
        </is>
      </c>
      <c r="C103" s="48" t="inlineStr">
        <is>
          <t>hannah.nguyen1@example.com</t>
        </is>
      </c>
      <c r="D103" s="48" t="inlineStr">
        <is>
          <t>+61 406 706 118</t>
        </is>
      </c>
      <c r="E103" s="48" t="inlineStr">
        <is>
          <t>Sara Levi</t>
        </is>
      </c>
      <c r="F103" s="48" t="inlineStr">
        <is>
          <t>+61 437 164 040</t>
        </is>
      </c>
      <c r="G103" s="48" t="inlineStr">
        <is>
          <t>Friend</t>
        </is>
      </c>
      <c r="H103" s="48" t="inlineStr">
        <is>
          <t>Student</t>
        </is>
      </c>
      <c r="I103" s="49" t="n">
        <v>45311</v>
      </c>
      <c r="J103" s="48" t="inlineStr">
        <is>
          <t>NADM-REJ-UNSUIT</t>
        </is>
      </c>
      <c r="K103" s="48">
        <f>IFERROR(VLOOKUP(J103,'(A) Introduction'!$B$35:$C$45,2,FALSE),"")</f>
        <v/>
      </c>
      <c r="L103" s="48" t="inlineStr">
        <is>
          <t>No</t>
        </is>
      </c>
      <c r="M103" s="48" t="inlineStr"/>
      <c r="N103" s="48" t="inlineStr"/>
      <c r="O103" s="48" t="inlineStr">
        <is>
          <t>NA</t>
        </is>
      </c>
      <c r="P103" s="48">
        <f>IF($H103="Tutor",((BQ103&lt;&gt;"")*(BR103=""))+((BW103&lt;&gt;"")*(BX103=""))+((CC103&lt;&gt;"")*(CD103=""))+((CI103&lt;&gt;"")*(CJ103=""))+((CO103&lt;&gt;"")*(CP103="")),SUMPRODUCT(--($BO$3:$BO$202=$A103),--($BR$3:$BR$202=""))+SUMPRODUCT(--($BU$3:$BU$202=$A103),--($BX$3:$BX$202=""))+SUMPRODUCT(--($CA$3:$CA$202=$A103),--($CD$3:$CD$202=""))+SUMPRODUCT(--($CG$3:$CG$202=$A103),--($CJ$3:$CJ$202=""))+SUMPRODUCT(--($CM$3:$CM$202=$A103),--($CP$3:$CP$202="")))</f>
        <v/>
      </c>
      <c r="Q103" s="48">
        <f>IF($H103="Tutor",(BQ103&lt;&gt;"")+(BW103&lt;&gt;"")+(CC103&lt;&gt;"")+(CI103&lt;&gt;"")+(CO103&lt;&gt;""),SUMPRODUCT(--($BO$3:$BO$202=$A103))+SUMPRODUCT(--($BU$3:$BU$202=$A103))+SUMPRODUCT(--($CA$3:$CA$202=$A103))+SUMPRODUCT(--($CG$3:$CG$202=$A103))+SUMPRODUCT(--($CM$3:$CM$202=$A103)))</f>
        <v/>
      </c>
      <c r="R103" s="48">
        <f>IF($H103="Tutor",TRIM(IF(AND(BQ103&lt;&gt;"",BR103=""),BP103&amp;"; ","")&amp;IF(AND(BW103&lt;&gt;"",BX103=""),BV103&amp;"; ","")&amp;IF(AND(CC103&lt;&gt;"",CD103=""),CB103&amp;"; ","")&amp;IF(AND(CI103&lt;&gt;"",CJ103=""),CH103&amp;"; ","")&amp;IF(AND(CO103&lt;&gt;"",CP103=""),CN103&amp;"; ","")),IFERROR(INDEX($A$3:$B$202,(SUMPRODUCT(($BO$3:$BO$202=$A103)*($BR$3:$BR$202="")*ROW($BO$3:$BO$202))+SUMPRODUCT(($BU$3:$BU$202=$A103)*($BX$3:$BX$202="")*ROW($BU$3:$BU$202))+SUMPRODUCT(($CA$3:$CA$202=$A103)*($CD$3:$CD$202="")*ROW($CA$3:$CA$202))+SUMPRODUCT(($CG$3:$CG$202=$A103)*($CJ$3:$CJ$202="")*ROW($CG$3:$CG$202))+SUMPRODUCT(($CM$3:$CM$202=$A103)*($CP$3:$CP$202="")*ROW($CM$3:$CM$202)))-2,2),""))</f>
        <v/>
      </c>
      <c r="S103" s="48" t="inlineStr">
        <is>
          <t>Not Provided</t>
        </is>
      </c>
      <c r="T103" s="48" t="inlineStr"/>
      <c r="U103" s="48" t="inlineStr"/>
      <c r="V103" s="48" t="inlineStr"/>
      <c r="W103" s="48" t="inlineStr">
        <is>
          <t>AEDT (UTC+11)</t>
        </is>
      </c>
      <c r="X103" s="48" t="inlineStr">
        <is>
          <t>6pm-9pm;</t>
        </is>
      </c>
      <c r="Y103" s="48" t="inlineStr">
        <is>
          <t>9am-12pm;12pm-3pm;3pm-6pm;</t>
        </is>
      </c>
      <c r="Z103" s="48" t="inlineStr">
        <is>
          <t>3pm-6pm;</t>
        </is>
      </c>
      <c r="AA103" s="48" t="inlineStr">
        <is>
          <t>6pm-9pm;</t>
        </is>
      </c>
      <c r="AB103" s="48" t="inlineStr">
        <is>
          <t>9am-12pm;</t>
        </is>
      </c>
      <c r="AC103" s="48" t="inlineStr">
        <is>
          <t>12pm-3pm;</t>
        </is>
      </c>
      <c r="AD103" s="48" t="inlineStr">
        <is>
          <t>NA;</t>
        </is>
      </c>
      <c r="AE103" s="48" t="inlineStr">
        <is>
          <t>In-Person</t>
        </is>
      </c>
      <c r="AF103" s="48" t="inlineStr">
        <is>
          <t>Multiple devices</t>
        </is>
      </c>
      <c r="AG103" s="48" t="inlineStr">
        <is>
          <t>Australia</t>
        </is>
      </c>
      <c r="AH103" s="48" t="inlineStr">
        <is>
          <t>New South Wales</t>
        </is>
      </c>
      <c r="AI103" s="48" t="inlineStr">
        <is>
          <t>Bardia</t>
        </is>
      </c>
      <c r="AJ103" s="48" t="inlineStr">
        <is>
          <t>2565</t>
        </is>
      </c>
      <c r="AK103" s="49" t="n">
        <v>33487</v>
      </c>
      <c r="AL103" s="48" t="inlineStr">
        <is>
          <t>Female</t>
        </is>
      </c>
      <c r="AM103" s="48" t="inlineStr">
        <is>
          <t>No</t>
        </is>
      </c>
      <c r="AN103" s="48" t="inlineStr">
        <is>
          <t>A2</t>
        </is>
      </c>
      <c r="AO103" s="48" t="inlineStr">
        <is>
          <t>Outstanding</t>
        </is>
      </c>
      <c r="AP103" s="48" t="inlineStr">
        <is>
          <t>Afghanistan</t>
        </is>
      </c>
      <c r="AQ103" s="48" t="inlineStr">
        <is>
          <t>NA</t>
        </is>
      </c>
      <c r="AR103" s="48" t="inlineStr">
        <is>
          <t>Pashto (B2)</t>
        </is>
      </c>
      <c r="AS103" s="48" t="inlineStr">
        <is>
          <t>Christian</t>
        </is>
      </c>
      <c r="AT103" s="48" t="inlineStr">
        <is>
          <t>Health &amp; Medicine</t>
        </is>
      </c>
      <c r="AU103" s="48" t="inlineStr">
        <is>
          <t>Teacher</t>
        </is>
      </c>
      <c r="AV103" s="48" t="inlineStr">
        <is>
          <t>Counselling</t>
        </is>
      </c>
      <c r="AW103" s="48" t="inlineStr">
        <is>
          <t>Cooking; Reading; Music</t>
        </is>
      </c>
      <c r="AX103" s="48" t="inlineStr">
        <is>
          <t>Asylum Seeker</t>
        </is>
      </c>
      <c r="AY103" s="48" t="inlineStr">
        <is>
          <t>No</t>
        </is>
      </c>
      <c r="AZ103" s="48" t="inlineStr">
        <is>
          <t>No</t>
        </is>
      </c>
      <c r="BA103" s="48" t="inlineStr">
        <is>
          <t>NA</t>
        </is>
      </c>
      <c r="BB103" s="48" t="inlineStr">
        <is>
          <t>NA</t>
        </is>
      </c>
      <c r="BC103" s="48" t="inlineStr">
        <is>
          <t>NA</t>
        </is>
      </c>
      <c r="BD103" s="48" t="inlineStr">
        <is>
          <t>NA</t>
        </is>
      </c>
      <c r="BE103" s="48" t="inlineStr"/>
      <c r="BF103" s="48" t="inlineStr"/>
      <c r="BG103" s="48" t="inlineStr">
        <is>
          <t>NA</t>
        </is>
      </c>
      <c r="BH103" s="48" t="inlineStr">
        <is>
          <t>NA - Student</t>
        </is>
      </c>
      <c r="BI103" s="48" t="inlineStr">
        <is>
          <t>National Justice Project</t>
        </is>
      </c>
      <c r="BJ103" s="48" t="inlineStr">
        <is>
          <t>SHANAHAN Jack</t>
        </is>
      </c>
      <c r="BK103" s="48" t="inlineStr">
        <is>
          <t>HERVIR Oliver</t>
        </is>
      </c>
      <c r="BL103" s="48" t="inlineStr">
        <is>
          <t>Synthetic test record.</t>
        </is>
      </c>
      <c r="BM103" s="48" t="inlineStr"/>
      <c r="BN103" s="48">
        <f>TRIM(IF(AND($H103="Student",$J103="ADM-ACT-MAT-CNE"),"Invalid: Student cannot be CNE. ","")&amp;IF(AND($H103="Student",ISNUMBER($O103)),"Check: capacity set for a Student. ","")&amp;IF(AND(LEFT($J103,11)="ADM-ACT-MAT",$P103=0),"Check: matched status but 0 active pairings. ","")&amp;IF(AND($H103="Tutor",ISNUMBER($O103),$P103&gt;$O103),"Check: pairings exceed capacity. ","")&amp;IF(AND($BH103="Everyone",NOT(AND($BD103="Yes",$BG103="Yes"))),"Check: approved to tutor children but WWCC not provided/confirmed. ","")&amp;IF(AND($P103&gt;0,NOT(AND(OR(LEFT($AY103,3)="Yes",LEFT($AY103,2)="NA"),OR(LEFT($AZ103,3)="Yes",LEFT($AZ103,2)="NA")))),"Matched but vetting incomplete (interview/reference). ","")&amp;IF(COUNTIF($B$3:$B$600,$B103)&gt;1,"Duplicate participant name. ",""))</f>
        <v/>
      </c>
      <c r="BO103" s="48" t="inlineStr"/>
      <c r="BP103" s="48" t="inlineStr"/>
      <c r="BQ103" s="48" t="inlineStr"/>
      <c r="BR103" s="48" t="inlineStr"/>
      <c r="BS103" s="48" t="inlineStr"/>
      <c r="BT103" s="48" t="inlineStr"/>
      <c r="BU103" s="48" t="inlineStr"/>
      <c r="BV103" s="48" t="inlineStr"/>
      <c r="BW103" s="48" t="inlineStr"/>
      <c r="BX103" s="48" t="inlineStr"/>
      <c r="BY103" s="48" t="inlineStr"/>
      <c r="BZ103" s="48" t="inlineStr"/>
      <c r="CA103" s="48" t="inlineStr"/>
      <c r="CB103" s="48" t="inlineStr"/>
      <c r="CC103" s="48" t="inlineStr"/>
      <c r="CD103" s="48" t="inlineStr"/>
      <c r="CE103" s="48" t="inlineStr"/>
      <c r="CF103" s="48" t="inlineStr"/>
      <c r="CG103" s="48" t="inlineStr"/>
      <c r="CH103" s="48" t="inlineStr"/>
      <c r="CI103" s="48" t="inlineStr"/>
      <c r="CJ103" s="48" t="inlineStr"/>
      <c r="CK103" s="48" t="inlineStr"/>
      <c r="CL103" s="48" t="inlineStr"/>
      <c r="CM103" s="48" t="inlineStr"/>
      <c r="CN103" s="48" t="inlineStr"/>
      <c r="CO103" s="48" t="inlineStr"/>
      <c r="CP103" s="48" t="inlineStr"/>
      <c r="CQ103" s="48" t="inlineStr"/>
      <c r="CR103" s="48" t="inlineStr"/>
      <c r="CS103" s="48">
        <f>IF(LEFT($J103,3)="ERR",0,1)</f>
        <v/>
      </c>
      <c r="CT103" s="48">
        <f>IF(LEFT($J103,3)="ADM",1,0)</f>
        <v/>
      </c>
      <c r="CU103" s="48">
        <f>IF(OR($J103="ADM-ACT-MAT-CNE",$J103="ADM-ACT-MAT-CE",$J103="ADM-INACT-M&amp;T"),1,0)</f>
        <v/>
      </c>
      <c r="CV103" s="48">
        <f>IF(AND(CU103=1,ISNUMBER(M103),ISNUMBER(I103)),M103-I103,"")</f>
        <v/>
      </c>
      <c r="CW103" s="48">
        <f>IF(ISNUMBER(I103),TODAY()-I103,"")</f>
        <v/>
      </c>
      <c r="CX103" s="48">
        <f>IF(ISNUMBER(I103),DATE(YEAR(I103),MONTH(I103),1),"")</f>
        <v/>
      </c>
      <c r="CY103" s="48">
        <f>IFERROR(DATEDIF(AK103,TODAY(),"y"),"")</f>
        <v/>
      </c>
      <c r="CZ103" s="48">
        <f>IF(CY103="","",IF(CY103&lt;28,"18-27",IF(CY103&lt;38,"28-37",IF(CY103&lt;48,"38-47",IF(CY103&lt;58,"48-57",IF(CY103&lt;68,"58-67",IF(CY103&lt;78,"68-77","78+")))))) </f>
        <v/>
      </c>
      <c r="DA103" s="48">
        <f>IF(AND(BQ103&lt;&gt;"",BR103=""),N(BS103),0)+IF(AND(BW103&lt;&gt;"",BX103=""),N(BY103),0)+IF(AND(CC103&lt;&gt;"",CD103=""),N(CE103),0)+IF(AND(CI103&lt;&gt;"",CJ103=""),N(CK103),0)+IF(AND(CO103&lt;&gt;"",CP103=""),N(CQ103),0)</f>
        <v/>
      </c>
      <c r="DB103" s="48">
        <f>ROUND(IF(BQ103&lt;&gt;"",N(BS103)*MAX(0,((IF(BR103="",TODAY(),BR103))-BQ103)/7),0)+IF(BW103&lt;&gt;"",N(BY103)*MAX(0,((IF(BX103="",TODAY(),BX103))-BW103)/7),0)+IF(CC103&lt;&gt;"",N(CE103)*MAX(0,((IF(CD103="",TODAY(),CD103))-CC103)/7),0)+IF(CI103&lt;&gt;"",N(CK103)*MAX(0,((IF(CJ103="",TODAY(),CJ103))-CI103)/7),0)+IF(CO103&lt;&gt;"",N(CQ103)*MAX(0,((IF(CP103="",TODAY(),CP103))-CO103)/7),0),1)</f>
        <v/>
      </c>
      <c r="DC103" s="48">
        <f>IF(OR(TRIM(X103)="",TRIM(X103)="NA;",TRIM(X103)="NA"),0,1)</f>
        <v/>
      </c>
      <c r="DD103" s="48">
        <f>IF(OR(TRIM(Y103)="",TRIM(Y103)="NA;",TRIM(Y103)="NA"),0,1)</f>
        <v/>
      </c>
      <c r="DE103" s="48">
        <f>IF(OR(TRIM(Z103)="",TRIM(Z103)="NA;",TRIM(Z103)="NA"),0,1)</f>
        <v/>
      </c>
      <c r="DF103" s="48">
        <f>IF(OR(TRIM(AA103)="",TRIM(AA103)="NA;",TRIM(AA103)="NA"),0,1)</f>
        <v/>
      </c>
      <c r="DG103" s="48">
        <f>IF(OR(TRIM(AB103)="",TRIM(AB103)="NA;",TRIM(AB103)="NA"),0,1)</f>
        <v/>
      </c>
      <c r="DH103" s="48">
        <f>IF(OR(TRIM(AC103)="",TRIM(AC103)="NA;",TRIM(AC103)="NA"),0,1)</f>
        <v/>
      </c>
      <c r="DI103" s="48">
        <f>IF(OR(TRIM(AD103)="",TRIM(AD103)="NA;",TRIM(AD103)="NA"),0,1)</f>
        <v/>
      </c>
      <c r="DJ103" s="48">
        <f>TRIM(IF(DC103=1,"Mon ","")&amp;IF(DD103=1,"Tue ","")&amp;IF(DE103=1,"Wed ","")&amp;IF(DF103=1,"Thu ","")&amp;IF(DG103=1,"Fri ","")&amp;IF(DH103=1,"Sat ","")&amp;IF(DI103=1,"Sun ",""))</f>
        <v/>
      </c>
    </row>
    <row r="104">
      <c r="A104" s="48" t="inlineStr">
        <is>
          <t>S-O-00002</t>
        </is>
      </c>
      <c r="B104" s="48" t="inlineStr">
        <is>
          <t>Iryna Ibrahim</t>
        </is>
      </c>
      <c r="C104" s="48" t="inlineStr">
        <is>
          <t>iryna.ibrahim2@example.com</t>
        </is>
      </c>
      <c r="D104" s="48" t="inlineStr">
        <is>
          <t>+61 442 240 002</t>
        </is>
      </c>
      <c r="E104" s="48" t="inlineStr">
        <is>
          <t>James Silva</t>
        </is>
      </c>
      <c r="F104" s="48" t="inlineStr">
        <is>
          <t>+61 442 366 915</t>
        </is>
      </c>
      <c r="G104" s="48" t="inlineStr">
        <is>
          <t>Adult Child</t>
        </is>
      </c>
      <c r="H104" s="48" t="inlineStr">
        <is>
          <t>Student</t>
        </is>
      </c>
      <c r="I104" s="49" t="n">
        <v>45314</v>
      </c>
      <c r="J104" s="48" t="inlineStr">
        <is>
          <t>ADM-ACT-MAT-CE</t>
        </is>
      </c>
      <c r="K104" s="48">
        <f>IFERROR(VLOOKUP(J104,'(A) Introduction'!$B$35:$C$45,2,FALSE),"")</f>
        <v/>
      </c>
      <c r="L104" s="48" t="inlineStr">
        <is>
          <t>No</t>
        </is>
      </c>
      <c r="M104" s="49" t="n">
        <v>45356</v>
      </c>
      <c r="N104" s="48" t="inlineStr"/>
      <c r="O104" s="48" t="inlineStr">
        <is>
          <t>NA</t>
        </is>
      </c>
      <c r="P104" s="48">
        <f>IF($H104="Tutor",((BQ104&lt;&gt;"")*(BR104=""))+((BW104&lt;&gt;"")*(BX104=""))+((CC104&lt;&gt;"")*(CD104=""))+((CI104&lt;&gt;"")*(CJ104=""))+((CO104&lt;&gt;"")*(CP104="")),SUMPRODUCT(--($BO$3:$BO$202=$A104),--($BR$3:$BR$202=""))+SUMPRODUCT(--($BU$3:$BU$202=$A104),--($BX$3:$BX$202=""))+SUMPRODUCT(--($CA$3:$CA$202=$A104),--($CD$3:$CD$202=""))+SUMPRODUCT(--($CG$3:$CG$202=$A104),--($CJ$3:$CJ$202=""))+SUMPRODUCT(--($CM$3:$CM$202=$A104),--($CP$3:$CP$202="")))</f>
        <v/>
      </c>
      <c r="Q104" s="48">
        <f>IF($H104="Tutor",(BQ104&lt;&gt;"")+(BW104&lt;&gt;"")+(CC104&lt;&gt;"")+(CI104&lt;&gt;"")+(CO104&lt;&gt;""),SUMPRODUCT(--($BO$3:$BO$202=$A104))+SUMPRODUCT(--($BU$3:$BU$202=$A104))+SUMPRODUCT(--($CA$3:$CA$202=$A104))+SUMPRODUCT(--($CG$3:$CG$202=$A104))+SUMPRODUCT(--($CM$3:$CM$202=$A104)))</f>
        <v/>
      </c>
      <c r="R104" s="48">
        <f>IF($H104="Tutor",TRIM(IF(AND(BQ104&lt;&gt;"",BR104=""),BP104&amp;"; ","")&amp;IF(AND(BW104&lt;&gt;"",BX104=""),BV104&amp;"; ","")&amp;IF(AND(CC104&lt;&gt;"",CD104=""),CB104&amp;"; ","")&amp;IF(AND(CI104&lt;&gt;"",CJ104=""),CH104&amp;"; ","")&amp;IF(AND(CO104&lt;&gt;"",CP104=""),CN104&amp;"; ","")),IFERROR(INDEX($A$3:$B$202,(SUMPRODUCT(($BO$3:$BO$202=$A104)*($BR$3:$BR$202="")*ROW($BO$3:$BO$202))+SUMPRODUCT(($BU$3:$BU$202=$A104)*($BX$3:$BX$202="")*ROW($BU$3:$BU$202))+SUMPRODUCT(($CA$3:$CA$202=$A104)*($CD$3:$CD$202="")*ROW($CA$3:$CA$202))+SUMPRODUCT(($CG$3:$CG$202=$A104)*($CJ$3:$CJ$202="")*ROW($CG$3:$CG$202))+SUMPRODUCT(($CM$3:$CM$202=$A104)*($CP$3:$CP$202="")*ROW($CM$3:$CM$202)))-2,2),""))</f>
        <v/>
      </c>
      <c r="S104" s="48" t="inlineStr">
        <is>
          <t>NA</t>
        </is>
      </c>
      <c r="T104" s="48" t="inlineStr"/>
      <c r="U104" s="48" t="inlineStr"/>
      <c r="V104" s="49" t="n">
        <v>46143</v>
      </c>
      <c r="W104" s="48" t="inlineStr">
        <is>
          <t>AEST (UTC+10)</t>
        </is>
      </c>
      <c r="X104" s="48" t="inlineStr">
        <is>
          <t>6pm-9pm;</t>
        </is>
      </c>
      <c r="Y104" s="48" t="inlineStr">
        <is>
          <t>6pm-9pm;</t>
        </is>
      </c>
      <c r="Z104" s="48" t="inlineStr">
        <is>
          <t>9am-12pm;</t>
        </is>
      </c>
      <c r="AA104" s="48" t="inlineStr">
        <is>
          <t>6pm-9pm;</t>
        </is>
      </c>
      <c r="AB104" s="48" t="inlineStr">
        <is>
          <t>9am-12pm;12pm-3pm;3pm-6pm;</t>
        </is>
      </c>
      <c r="AC104" s="48" t="inlineStr">
        <is>
          <t>6pm-9pm;</t>
        </is>
      </c>
      <c r="AD104" s="48" t="inlineStr">
        <is>
          <t>6pm-9pm;</t>
        </is>
      </c>
      <c r="AE104" s="48" t="inlineStr">
        <is>
          <t>In-Person</t>
        </is>
      </c>
      <c r="AF104" s="48" t="inlineStr">
        <is>
          <t>Phone</t>
        </is>
      </c>
      <c r="AG104" s="48" t="inlineStr">
        <is>
          <t>Australia</t>
        </is>
      </c>
      <c r="AH104" s="48" t="inlineStr">
        <is>
          <t>Victoria</t>
        </is>
      </c>
      <c r="AI104" s="48" t="inlineStr">
        <is>
          <t>Footscray</t>
        </is>
      </c>
      <c r="AJ104" s="48" t="inlineStr">
        <is>
          <t>3011</t>
        </is>
      </c>
      <c r="AK104" s="49" t="n">
        <v>30130</v>
      </c>
      <c r="AL104" s="48" t="inlineStr">
        <is>
          <t>Male</t>
        </is>
      </c>
      <c r="AM104" s="48" t="inlineStr">
        <is>
          <t>No</t>
        </is>
      </c>
      <c r="AN104" s="48" t="inlineStr">
        <is>
          <t>B2</t>
        </is>
      </c>
      <c r="AO104" s="48" t="inlineStr">
        <is>
          <t>Low</t>
        </is>
      </c>
      <c r="AP104" s="48" t="inlineStr">
        <is>
          <t>Afghanistan</t>
        </is>
      </c>
      <c r="AQ104" s="48" t="inlineStr">
        <is>
          <t>NA</t>
        </is>
      </c>
      <c r="AR104" s="48" t="inlineStr">
        <is>
          <t>Arabic (C1)</t>
        </is>
      </c>
      <c r="AS104" s="48" t="inlineStr">
        <is>
          <t>None</t>
        </is>
      </c>
      <c r="AT104" s="48" t="inlineStr">
        <is>
          <t>Hospitality &amp; Retail</t>
        </is>
      </c>
      <c r="AU104" s="48" t="inlineStr">
        <is>
          <t>Community Worker</t>
        </is>
      </c>
      <c r="AV104" s="48" t="inlineStr">
        <is>
          <t>Medicine</t>
        </is>
      </c>
      <c r="AW104" s="48" t="inlineStr">
        <is>
          <t>Reading; Politics; Music</t>
        </is>
      </c>
      <c r="AX104" s="48" t="inlineStr">
        <is>
          <t>Refugee</t>
        </is>
      </c>
      <c r="AY104" s="48" t="inlineStr">
        <is>
          <t>Yes</t>
        </is>
      </c>
      <c r="AZ104" s="48" t="inlineStr">
        <is>
          <t>Yes</t>
        </is>
      </c>
      <c r="BA104" s="48" t="inlineStr">
        <is>
          <t>NA</t>
        </is>
      </c>
      <c r="BB104" s="48" t="inlineStr">
        <is>
          <t>NA</t>
        </is>
      </c>
      <c r="BC104" s="48" t="inlineStr">
        <is>
          <t>NA</t>
        </is>
      </c>
      <c r="BD104" s="48" t="inlineStr">
        <is>
          <t>NA</t>
        </is>
      </c>
      <c r="BE104" s="48" t="inlineStr"/>
      <c r="BF104" s="48" t="inlineStr"/>
      <c r="BG104" s="48" t="inlineStr">
        <is>
          <t>NA</t>
        </is>
      </c>
      <c r="BH104" s="48" t="inlineStr">
        <is>
          <t>NA - Student</t>
        </is>
      </c>
      <c r="BI104" s="48" t="inlineStr">
        <is>
          <t>AMES Australia</t>
        </is>
      </c>
      <c r="BJ104" s="48" t="inlineStr">
        <is>
          <t>HALLORAN Isobel</t>
        </is>
      </c>
      <c r="BK104" s="48" t="inlineStr">
        <is>
          <t>THET Moh Moh</t>
        </is>
      </c>
      <c r="BL104" s="48" t="inlineStr">
        <is>
          <t>Synthetic test record.</t>
        </is>
      </c>
      <c r="BM104" s="48" t="inlineStr"/>
      <c r="BN104" s="48">
        <f>TRIM(IF(AND($H104="Student",$J104="ADM-ACT-MAT-CNE"),"Invalid: Student cannot be CNE. ","")&amp;IF(AND($H104="Student",ISNUMBER($O104)),"Check: capacity set for a Student. ","")&amp;IF(AND(LEFT($J104,11)="ADM-ACT-MAT",$P104=0),"Check: matched status but 0 active pairings. ","")&amp;IF(AND($H104="Tutor",ISNUMBER($O104),$P104&gt;$O104),"Check: pairings exceed capacity. ","")&amp;IF(AND($BH104="Everyone",NOT(AND($BD104="Yes",$BG104="Yes"))),"Check: approved to tutor children but WWCC not provided/confirmed. ","")&amp;IF(AND($P104&gt;0,NOT(AND(OR(LEFT($AY104,3)="Yes",LEFT($AY104,2)="NA"),OR(LEFT($AZ104,3)="Yes",LEFT($AZ104,2)="NA")))),"Matched but vetting incomplete (interview/reference). ","")&amp;IF(COUNTIF($B$3:$B$600,$B104)&gt;1,"Duplicate participant name. ",""))</f>
        <v/>
      </c>
      <c r="BO104" s="48" t="inlineStr"/>
      <c r="BP104" s="48" t="inlineStr"/>
      <c r="BQ104" s="48" t="inlineStr"/>
      <c r="BR104" s="48" t="inlineStr"/>
      <c r="BS104" s="48" t="inlineStr"/>
      <c r="BT104" s="48" t="inlineStr"/>
      <c r="BU104" s="48" t="inlineStr"/>
      <c r="BV104" s="48" t="inlineStr"/>
      <c r="BW104" s="48" t="inlineStr"/>
      <c r="BX104" s="48" t="inlineStr"/>
      <c r="BY104" s="48" t="inlineStr"/>
      <c r="BZ104" s="48" t="inlineStr"/>
      <c r="CA104" s="48" t="inlineStr"/>
      <c r="CB104" s="48" t="inlineStr"/>
      <c r="CC104" s="48" t="inlineStr"/>
      <c r="CD104" s="48" t="inlineStr"/>
      <c r="CE104" s="48" t="inlineStr"/>
      <c r="CF104" s="48" t="inlineStr"/>
      <c r="CG104" s="48" t="inlineStr"/>
      <c r="CH104" s="48" t="inlineStr"/>
      <c r="CI104" s="48" t="inlineStr"/>
      <c r="CJ104" s="48" t="inlineStr"/>
      <c r="CK104" s="48" t="inlineStr"/>
      <c r="CL104" s="48" t="inlineStr"/>
      <c r="CM104" s="48" t="inlineStr"/>
      <c r="CN104" s="48" t="inlineStr"/>
      <c r="CO104" s="48" t="inlineStr"/>
      <c r="CP104" s="48" t="inlineStr"/>
      <c r="CQ104" s="48" t="inlineStr"/>
      <c r="CR104" s="48" t="inlineStr"/>
      <c r="CS104" s="48">
        <f>IF(LEFT($J104,3)="ERR",0,1)</f>
        <v/>
      </c>
      <c r="CT104" s="48">
        <f>IF(LEFT($J104,3)="ADM",1,0)</f>
        <v/>
      </c>
      <c r="CU104" s="48">
        <f>IF(OR($J104="ADM-ACT-MAT-CNE",$J104="ADM-ACT-MAT-CE",$J104="ADM-INACT-M&amp;T"),1,0)</f>
        <v/>
      </c>
      <c r="CV104" s="48">
        <f>IF(AND(CU104=1,ISNUMBER(M104),ISNUMBER(I104)),M104-I104,"")</f>
        <v/>
      </c>
      <c r="CW104" s="48">
        <f>IF(ISNUMBER(I104),TODAY()-I104,"")</f>
        <v/>
      </c>
      <c r="CX104" s="48">
        <f>IF(ISNUMBER(I104),DATE(YEAR(I104),MONTH(I104),1),"")</f>
        <v/>
      </c>
      <c r="CY104" s="48">
        <f>IFERROR(DATEDIF(AK104,TODAY(),"y"),"")</f>
        <v/>
      </c>
      <c r="CZ104" s="48">
        <f>IF(CY104="","",IF(CY104&lt;28,"18-27",IF(CY104&lt;38,"28-37",IF(CY104&lt;48,"38-47",IF(CY104&lt;58,"48-57",IF(CY104&lt;68,"58-67",IF(CY104&lt;78,"68-77","78+")))))) </f>
        <v/>
      </c>
      <c r="DA104" s="48">
        <f>IF(AND(BQ104&lt;&gt;"",BR104=""),N(BS104),0)+IF(AND(BW104&lt;&gt;"",BX104=""),N(BY104),0)+IF(AND(CC104&lt;&gt;"",CD104=""),N(CE104),0)+IF(AND(CI104&lt;&gt;"",CJ104=""),N(CK104),0)+IF(AND(CO104&lt;&gt;"",CP104=""),N(CQ104),0)</f>
        <v/>
      </c>
      <c r="DB104" s="48">
        <f>ROUND(IF(BQ104&lt;&gt;"",N(BS104)*MAX(0,((IF(BR104="",TODAY(),BR104))-BQ104)/7),0)+IF(BW104&lt;&gt;"",N(BY104)*MAX(0,((IF(BX104="",TODAY(),BX104))-BW104)/7),0)+IF(CC104&lt;&gt;"",N(CE104)*MAX(0,((IF(CD104="",TODAY(),CD104))-CC104)/7),0)+IF(CI104&lt;&gt;"",N(CK104)*MAX(0,((IF(CJ104="",TODAY(),CJ104))-CI104)/7),0)+IF(CO104&lt;&gt;"",N(CQ104)*MAX(0,((IF(CP104="",TODAY(),CP104))-CO104)/7),0),1)</f>
        <v/>
      </c>
      <c r="DC104" s="48">
        <f>IF(OR(TRIM(X104)="",TRIM(X104)="NA;",TRIM(X104)="NA"),0,1)</f>
        <v/>
      </c>
      <c r="DD104" s="48">
        <f>IF(OR(TRIM(Y104)="",TRIM(Y104)="NA;",TRIM(Y104)="NA"),0,1)</f>
        <v/>
      </c>
      <c r="DE104" s="48">
        <f>IF(OR(TRIM(Z104)="",TRIM(Z104)="NA;",TRIM(Z104)="NA"),0,1)</f>
        <v/>
      </c>
      <c r="DF104" s="48">
        <f>IF(OR(TRIM(AA104)="",TRIM(AA104)="NA;",TRIM(AA104)="NA"),0,1)</f>
        <v/>
      </c>
      <c r="DG104" s="48">
        <f>IF(OR(TRIM(AB104)="",TRIM(AB104)="NA;",TRIM(AB104)="NA"),0,1)</f>
        <v/>
      </c>
      <c r="DH104" s="48">
        <f>IF(OR(TRIM(AC104)="",TRIM(AC104)="NA;",TRIM(AC104)="NA"),0,1)</f>
        <v/>
      </c>
      <c r="DI104" s="48">
        <f>IF(OR(TRIM(AD104)="",TRIM(AD104)="NA;",TRIM(AD104)="NA"),0,1)</f>
        <v/>
      </c>
      <c r="DJ104" s="48">
        <f>TRIM(IF(DC104=1,"Mon ","")&amp;IF(DD104=1,"Tue ","")&amp;IF(DE104=1,"Wed ","")&amp;IF(DF104=1,"Thu ","")&amp;IF(DG104=1,"Fri ","")&amp;IF(DH104=1,"Sat ","")&amp;IF(DI104=1,"Sun ",""))</f>
        <v/>
      </c>
    </row>
    <row r="105">
      <c r="A105" s="48" t="inlineStr">
        <is>
          <t>S-O-00003</t>
        </is>
      </c>
      <c r="B105" s="48" t="inlineStr">
        <is>
          <t>Tom Ng</t>
        </is>
      </c>
      <c r="C105" s="48" t="inlineStr">
        <is>
          <t>tom.ng3@example.com</t>
        </is>
      </c>
      <c r="D105" s="48" t="inlineStr">
        <is>
          <t>+61 447 834 350</t>
        </is>
      </c>
      <c r="E105" s="48" t="inlineStr">
        <is>
          <t>Hassan Levi</t>
        </is>
      </c>
      <c r="F105" s="48" t="inlineStr">
        <is>
          <t>+61 456 047 064</t>
        </is>
      </c>
      <c r="G105" s="48" t="inlineStr">
        <is>
          <t>Sibling</t>
        </is>
      </c>
      <c r="H105" s="48" t="inlineStr">
        <is>
          <t>Student</t>
        </is>
      </c>
      <c r="I105" s="49" t="n">
        <v>45322</v>
      </c>
      <c r="J105" s="48" t="inlineStr">
        <is>
          <t>ADM-ACT-MAT-CE</t>
        </is>
      </c>
      <c r="K105" s="48">
        <f>IFERROR(VLOOKUP(J105,'(A) Introduction'!$B$35:$C$45,2,FALSE),"")</f>
        <v/>
      </c>
      <c r="L105" s="48" t="inlineStr">
        <is>
          <t>No</t>
        </is>
      </c>
      <c r="M105" s="49" t="n">
        <v>45412</v>
      </c>
      <c r="N105" s="48" t="inlineStr"/>
      <c r="O105" s="48" t="inlineStr">
        <is>
          <t>NA</t>
        </is>
      </c>
      <c r="P105" s="48">
        <f>IF($H105="Tutor",((BQ105&lt;&gt;"")*(BR105=""))+((BW105&lt;&gt;"")*(BX105=""))+((CC105&lt;&gt;"")*(CD105=""))+((CI105&lt;&gt;"")*(CJ105=""))+((CO105&lt;&gt;"")*(CP105="")),SUMPRODUCT(--($BO$3:$BO$202=$A105),--($BR$3:$BR$202=""))+SUMPRODUCT(--($BU$3:$BU$202=$A105),--($BX$3:$BX$202=""))+SUMPRODUCT(--($CA$3:$CA$202=$A105),--($CD$3:$CD$202=""))+SUMPRODUCT(--($CG$3:$CG$202=$A105),--($CJ$3:$CJ$202=""))+SUMPRODUCT(--($CM$3:$CM$202=$A105),--($CP$3:$CP$202="")))</f>
        <v/>
      </c>
      <c r="Q105" s="48">
        <f>IF($H105="Tutor",(BQ105&lt;&gt;"")+(BW105&lt;&gt;"")+(CC105&lt;&gt;"")+(CI105&lt;&gt;"")+(CO105&lt;&gt;""),SUMPRODUCT(--($BO$3:$BO$202=$A105))+SUMPRODUCT(--($BU$3:$BU$202=$A105))+SUMPRODUCT(--($CA$3:$CA$202=$A105))+SUMPRODUCT(--($CG$3:$CG$202=$A105))+SUMPRODUCT(--($CM$3:$CM$202=$A105)))</f>
        <v/>
      </c>
      <c r="R105" s="48">
        <f>IF($H105="Tutor",TRIM(IF(AND(BQ105&lt;&gt;"",BR105=""),BP105&amp;"; ","")&amp;IF(AND(BW105&lt;&gt;"",BX105=""),BV105&amp;"; ","")&amp;IF(AND(CC105&lt;&gt;"",CD105=""),CB105&amp;"; ","")&amp;IF(AND(CI105&lt;&gt;"",CJ105=""),CH105&amp;"; ","")&amp;IF(AND(CO105&lt;&gt;"",CP105=""),CN105&amp;"; ","")),IFERROR(INDEX($A$3:$B$202,(SUMPRODUCT(($BO$3:$BO$202=$A105)*($BR$3:$BR$202="")*ROW($BO$3:$BO$202))+SUMPRODUCT(($BU$3:$BU$202=$A105)*($BX$3:$BX$202="")*ROW($BU$3:$BU$202))+SUMPRODUCT(($CA$3:$CA$202=$A105)*($CD$3:$CD$202="")*ROW($CA$3:$CA$202))+SUMPRODUCT(($CG$3:$CG$202=$A105)*($CJ$3:$CJ$202="")*ROW($CG$3:$CG$202))+SUMPRODUCT(($CM$3:$CM$202=$A105)*($CP$3:$CP$202="")*ROW($CM$3:$CM$202)))-2,2),""))</f>
        <v/>
      </c>
      <c r="S105" s="48" t="inlineStr">
        <is>
          <t>Provided</t>
        </is>
      </c>
      <c r="T105" s="48" t="inlineStr"/>
      <c r="U105" s="48" t="inlineStr"/>
      <c r="V105" s="49" t="n">
        <v>46063</v>
      </c>
      <c r="W105" s="48" t="inlineStr">
        <is>
          <t>AEDT (UTC+11)</t>
        </is>
      </c>
      <c r="X105" s="48" t="inlineStr">
        <is>
          <t>12pm-3pm;6pm-9pm;</t>
        </is>
      </c>
      <c r="Y105" s="48" t="inlineStr">
        <is>
          <t>6pm-9pm;</t>
        </is>
      </c>
      <c r="Z105" s="48" t="inlineStr">
        <is>
          <t>3pm-6pm;</t>
        </is>
      </c>
      <c r="AA105" s="48" t="inlineStr">
        <is>
          <t>12pm-3pm;6pm-9pm;</t>
        </is>
      </c>
      <c r="AB105" s="48" t="inlineStr">
        <is>
          <t>6pm-9pm;</t>
        </is>
      </c>
      <c r="AC105" s="48" t="inlineStr">
        <is>
          <t>12pm-3pm;6pm-9pm;</t>
        </is>
      </c>
      <c r="AD105" s="48" t="inlineStr">
        <is>
          <t>9am-12pm;</t>
        </is>
      </c>
      <c r="AE105" s="48" t="inlineStr">
        <is>
          <t>Online</t>
        </is>
      </c>
      <c r="AF105" s="48" t="inlineStr">
        <is>
          <t>Phone</t>
        </is>
      </c>
      <c r="AG105" s="48" t="inlineStr">
        <is>
          <t>Australia</t>
        </is>
      </c>
      <c r="AH105" s="48" t="inlineStr">
        <is>
          <t>New South Wales</t>
        </is>
      </c>
      <c r="AI105" s="48" t="inlineStr">
        <is>
          <t>Parramatta</t>
        </is>
      </c>
      <c r="AJ105" s="48" t="inlineStr">
        <is>
          <t>2150</t>
        </is>
      </c>
      <c r="AK105" s="49" t="n">
        <v>34053</v>
      </c>
      <c r="AL105" s="48" t="inlineStr">
        <is>
          <t>Other</t>
        </is>
      </c>
      <c r="AM105" s="48" t="inlineStr">
        <is>
          <t>No</t>
        </is>
      </c>
      <c r="AN105" s="48" t="inlineStr">
        <is>
          <t>A2</t>
        </is>
      </c>
      <c r="AO105" s="48" t="inlineStr">
        <is>
          <t>Low</t>
        </is>
      </c>
      <c r="AP105" s="48" t="inlineStr">
        <is>
          <t>Colombia</t>
        </is>
      </c>
      <c r="AQ105" s="48" t="inlineStr">
        <is>
          <t>NA</t>
        </is>
      </c>
      <c r="AR105" s="48" t="inlineStr">
        <is>
          <t>Burmese (C1)</t>
        </is>
      </c>
      <c r="AS105" s="48" t="inlineStr">
        <is>
          <t>NA</t>
        </is>
      </c>
      <c r="AT105" s="48" t="inlineStr">
        <is>
          <t>Childcare &amp; Aged Care</t>
        </is>
      </c>
      <c r="AU105" s="48" t="inlineStr">
        <is>
          <t>Aged Care Worker</t>
        </is>
      </c>
      <c r="AV105" s="48" t="inlineStr">
        <is>
          <t>Medicine</t>
        </is>
      </c>
      <c r="AW105" s="48" t="inlineStr">
        <is>
          <t>Gardening; Cooking; Walking</t>
        </is>
      </c>
      <c r="AX105" s="48" t="inlineStr">
        <is>
          <t>Asylum Seeker</t>
        </is>
      </c>
      <c r="AY105" s="48" t="inlineStr">
        <is>
          <t>No</t>
        </is>
      </c>
      <c r="AZ105" s="48" t="inlineStr">
        <is>
          <t>Yes</t>
        </is>
      </c>
      <c r="BA105" s="48" t="inlineStr">
        <is>
          <t>NA</t>
        </is>
      </c>
      <c r="BB105" s="48" t="inlineStr">
        <is>
          <t>NA</t>
        </is>
      </c>
      <c r="BC105" s="48" t="inlineStr">
        <is>
          <t>NA</t>
        </is>
      </c>
      <c r="BD105" s="48" t="inlineStr">
        <is>
          <t>NA</t>
        </is>
      </c>
      <c r="BE105" s="48" t="inlineStr"/>
      <c r="BF105" s="48" t="inlineStr"/>
      <c r="BG105" s="48" t="inlineStr">
        <is>
          <t>NA</t>
        </is>
      </c>
      <c r="BH105" s="48" t="inlineStr">
        <is>
          <t>NA - Student</t>
        </is>
      </c>
      <c r="BI105" s="48" t="inlineStr">
        <is>
          <t>CareerSeekers</t>
        </is>
      </c>
      <c r="BJ105" s="48" t="inlineStr">
        <is>
          <t>NUICH Curtis</t>
        </is>
      </c>
      <c r="BK105" s="48" t="inlineStr">
        <is>
          <t>NUICH Curtis</t>
        </is>
      </c>
      <c r="BL105" s="48" t="inlineStr">
        <is>
          <t>Synthetic test record.</t>
        </is>
      </c>
      <c r="BM105" s="48" t="inlineStr"/>
      <c r="BN105" s="48">
        <f>TRIM(IF(AND($H105="Student",$J105="ADM-ACT-MAT-CNE"),"Invalid: Student cannot be CNE. ","")&amp;IF(AND($H105="Student",ISNUMBER($O105)),"Check: capacity set for a Student. ","")&amp;IF(AND(LEFT($J105,11)="ADM-ACT-MAT",$P105=0),"Check: matched status but 0 active pairings. ","")&amp;IF(AND($H105="Tutor",ISNUMBER($O105),$P105&gt;$O105),"Check: pairings exceed capacity. ","")&amp;IF(AND($BH105="Everyone",NOT(AND($BD105="Yes",$BG105="Yes"))),"Check: approved to tutor children but WWCC not provided/confirmed. ","")&amp;IF(AND($P105&gt;0,NOT(AND(OR(LEFT($AY105,3)="Yes",LEFT($AY105,2)="NA"),OR(LEFT($AZ105,3)="Yes",LEFT($AZ105,2)="NA")))),"Matched but vetting incomplete (interview/reference). ","")&amp;IF(COUNTIF($B$3:$B$600,$B105)&gt;1,"Duplicate participant name. ",""))</f>
        <v/>
      </c>
      <c r="BO105" s="48" t="inlineStr"/>
      <c r="BP105" s="48" t="inlineStr"/>
      <c r="BQ105" s="48" t="inlineStr"/>
      <c r="BR105" s="48" t="inlineStr"/>
      <c r="BS105" s="48" t="inlineStr"/>
      <c r="BT105" s="48" t="inlineStr"/>
      <c r="BU105" s="48" t="inlineStr"/>
      <c r="BV105" s="48" t="inlineStr"/>
      <c r="BW105" s="48" t="inlineStr"/>
      <c r="BX105" s="48" t="inlineStr"/>
      <c r="BY105" s="48" t="inlineStr"/>
      <c r="BZ105" s="48" t="inlineStr"/>
      <c r="CA105" s="48" t="inlineStr"/>
      <c r="CB105" s="48" t="inlineStr"/>
      <c r="CC105" s="48" t="inlineStr"/>
      <c r="CD105" s="48" t="inlineStr"/>
      <c r="CE105" s="48" t="inlineStr"/>
      <c r="CF105" s="48" t="inlineStr"/>
      <c r="CG105" s="48" t="inlineStr"/>
      <c r="CH105" s="48" t="inlineStr"/>
      <c r="CI105" s="48" t="inlineStr"/>
      <c r="CJ105" s="48" t="inlineStr"/>
      <c r="CK105" s="48" t="inlineStr"/>
      <c r="CL105" s="48" t="inlineStr"/>
      <c r="CM105" s="48" t="inlineStr"/>
      <c r="CN105" s="48" t="inlineStr"/>
      <c r="CO105" s="48" t="inlineStr"/>
      <c r="CP105" s="48" t="inlineStr"/>
      <c r="CQ105" s="48" t="inlineStr"/>
      <c r="CR105" s="48" t="inlineStr"/>
      <c r="CS105" s="48">
        <f>IF(LEFT($J105,3)="ERR",0,1)</f>
        <v/>
      </c>
      <c r="CT105" s="48">
        <f>IF(LEFT($J105,3)="ADM",1,0)</f>
        <v/>
      </c>
      <c r="CU105" s="48">
        <f>IF(OR($J105="ADM-ACT-MAT-CNE",$J105="ADM-ACT-MAT-CE",$J105="ADM-INACT-M&amp;T"),1,0)</f>
        <v/>
      </c>
      <c r="CV105" s="48">
        <f>IF(AND(CU105=1,ISNUMBER(M105),ISNUMBER(I105)),M105-I105,"")</f>
        <v/>
      </c>
      <c r="CW105" s="48">
        <f>IF(ISNUMBER(I105),TODAY()-I105,"")</f>
        <v/>
      </c>
      <c r="CX105" s="48">
        <f>IF(ISNUMBER(I105),DATE(YEAR(I105),MONTH(I105),1),"")</f>
        <v/>
      </c>
      <c r="CY105" s="48">
        <f>IFERROR(DATEDIF(AK105,TODAY(),"y"),"")</f>
        <v/>
      </c>
      <c r="CZ105" s="48">
        <f>IF(CY105="","",IF(CY105&lt;28,"18-27",IF(CY105&lt;38,"28-37",IF(CY105&lt;48,"38-47",IF(CY105&lt;58,"48-57",IF(CY105&lt;68,"58-67",IF(CY105&lt;78,"68-77","78+")))))) </f>
        <v/>
      </c>
      <c r="DA105" s="48">
        <f>IF(AND(BQ105&lt;&gt;"",BR105=""),N(BS105),0)+IF(AND(BW105&lt;&gt;"",BX105=""),N(BY105),0)+IF(AND(CC105&lt;&gt;"",CD105=""),N(CE105),0)+IF(AND(CI105&lt;&gt;"",CJ105=""),N(CK105),0)+IF(AND(CO105&lt;&gt;"",CP105=""),N(CQ105),0)</f>
        <v/>
      </c>
      <c r="DB105" s="48">
        <f>ROUND(IF(BQ105&lt;&gt;"",N(BS105)*MAX(0,((IF(BR105="",TODAY(),BR105))-BQ105)/7),0)+IF(BW105&lt;&gt;"",N(BY105)*MAX(0,((IF(BX105="",TODAY(),BX105))-BW105)/7),0)+IF(CC105&lt;&gt;"",N(CE105)*MAX(0,((IF(CD105="",TODAY(),CD105))-CC105)/7),0)+IF(CI105&lt;&gt;"",N(CK105)*MAX(0,((IF(CJ105="",TODAY(),CJ105))-CI105)/7),0)+IF(CO105&lt;&gt;"",N(CQ105)*MAX(0,((IF(CP105="",TODAY(),CP105))-CO105)/7),0),1)</f>
        <v/>
      </c>
      <c r="DC105" s="48">
        <f>IF(OR(TRIM(X105)="",TRIM(X105)="NA;",TRIM(X105)="NA"),0,1)</f>
        <v/>
      </c>
      <c r="DD105" s="48">
        <f>IF(OR(TRIM(Y105)="",TRIM(Y105)="NA;",TRIM(Y105)="NA"),0,1)</f>
        <v/>
      </c>
      <c r="DE105" s="48">
        <f>IF(OR(TRIM(Z105)="",TRIM(Z105)="NA;",TRIM(Z105)="NA"),0,1)</f>
        <v/>
      </c>
      <c r="DF105" s="48">
        <f>IF(OR(TRIM(AA105)="",TRIM(AA105)="NA;",TRIM(AA105)="NA"),0,1)</f>
        <v/>
      </c>
      <c r="DG105" s="48">
        <f>IF(OR(TRIM(AB105)="",TRIM(AB105)="NA;",TRIM(AB105)="NA"),0,1)</f>
        <v/>
      </c>
      <c r="DH105" s="48">
        <f>IF(OR(TRIM(AC105)="",TRIM(AC105)="NA;",TRIM(AC105)="NA"),0,1)</f>
        <v/>
      </c>
      <c r="DI105" s="48">
        <f>IF(OR(TRIM(AD105)="",TRIM(AD105)="NA;",TRIM(AD105)="NA"),0,1)</f>
        <v/>
      </c>
      <c r="DJ105" s="48">
        <f>TRIM(IF(DC105=1,"Mon ","")&amp;IF(DD105=1,"Tue ","")&amp;IF(DE105=1,"Wed ","")&amp;IF(DF105=1,"Thu ","")&amp;IF(DG105=1,"Fri ","")&amp;IF(DH105=1,"Sat ","")&amp;IF(DI105=1,"Sun ",""))</f>
        <v/>
      </c>
    </row>
    <row r="106">
      <c r="A106" s="48" t="inlineStr">
        <is>
          <t>S-O-00004</t>
        </is>
      </c>
      <c r="B106" s="48" t="inlineStr">
        <is>
          <t>James Marks</t>
        </is>
      </c>
      <c r="C106" s="48" t="inlineStr">
        <is>
          <t>james.marks4@example.com</t>
        </is>
      </c>
      <c r="D106" s="48" t="inlineStr">
        <is>
          <t>+61 490 889 694</t>
        </is>
      </c>
      <c r="E106" s="48" t="inlineStr">
        <is>
          <t>Camila Lopez</t>
        </is>
      </c>
      <c r="F106" s="48" t="inlineStr">
        <is>
          <t>+61 470 658 387</t>
        </is>
      </c>
      <c r="G106" s="48" t="inlineStr">
        <is>
          <t>Adult Child</t>
        </is>
      </c>
      <c r="H106" s="48" t="inlineStr">
        <is>
          <t>Student</t>
        </is>
      </c>
      <c r="I106" s="49" t="n">
        <v>45330</v>
      </c>
      <c r="J106" s="48" t="inlineStr">
        <is>
          <t>ADM-ACT-MAT-CE</t>
        </is>
      </c>
      <c r="K106" s="48">
        <f>IFERROR(VLOOKUP(J106,'(A) Introduction'!$B$35:$C$45,2,FALSE),"")</f>
        <v/>
      </c>
      <c r="L106" s="48" t="inlineStr">
        <is>
          <t>No</t>
        </is>
      </c>
      <c r="M106" s="49" t="n">
        <v>45442</v>
      </c>
      <c r="N106" s="48" t="inlineStr"/>
      <c r="O106" s="48" t="inlineStr">
        <is>
          <t>NA</t>
        </is>
      </c>
      <c r="P106" s="48">
        <f>IF($H106="Tutor",((BQ106&lt;&gt;"")*(BR106=""))+((BW106&lt;&gt;"")*(BX106=""))+((CC106&lt;&gt;"")*(CD106=""))+((CI106&lt;&gt;"")*(CJ106=""))+((CO106&lt;&gt;"")*(CP106="")),SUMPRODUCT(--($BO$3:$BO$202=$A106),--($BR$3:$BR$202=""))+SUMPRODUCT(--($BU$3:$BU$202=$A106),--($BX$3:$BX$202=""))+SUMPRODUCT(--($CA$3:$CA$202=$A106),--($CD$3:$CD$202=""))+SUMPRODUCT(--($CG$3:$CG$202=$A106),--($CJ$3:$CJ$202=""))+SUMPRODUCT(--($CM$3:$CM$202=$A106),--($CP$3:$CP$202="")))</f>
        <v/>
      </c>
      <c r="Q106" s="48">
        <f>IF($H106="Tutor",(BQ106&lt;&gt;"")+(BW106&lt;&gt;"")+(CC106&lt;&gt;"")+(CI106&lt;&gt;"")+(CO106&lt;&gt;""),SUMPRODUCT(--($BO$3:$BO$202=$A106))+SUMPRODUCT(--($BU$3:$BU$202=$A106))+SUMPRODUCT(--($CA$3:$CA$202=$A106))+SUMPRODUCT(--($CG$3:$CG$202=$A106))+SUMPRODUCT(--($CM$3:$CM$202=$A106)))</f>
        <v/>
      </c>
      <c r="R106" s="48">
        <f>IF($H106="Tutor",TRIM(IF(AND(BQ106&lt;&gt;"",BR106=""),BP106&amp;"; ","")&amp;IF(AND(BW106&lt;&gt;"",BX106=""),BV106&amp;"; ","")&amp;IF(AND(CC106&lt;&gt;"",CD106=""),CB106&amp;"; ","")&amp;IF(AND(CI106&lt;&gt;"",CJ106=""),CH106&amp;"; ","")&amp;IF(AND(CO106&lt;&gt;"",CP106=""),CN106&amp;"; ","")),IFERROR(INDEX($A$3:$B$202,(SUMPRODUCT(($BO$3:$BO$202=$A106)*($BR$3:$BR$202="")*ROW($BO$3:$BO$202))+SUMPRODUCT(($BU$3:$BU$202=$A106)*($BX$3:$BX$202="")*ROW($BU$3:$BU$202))+SUMPRODUCT(($CA$3:$CA$202=$A106)*($CD$3:$CD$202="")*ROW($CA$3:$CA$202))+SUMPRODUCT(($CG$3:$CG$202=$A106)*($CJ$3:$CJ$202="")*ROW($CG$3:$CG$202))+SUMPRODUCT(($CM$3:$CM$202=$A106)*($CP$3:$CP$202="")*ROW($CM$3:$CM$202)))-2,2),""))</f>
        <v/>
      </c>
      <c r="S106" s="48" t="inlineStr">
        <is>
          <t>NA</t>
        </is>
      </c>
      <c r="T106" s="48" t="inlineStr"/>
      <c r="U106" s="48" t="inlineStr"/>
      <c r="V106" s="49" t="n">
        <v>46015</v>
      </c>
      <c r="W106" s="48" t="inlineStr">
        <is>
          <t>ACST (UTC+9:30)</t>
        </is>
      </c>
      <c r="X106" s="48" t="inlineStr">
        <is>
          <t>12pm-3pm;</t>
        </is>
      </c>
      <c r="Y106" s="48" t="inlineStr">
        <is>
          <t>6am-9am;9am-12pm;</t>
        </is>
      </c>
      <c r="Z106" s="48" t="inlineStr">
        <is>
          <t>9am-12pm;12pm-3pm;3pm-6pm;</t>
        </is>
      </c>
      <c r="AA106" s="48" t="inlineStr">
        <is>
          <t>9am-12pm;12pm-3pm;3pm-6pm;</t>
        </is>
      </c>
      <c r="AB106" s="48" t="inlineStr">
        <is>
          <t>6pm-9pm;</t>
        </is>
      </c>
      <c r="AC106" s="48" t="inlineStr">
        <is>
          <t>12pm-3pm;6pm-9pm;</t>
        </is>
      </c>
      <c r="AD106" s="48" t="inlineStr">
        <is>
          <t>12pm-3pm;</t>
        </is>
      </c>
      <c r="AE106" s="48" t="inlineStr">
        <is>
          <t>In-Person</t>
        </is>
      </c>
      <c r="AF106" s="48" t="inlineStr">
        <is>
          <t>Tablet</t>
        </is>
      </c>
      <c r="AG106" s="48" t="inlineStr">
        <is>
          <t>Australia</t>
        </is>
      </c>
      <c r="AH106" s="48" t="inlineStr">
        <is>
          <t>New South Wales</t>
        </is>
      </c>
      <c r="AI106" s="48" t="inlineStr">
        <is>
          <t>Bardia</t>
        </is>
      </c>
      <c r="AJ106" s="48" t="inlineStr">
        <is>
          <t>2565</t>
        </is>
      </c>
      <c r="AK106" s="49" t="n">
        <v>33521</v>
      </c>
      <c r="AL106" s="48" t="inlineStr">
        <is>
          <t>Other</t>
        </is>
      </c>
      <c r="AM106" s="48" t="inlineStr">
        <is>
          <t>Yes</t>
        </is>
      </c>
      <c r="AN106" s="48" t="inlineStr">
        <is>
          <t>A2</t>
        </is>
      </c>
      <c r="AO106" s="48" t="inlineStr">
        <is>
          <t>Low</t>
        </is>
      </c>
      <c r="AP106" s="48" t="inlineStr">
        <is>
          <t>Iraq</t>
        </is>
      </c>
      <c r="AQ106" s="48" t="inlineStr">
        <is>
          <t>NA</t>
        </is>
      </c>
      <c r="AR106" s="48" t="inlineStr">
        <is>
          <t>Spanish (C1)</t>
        </is>
      </c>
      <c r="AS106" s="48" t="inlineStr">
        <is>
          <t>NA</t>
        </is>
      </c>
      <c r="AT106" s="48" t="inlineStr">
        <is>
          <t>Law &amp; Legal Services</t>
        </is>
      </c>
      <c r="AU106" s="48" t="inlineStr">
        <is>
          <t>Nurse</t>
        </is>
      </c>
      <c r="AV106" s="48" t="inlineStr">
        <is>
          <t>Engineering</t>
        </is>
      </c>
      <c r="AW106" s="48" t="inlineStr">
        <is>
          <t>Gardening; Cooking; Walking</t>
        </is>
      </c>
      <c r="AX106" s="48" t="inlineStr">
        <is>
          <t>Asylum Seeker</t>
        </is>
      </c>
      <c r="AY106" s="48" t="inlineStr">
        <is>
          <t>NA - Partner Organisation Verified</t>
        </is>
      </c>
      <c r="AZ106" s="48" t="inlineStr">
        <is>
          <t>Yes</t>
        </is>
      </c>
      <c r="BA106" s="48" t="inlineStr">
        <is>
          <t>NA</t>
        </is>
      </c>
      <c r="BB106" s="48" t="inlineStr">
        <is>
          <t>NA</t>
        </is>
      </c>
      <c r="BC106" s="48" t="inlineStr">
        <is>
          <t>NA</t>
        </is>
      </c>
      <c r="BD106" s="48" t="inlineStr">
        <is>
          <t>NA</t>
        </is>
      </c>
      <c r="BE106" s="48" t="inlineStr"/>
      <c r="BF106" s="48" t="inlineStr"/>
      <c r="BG106" s="48" t="inlineStr">
        <is>
          <t>NA</t>
        </is>
      </c>
      <c r="BH106" s="48" t="inlineStr">
        <is>
          <t>NA - Student</t>
        </is>
      </c>
      <c r="BI106" s="48" t="inlineStr">
        <is>
          <t>Refugee Advice and Casework Service</t>
        </is>
      </c>
      <c r="BJ106" s="48" t="inlineStr">
        <is>
          <t>KNIJNIK Marina</t>
        </is>
      </c>
      <c r="BK106" s="48" t="inlineStr">
        <is>
          <t>AGARWAL Akanksha</t>
        </is>
      </c>
      <c r="BL106" s="48" t="inlineStr">
        <is>
          <t>Synthetic test record.</t>
        </is>
      </c>
      <c r="BM106" s="48" t="inlineStr"/>
      <c r="BN106" s="48">
        <f>TRIM(IF(AND($H106="Student",$J106="ADM-ACT-MAT-CNE"),"Invalid: Student cannot be CNE. ","")&amp;IF(AND($H106="Student",ISNUMBER($O106)),"Check: capacity set for a Student. ","")&amp;IF(AND(LEFT($J106,11)="ADM-ACT-MAT",$P106=0),"Check: matched status but 0 active pairings. ","")&amp;IF(AND($H106="Tutor",ISNUMBER($O106),$P106&gt;$O106),"Check: pairings exceed capacity. ","")&amp;IF(AND($BH106="Everyone",NOT(AND($BD106="Yes",$BG106="Yes"))),"Check: approved to tutor children but WWCC not provided/confirmed. ","")&amp;IF(AND($P106&gt;0,NOT(AND(OR(LEFT($AY106,3)="Yes",LEFT($AY106,2)="NA"),OR(LEFT($AZ106,3)="Yes",LEFT($AZ106,2)="NA")))),"Matched but vetting incomplete (interview/reference). ","")&amp;IF(COUNTIF($B$3:$B$600,$B106)&gt;1,"Duplicate participant name. ",""))</f>
        <v/>
      </c>
      <c r="BO106" s="48" t="inlineStr"/>
      <c r="BP106" s="48" t="inlineStr"/>
      <c r="BQ106" s="48" t="inlineStr"/>
      <c r="BR106" s="48" t="inlineStr"/>
      <c r="BS106" s="48" t="inlineStr"/>
      <c r="BT106" s="48" t="inlineStr"/>
      <c r="BU106" s="48" t="inlineStr"/>
      <c r="BV106" s="48" t="inlineStr"/>
      <c r="BW106" s="48" t="inlineStr"/>
      <c r="BX106" s="48" t="inlineStr"/>
      <c r="BY106" s="48" t="inlineStr"/>
      <c r="BZ106" s="48" t="inlineStr"/>
      <c r="CA106" s="48" t="inlineStr"/>
      <c r="CB106" s="48" t="inlineStr"/>
      <c r="CC106" s="48" t="inlineStr"/>
      <c r="CD106" s="48" t="inlineStr"/>
      <c r="CE106" s="48" t="inlineStr"/>
      <c r="CF106" s="48" t="inlineStr"/>
      <c r="CG106" s="48" t="inlineStr"/>
      <c r="CH106" s="48" t="inlineStr"/>
      <c r="CI106" s="48" t="inlineStr"/>
      <c r="CJ106" s="48" t="inlineStr"/>
      <c r="CK106" s="48" t="inlineStr"/>
      <c r="CL106" s="48" t="inlineStr"/>
      <c r="CM106" s="48" t="inlineStr"/>
      <c r="CN106" s="48" t="inlineStr"/>
      <c r="CO106" s="48" t="inlineStr"/>
      <c r="CP106" s="48" t="inlineStr"/>
      <c r="CQ106" s="48" t="inlineStr"/>
      <c r="CR106" s="48" t="inlineStr"/>
      <c r="CS106" s="48">
        <f>IF(LEFT($J106,3)="ERR",0,1)</f>
        <v/>
      </c>
      <c r="CT106" s="48">
        <f>IF(LEFT($J106,3)="ADM",1,0)</f>
        <v/>
      </c>
      <c r="CU106" s="48">
        <f>IF(OR($J106="ADM-ACT-MAT-CNE",$J106="ADM-ACT-MAT-CE",$J106="ADM-INACT-M&amp;T"),1,0)</f>
        <v/>
      </c>
      <c r="CV106" s="48">
        <f>IF(AND(CU106=1,ISNUMBER(M106),ISNUMBER(I106)),M106-I106,"")</f>
        <v/>
      </c>
      <c r="CW106" s="48">
        <f>IF(ISNUMBER(I106),TODAY()-I106,"")</f>
        <v/>
      </c>
      <c r="CX106" s="48">
        <f>IF(ISNUMBER(I106),DATE(YEAR(I106),MONTH(I106),1),"")</f>
        <v/>
      </c>
      <c r="CY106" s="48">
        <f>IFERROR(DATEDIF(AK106,TODAY(),"y"),"")</f>
        <v/>
      </c>
      <c r="CZ106" s="48">
        <f>IF(CY106="","",IF(CY106&lt;28,"18-27",IF(CY106&lt;38,"28-37",IF(CY106&lt;48,"38-47",IF(CY106&lt;58,"48-57",IF(CY106&lt;68,"58-67",IF(CY106&lt;78,"68-77","78+")))))) </f>
        <v/>
      </c>
      <c r="DA106" s="48">
        <f>IF(AND(BQ106&lt;&gt;"",BR106=""),N(BS106),0)+IF(AND(BW106&lt;&gt;"",BX106=""),N(BY106),0)+IF(AND(CC106&lt;&gt;"",CD106=""),N(CE106),0)+IF(AND(CI106&lt;&gt;"",CJ106=""),N(CK106),0)+IF(AND(CO106&lt;&gt;"",CP106=""),N(CQ106),0)</f>
        <v/>
      </c>
      <c r="DB106" s="48">
        <f>ROUND(IF(BQ106&lt;&gt;"",N(BS106)*MAX(0,((IF(BR106="",TODAY(),BR106))-BQ106)/7),0)+IF(BW106&lt;&gt;"",N(BY106)*MAX(0,((IF(BX106="",TODAY(),BX106))-BW106)/7),0)+IF(CC106&lt;&gt;"",N(CE106)*MAX(0,((IF(CD106="",TODAY(),CD106))-CC106)/7),0)+IF(CI106&lt;&gt;"",N(CK106)*MAX(0,((IF(CJ106="",TODAY(),CJ106))-CI106)/7),0)+IF(CO106&lt;&gt;"",N(CQ106)*MAX(0,((IF(CP106="",TODAY(),CP106))-CO106)/7),0),1)</f>
        <v/>
      </c>
      <c r="DC106" s="48">
        <f>IF(OR(TRIM(X106)="",TRIM(X106)="NA;",TRIM(X106)="NA"),0,1)</f>
        <v/>
      </c>
      <c r="DD106" s="48">
        <f>IF(OR(TRIM(Y106)="",TRIM(Y106)="NA;",TRIM(Y106)="NA"),0,1)</f>
        <v/>
      </c>
      <c r="DE106" s="48">
        <f>IF(OR(TRIM(Z106)="",TRIM(Z106)="NA;",TRIM(Z106)="NA"),0,1)</f>
        <v/>
      </c>
      <c r="DF106" s="48">
        <f>IF(OR(TRIM(AA106)="",TRIM(AA106)="NA;",TRIM(AA106)="NA"),0,1)</f>
        <v/>
      </c>
      <c r="DG106" s="48">
        <f>IF(OR(TRIM(AB106)="",TRIM(AB106)="NA;",TRIM(AB106)="NA"),0,1)</f>
        <v/>
      </c>
      <c r="DH106" s="48">
        <f>IF(OR(TRIM(AC106)="",TRIM(AC106)="NA;",TRIM(AC106)="NA"),0,1)</f>
        <v/>
      </c>
      <c r="DI106" s="48">
        <f>IF(OR(TRIM(AD106)="",TRIM(AD106)="NA;",TRIM(AD106)="NA"),0,1)</f>
        <v/>
      </c>
      <c r="DJ106" s="48">
        <f>TRIM(IF(DC106=1,"Mon ","")&amp;IF(DD106=1,"Tue ","")&amp;IF(DE106=1,"Wed ","")&amp;IF(DF106=1,"Thu ","")&amp;IF(DG106=1,"Fri ","")&amp;IF(DH106=1,"Sat ","")&amp;IF(DI106=1,"Sun ",""))</f>
        <v/>
      </c>
    </row>
    <row r="107">
      <c r="A107" s="48" t="inlineStr">
        <is>
          <t>S-O-00005</t>
        </is>
      </c>
      <c r="B107" s="48" t="inlineStr">
        <is>
          <t>Omar Garcia</t>
        </is>
      </c>
      <c r="C107" s="48" t="inlineStr">
        <is>
          <t>omar.garcia5@example.com</t>
        </is>
      </c>
      <c r="D107" s="48" t="inlineStr">
        <is>
          <t>+61 456 820 586</t>
        </is>
      </c>
      <c r="E107" s="48" t="inlineStr">
        <is>
          <t>Hassan Nguyen</t>
        </is>
      </c>
      <c r="F107" s="48" t="inlineStr">
        <is>
          <t>+61 497 674 227</t>
        </is>
      </c>
      <c r="G107" s="48" t="inlineStr">
        <is>
          <t>Spouse</t>
        </is>
      </c>
      <c r="H107" s="48" t="inlineStr">
        <is>
          <t>Student</t>
        </is>
      </c>
      <c r="I107" s="49" t="n">
        <v>45359</v>
      </c>
      <c r="J107" s="48" t="inlineStr">
        <is>
          <t>ADM-ACT-MAT-CE</t>
        </is>
      </c>
      <c r="K107" s="48">
        <f>IFERROR(VLOOKUP(J107,'(A) Introduction'!$B$35:$C$45,2,FALSE),"")</f>
        <v/>
      </c>
      <c r="L107" s="48" t="inlineStr">
        <is>
          <t>No</t>
        </is>
      </c>
      <c r="M107" s="49" t="n">
        <v>45457</v>
      </c>
      <c r="N107" s="48" t="inlineStr"/>
      <c r="O107" s="48" t="inlineStr">
        <is>
          <t>NA</t>
        </is>
      </c>
      <c r="P107" s="48">
        <f>IF($H107="Tutor",((BQ107&lt;&gt;"")*(BR107=""))+((BW107&lt;&gt;"")*(BX107=""))+((CC107&lt;&gt;"")*(CD107=""))+((CI107&lt;&gt;"")*(CJ107=""))+((CO107&lt;&gt;"")*(CP107="")),SUMPRODUCT(--($BO$3:$BO$202=$A107),--($BR$3:$BR$202=""))+SUMPRODUCT(--($BU$3:$BU$202=$A107),--($BX$3:$BX$202=""))+SUMPRODUCT(--($CA$3:$CA$202=$A107),--($CD$3:$CD$202=""))+SUMPRODUCT(--($CG$3:$CG$202=$A107),--($CJ$3:$CJ$202=""))+SUMPRODUCT(--($CM$3:$CM$202=$A107),--($CP$3:$CP$202="")))</f>
        <v/>
      </c>
      <c r="Q107" s="48">
        <f>IF($H107="Tutor",(BQ107&lt;&gt;"")+(BW107&lt;&gt;"")+(CC107&lt;&gt;"")+(CI107&lt;&gt;"")+(CO107&lt;&gt;""),SUMPRODUCT(--($BO$3:$BO$202=$A107))+SUMPRODUCT(--($BU$3:$BU$202=$A107))+SUMPRODUCT(--($CA$3:$CA$202=$A107))+SUMPRODUCT(--($CG$3:$CG$202=$A107))+SUMPRODUCT(--($CM$3:$CM$202=$A107)))</f>
        <v/>
      </c>
      <c r="R107" s="48">
        <f>IF($H107="Tutor",TRIM(IF(AND(BQ107&lt;&gt;"",BR107=""),BP107&amp;"; ","")&amp;IF(AND(BW107&lt;&gt;"",BX107=""),BV107&amp;"; ","")&amp;IF(AND(CC107&lt;&gt;"",CD107=""),CB107&amp;"; ","")&amp;IF(AND(CI107&lt;&gt;"",CJ107=""),CH107&amp;"; ","")&amp;IF(AND(CO107&lt;&gt;"",CP107=""),CN107&amp;"; ","")),IFERROR(INDEX($A$3:$B$202,(SUMPRODUCT(($BO$3:$BO$202=$A107)*($BR$3:$BR$202="")*ROW($BO$3:$BO$202))+SUMPRODUCT(($BU$3:$BU$202=$A107)*($BX$3:$BX$202="")*ROW($BU$3:$BU$202))+SUMPRODUCT(($CA$3:$CA$202=$A107)*($CD$3:$CD$202="")*ROW($CA$3:$CA$202))+SUMPRODUCT(($CG$3:$CG$202=$A107)*($CJ$3:$CJ$202="")*ROW($CG$3:$CG$202))+SUMPRODUCT(($CM$3:$CM$202=$A107)*($CP$3:$CP$202="")*ROW($CM$3:$CM$202)))-2,2),""))</f>
        <v/>
      </c>
      <c r="S107" s="48" t="inlineStr">
        <is>
          <t>Provided</t>
        </is>
      </c>
      <c r="T107" s="48" t="inlineStr"/>
      <c r="U107" s="48" t="inlineStr"/>
      <c r="V107" s="49" t="n">
        <v>45846</v>
      </c>
      <c r="W107" s="48" t="inlineStr">
        <is>
          <t>AWST (UTC+8)</t>
        </is>
      </c>
      <c r="X107" s="48" t="inlineStr">
        <is>
          <t>6pm-9pm;</t>
        </is>
      </c>
      <c r="Y107" s="48" t="inlineStr">
        <is>
          <t>6pm-9pm;</t>
        </is>
      </c>
      <c r="Z107" s="48" t="inlineStr">
        <is>
          <t>6am-9am;9am-12pm;</t>
        </is>
      </c>
      <c r="AA107" s="48" t="inlineStr">
        <is>
          <t>6pm-9pm;</t>
        </is>
      </c>
      <c r="AB107" s="48" t="inlineStr">
        <is>
          <t>6pm-9pm;</t>
        </is>
      </c>
      <c r="AC107" s="48" t="inlineStr">
        <is>
          <t>NA;</t>
        </is>
      </c>
      <c r="AD107" s="48" t="inlineStr">
        <is>
          <t>6pm-9pm;</t>
        </is>
      </c>
      <c r="AE107" s="48" t="inlineStr">
        <is>
          <t>In-Person</t>
        </is>
      </c>
      <c r="AF107" s="48" t="inlineStr">
        <is>
          <t>Multiple devices</t>
        </is>
      </c>
      <c r="AG107" s="48" t="inlineStr">
        <is>
          <t>Australia</t>
        </is>
      </c>
      <c r="AH107" s="48" t="inlineStr">
        <is>
          <t>New South Wales</t>
        </is>
      </c>
      <c r="AI107" s="48" t="inlineStr">
        <is>
          <t>Blacktown</t>
        </is>
      </c>
      <c r="AJ107" s="48" t="inlineStr">
        <is>
          <t>2148</t>
        </is>
      </c>
      <c r="AK107" s="49" t="n">
        <v>23234</v>
      </c>
      <c r="AL107" s="48" t="inlineStr">
        <is>
          <t>Other</t>
        </is>
      </c>
      <c r="AM107" s="48" t="inlineStr">
        <is>
          <t>No</t>
        </is>
      </c>
      <c r="AN107" s="48" t="inlineStr">
        <is>
          <t>A1</t>
        </is>
      </c>
      <c r="AO107" s="48" t="inlineStr">
        <is>
          <t>High</t>
        </is>
      </c>
      <c r="AP107" s="48" t="inlineStr">
        <is>
          <t>South Sudan</t>
        </is>
      </c>
      <c r="AQ107" s="48" t="inlineStr">
        <is>
          <t>NA</t>
        </is>
      </c>
      <c r="AR107" s="48" t="inlineStr">
        <is>
          <t>Burmese (C1)</t>
        </is>
      </c>
      <c r="AS107" s="48" t="inlineStr">
        <is>
          <t>Buddhist</t>
        </is>
      </c>
      <c r="AT107" s="48" t="inlineStr">
        <is>
          <t>Hospitality &amp; Retail</t>
        </is>
      </c>
      <c r="AU107" s="48" t="inlineStr">
        <is>
          <t>Engineer</t>
        </is>
      </c>
      <c r="AV107" s="48" t="inlineStr">
        <is>
          <t>Counselling</t>
        </is>
      </c>
      <c r="AW107" s="48" t="inlineStr">
        <is>
          <t>Travel; Sport; Movies</t>
        </is>
      </c>
      <c r="AX107" s="48" t="inlineStr">
        <is>
          <t>Asylum Seeker</t>
        </is>
      </c>
      <c r="AY107" s="48" t="inlineStr">
        <is>
          <t>NA - Partner Organisation Verified</t>
        </is>
      </c>
      <c r="AZ107" s="48" t="inlineStr">
        <is>
          <t>NA - Partner Organisation Verified</t>
        </is>
      </c>
      <c r="BA107" s="48" t="inlineStr">
        <is>
          <t>NA</t>
        </is>
      </c>
      <c r="BB107" s="48" t="inlineStr">
        <is>
          <t>NA</t>
        </is>
      </c>
      <c r="BC107" s="48" t="inlineStr">
        <is>
          <t>NA</t>
        </is>
      </c>
      <c r="BD107" s="48" t="inlineStr">
        <is>
          <t>NA</t>
        </is>
      </c>
      <c r="BE107" s="48" t="inlineStr"/>
      <c r="BF107" s="48" t="inlineStr"/>
      <c r="BG107" s="48" t="inlineStr">
        <is>
          <t>NA</t>
        </is>
      </c>
      <c r="BH107" s="48" t="inlineStr">
        <is>
          <t>NA - Student</t>
        </is>
      </c>
      <c r="BI107" s="48" t="inlineStr">
        <is>
          <t>Refugee Council of Australia</t>
        </is>
      </c>
      <c r="BJ107" s="48" t="inlineStr">
        <is>
          <t>ZULMAN Levi</t>
        </is>
      </c>
      <c r="BK107" s="48" t="inlineStr">
        <is>
          <t>NUICH Curtis</t>
        </is>
      </c>
      <c r="BL107" s="48" t="inlineStr">
        <is>
          <t>Synthetic test record.</t>
        </is>
      </c>
      <c r="BM107" s="48" t="inlineStr"/>
      <c r="BN107" s="48">
        <f>TRIM(IF(AND($H107="Student",$J107="ADM-ACT-MAT-CNE"),"Invalid: Student cannot be CNE. ","")&amp;IF(AND($H107="Student",ISNUMBER($O107)),"Check: capacity set for a Student. ","")&amp;IF(AND(LEFT($J107,11)="ADM-ACT-MAT",$P107=0),"Check: matched status but 0 active pairings. ","")&amp;IF(AND($H107="Tutor",ISNUMBER($O107),$P107&gt;$O107),"Check: pairings exceed capacity. ","")&amp;IF(AND($BH107="Everyone",NOT(AND($BD107="Yes",$BG107="Yes"))),"Check: approved to tutor children but WWCC not provided/confirmed. ","")&amp;IF(AND($P107&gt;0,NOT(AND(OR(LEFT($AY107,3)="Yes",LEFT($AY107,2)="NA"),OR(LEFT($AZ107,3)="Yes",LEFT($AZ107,2)="NA")))),"Matched but vetting incomplete (interview/reference). ","")&amp;IF(COUNTIF($B$3:$B$600,$B107)&gt;1,"Duplicate participant name. ",""))</f>
        <v/>
      </c>
      <c r="BO107" s="48" t="inlineStr"/>
      <c r="BP107" s="48" t="inlineStr"/>
      <c r="BQ107" s="48" t="inlineStr"/>
      <c r="BR107" s="48" t="inlineStr"/>
      <c r="BS107" s="48" t="inlineStr"/>
      <c r="BT107" s="48" t="inlineStr"/>
      <c r="BU107" s="48" t="inlineStr"/>
      <c r="BV107" s="48" t="inlineStr"/>
      <c r="BW107" s="48" t="inlineStr"/>
      <c r="BX107" s="48" t="inlineStr"/>
      <c r="BY107" s="48" t="inlineStr"/>
      <c r="BZ107" s="48" t="inlineStr"/>
      <c r="CA107" s="48" t="inlineStr"/>
      <c r="CB107" s="48" t="inlineStr"/>
      <c r="CC107" s="48" t="inlineStr"/>
      <c r="CD107" s="48" t="inlineStr"/>
      <c r="CE107" s="48" t="inlineStr"/>
      <c r="CF107" s="48" t="inlineStr"/>
      <c r="CG107" s="48" t="inlineStr"/>
      <c r="CH107" s="48" t="inlineStr"/>
      <c r="CI107" s="48" t="inlineStr"/>
      <c r="CJ107" s="48" t="inlineStr"/>
      <c r="CK107" s="48" t="inlineStr"/>
      <c r="CL107" s="48" t="inlineStr"/>
      <c r="CM107" s="48" t="inlineStr"/>
      <c r="CN107" s="48" t="inlineStr"/>
      <c r="CO107" s="48" t="inlineStr"/>
      <c r="CP107" s="48" t="inlineStr"/>
      <c r="CQ107" s="48" t="inlineStr"/>
      <c r="CR107" s="48" t="inlineStr"/>
      <c r="CS107" s="48">
        <f>IF(LEFT($J107,3)="ERR",0,1)</f>
        <v/>
      </c>
      <c r="CT107" s="48">
        <f>IF(LEFT($J107,3)="ADM",1,0)</f>
        <v/>
      </c>
      <c r="CU107" s="48">
        <f>IF(OR($J107="ADM-ACT-MAT-CNE",$J107="ADM-ACT-MAT-CE",$J107="ADM-INACT-M&amp;T"),1,0)</f>
        <v/>
      </c>
      <c r="CV107" s="48">
        <f>IF(AND(CU107=1,ISNUMBER(M107),ISNUMBER(I107)),M107-I107,"")</f>
        <v/>
      </c>
      <c r="CW107" s="48">
        <f>IF(ISNUMBER(I107),TODAY()-I107,"")</f>
        <v/>
      </c>
      <c r="CX107" s="48">
        <f>IF(ISNUMBER(I107),DATE(YEAR(I107),MONTH(I107),1),"")</f>
        <v/>
      </c>
      <c r="CY107" s="48">
        <f>IFERROR(DATEDIF(AK107,TODAY(),"y"),"")</f>
        <v/>
      </c>
      <c r="CZ107" s="48">
        <f>IF(CY107="","",IF(CY107&lt;28,"18-27",IF(CY107&lt;38,"28-37",IF(CY107&lt;48,"38-47",IF(CY107&lt;58,"48-57",IF(CY107&lt;68,"58-67",IF(CY107&lt;78,"68-77","78+")))))) </f>
        <v/>
      </c>
      <c r="DA107" s="48">
        <f>IF(AND(BQ107&lt;&gt;"",BR107=""),N(BS107),0)+IF(AND(BW107&lt;&gt;"",BX107=""),N(BY107),0)+IF(AND(CC107&lt;&gt;"",CD107=""),N(CE107),0)+IF(AND(CI107&lt;&gt;"",CJ107=""),N(CK107),0)+IF(AND(CO107&lt;&gt;"",CP107=""),N(CQ107),0)</f>
        <v/>
      </c>
      <c r="DB107" s="48">
        <f>ROUND(IF(BQ107&lt;&gt;"",N(BS107)*MAX(0,((IF(BR107="",TODAY(),BR107))-BQ107)/7),0)+IF(BW107&lt;&gt;"",N(BY107)*MAX(0,((IF(BX107="",TODAY(),BX107))-BW107)/7),0)+IF(CC107&lt;&gt;"",N(CE107)*MAX(0,((IF(CD107="",TODAY(),CD107))-CC107)/7),0)+IF(CI107&lt;&gt;"",N(CK107)*MAX(0,((IF(CJ107="",TODAY(),CJ107))-CI107)/7),0)+IF(CO107&lt;&gt;"",N(CQ107)*MAX(0,((IF(CP107="",TODAY(),CP107))-CO107)/7),0),1)</f>
        <v/>
      </c>
      <c r="DC107" s="48">
        <f>IF(OR(TRIM(X107)="",TRIM(X107)="NA;",TRIM(X107)="NA"),0,1)</f>
        <v/>
      </c>
      <c r="DD107" s="48">
        <f>IF(OR(TRIM(Y107)="",TRIM(Y107)="NA;",TRIM(Y107)="NA"),0,1)</f>
        <v/>
      </c>
      <c r="DE107" s="48">
        <f>IF(OR(TRIM(Z107)="",TRIM(Z107)="NA;",TRIM(Z107)="NA"),0,1)</f>
        <v/>
      </c>
      <c r="DF107" s="48">
        <f>IF(OR(TRIM(AA107)="",TRIM(AA107)="NA;",TRIM(AA107)="NA"),0,1)</f>
        <v/>
      </c>
      <c r="DG107" s="48">
        <f>IF(OR(TRIM(AB107)="",TRIM(AB107)="NA;",TRIM(AB107)="NA"),0,1)</f>
        <v/>
      </c>
      <c r="DH107" s="48">
        <f>IF(OR(TRIM(AC107)="",TRIM(AC107)="NA;",TRIM(AC107)="NA"),0,1)</f>
        <v/>
      </c>
      <c r="DI107" s="48">
        <f>IF(OR(TRIM(AD107)="",TRIM(AD107)="NA;",TRIM(AD107)="NA"),0,1)</f>
        <v/>
      </c>
      <c r="DJ107" s="48">
        <f>TRIM(IF(DC107=1,"Mon ","")&amp;IF(DD107=1,"Tue ","")&amp;IF(DE107=1,"Wed ","")&amp;IF(DF107=1,"Thu ","")&amp;IF(DG107=1,"Fri ","")&amp;IF(DH107=1,"Sat ","")&amp;IF(DI107=1,"Sun ",""))</f>
        <v/>
      </c>
    </row>
    <row r="108">
      <c r="A108" s="48" t="inlineStr">
        <is>
          <t>S-O-00006</t>
        </is>
      </c>
      <c r="B108" s="48" t="inlineStr">
        <is>
          <t>Reza Yang</t>
        </is>
      </c>
      <c r="C108" s="48" t="inlineStr">
        <is>
          <t>reza.yang6@example.com</t>
        </is>
      </c>
      <c r="D108" s="48" t="inlineStr">
        <is>
          <t>+61 470 534 382</t>
        </is>
      </c>
      <c r="E108" s="48" t="inlineStr">
        <is>
          <t>Daniel Brown</t>
        </is>
      </c>
      <c r="F108" s="48" t="inlineStr">
        <is>
          <t>+61 474 494 946</t>
        </is>
      </c>
      <c r="G108" s="48" t="inlineStr">
        <is>
          <t>Friend</t>
        </is>
      </c>
      <c r="H108" s="48" t="inlineStr">
        <is>
          <t>Student</t>
        </is>
      </c>
      <c r="I108" s="49" t="n">
        <v>45370</v>
      </c>
      <c r="J108" s="48" t="inlineStr">
        <is>
          <t>NADM-REJ-UNRES</t>
        </is>
      </c>
      <c r="K108" s="48">
        <f>IFERROR(VLOOKUP(J108,'(A) Introduction'!$B$35:$C$45,2,FALSE),"")</f>
        <v/>
      </c>
      <c r="L108" s="48" t="inlineStr">
        <is>
          <t>No</t>
        </is>
      </c>
      <c r="M108" s="48" t="inlineStr"/>
      <c r="N108" s="48" t="inlineStr"/>
      <c r="O108" s="48" t="inlineStr">
        <is>
          <t>NA</t>
        </is>
      </c>
      <c r="P108" s="48">
        <f>IF($H108="Tutor",((BQ108&lt;&gt;"")*(BR108=""))+((BW108&lt;&gt;"")*(BX108=""))+((CC108&lt;&gt;"")*(CD108=""))+((CI108&lt;&gt;"")*(CJ108=""))+((CO108&lt;&gt;"")*(CP108="")),SUMPRODUCT(--($BO$3:$BO$202=$A108),--($BR$3:$BR$202=""))+SUMPRODUCT(--($BU$3:$BU$202=$A108),--($BX$3:$BX$202=""))+SUMPRODUCT(--($CA$3:$CA$202=$A108),--($CD$3:$CD$202=""))+SUMPRODUCT(--($CG$3:$CG$202=$A108),--($CJ$3:$CJ$202=""))+SUMPRODUCT(--($CM$3:$CM$202=$A108),--($CP$3:$CP$202="")))</f>
        <v/>
      </c>
      <c r="Q108" s="48">
        <f>IF($H108="Tutor",(BQ108&lt;&gt;"")+(BW108&lt;&gt;"")+(CC108&lt;&gt;"")+(CI108&lt;&gt;"")+(CO108&lt;&gt;""),SUMPRODUCT(--($BO$3:$BO$202=$A108))+SUMPRODUCT(--($BU$3:$BU$202=$A108))+SUMPRODUCT(--($CA$3:$CA$202=$A108))+SUMPRODUCT(--($CG$3:$CG$202=$A108))+SUMPRODUCT(--($CM$3:$CM$202=$A108)))</f>
        <v/>
      </c>
      <c r="R108" s="48">
        <f>IF($H108="Tutor",TRIM(IF(AND(BQ108&lt;&gt;"",BR108=""),BP108&amp;"; ","")&amp;IF(AND(BW108&lt;&gt;"",BX108=""),BV108&amp;"; ","")&amp;IF(AND(CC108&lt;&gt;"",CD108=""),CB108&amp;"; ","")&amp;IF(AND(CI108&lt;&gt;"",CJ108=""),CH108&amp;"; ","")&amp;IF(AND(CO108&lt;&gt;"",CP108=""),CN108&amp;"; ","")),IFERROR(INDEX($A$3:$B$202,(SUMPRODUCT(($BO$3:$BO$202=$A108)*($BR$3:$BR$202="")*ROW($BO$3:$BO$202))+SUMPRODUCT(($BU$3:$BU$202=$A108)*($BX$3:$BX$202="")*ROW($BU$3:$BU$202))+SUMPRODUCT(($CA$3:$CA$202=$A108)*($CD$3:$CD$202="")*ROW($CA$3:$CA$202))+SUMPRODUCT(($CG$3:$CG$202=$A108)*($CJ$3:$CJ$202="")*ROW($CG$3:$CG$202))+SUMPRODUCT(($CM$3:$CM$202=$A108)*($CP$3:$CP$202="")*ROW($CM$3:$CM$202)))-2,2),""))</f>
        <v/>
      </c>
      <c r="S108" s="48" t="inlineStr">
        <is>
          <t>Provided</t>
        </is>
      </c>
      <c r="T108" s="48" t="inlineStr"/>
      <c r="U108" s="48" t="inlineStr"/>
      <c r="V108" s="48" t="inlineStr"/>
      <c r="W108" s="48" t="inlineStr">
        <is>
          <t>AEST (UTC+10)</t>
        </is>
      </c>
      <c r="X108" s="48" t="inlineStr">
        <is>
          <t>6pm-9pm;</t>
        </is>
      </c>
      <c r="Y108" s="48" t="inlineStr">
        <is>
          <t>9am-12pm;</t>
        </is>
      </c>
      <c r="Z108" s="48" t="inlineStr">
        <is>
          <t>12pm-3pm;6pm-9pm;</t>
        </is>
      </c>
      <c r="AA108" s="48" t="inlineStr">
        <is>
          <t>6pm-9pm;</t>
        </is>
      </c>
      <c r="AB108" s="48" t="inlineStr">
        <is>
          <t>3pm-6pm;</t>
        </is>
      </c>
      <c r="AC108" s="48" t="inlineStr">
        <is>
          <t>12pm-3pm;</t>
        </is>
      </c>
      <c r="AD108" s="48" t="inlineStr">
        <is>
          <t>12pm-3pm;</t>
        </is>
      </c>
      <c r="AE108" s="48" t="inlineStr">
        <is>
          <t>Online</t>
        </is>
      </c>
      <c r="AF108" s="48" t="inlineStr">
        <is>
          <t>Multiple devices</t>
        </is>
      </c>
      <c r="AG108" s="48" t="inlineStr">
        <is>
          <t>Australia</t>
        </is>
      </c>
      <c r="AH108" s="48" t="inlineStr">
        <is>
          <t>New South Wales</t>
        </is>
      </c>
      <c r="AI108" s="48" t="inlineStr">
        <is>
          <t>Auburn</t>
        </is>
      </c>
      <c r="AJ108" s="48" t="inlineStr">
        <is>
          <t>2144</t>
        </is>
      </c>
      <c r="AK108" s="49" t="n">
        <v>26179</v>
      </c>
      <c r="AL108" s="48" t="inlineStr">
        <is>
          <t>Male</t>
        </is>
      </c>
      <c r="AM108" s="48" t="inlineStr">
        <is>
          <t>No</t>
        </is>
      </c>
      <c r="AN108" s="48" t="inlineStr">
        <is>
          <t>B1</t>
        </is>
      </c>
      <c r="AO108" s="48" t="inlineStr">
        <is>
          <t>Low</t>
        </is>
      </c>
      <c r="AP108" s="48" t="inlineStr">
        <is>
          <t>Colombia; Ukraine</t>
        </is>
      </c>
      <c r="AQ108" s="48" t="inlineStr">
        <is>
          <t>NA</t>
        </is>
      </c>
      <c r="AR108" s="48" t="inlineStr">
        <is>
          <t>Pashto (B2)</t>
        </is>
      </c>
      <c r="AS108" s="48" t="inlineStr">
        <is>
          <t>Christian</t>
        </is>
      </c>
      <c r="AT108" s="48" t="inlineStr">
        <is>
          <t>Other / Unspecified</t>
        </is>
      </c>
      <c r="AU108" s="48" t="inlineStr">
        <is>
          <t>Lawyer</t>
        </is>
      </c>
      <c r="AV108" s="48" t="inlineStr">
        <is>
          <t>Medicine</t>
        </is>
      </c>
      <c r="AW108" s="48" t="inlineStr">
        <is>
          <t>Reading; Politics; Music</t>
        </is>
      </c>
      <c r="AX108" s="48" t="inlineStr">
        <is>
          <t>Refugee</t>
        </is>
      </c>
      <c r="AY108" s="48" t="inlineStr">
        <is>
          <t>NA - RELT Member Verified</t>
        </is>
      </c>
      <c r="AZ108" s="48" t="inlineStr">
        <is>
          <t>Yes</t>
        </is>
      </c>
      <c r="BA108" s="48" t="inlineStr">
        <is>
          <t>NA</t>
        </is>
      </c>
      <c r="BB108" s="48" t="inlineStr">
        <is>
          <t>NA</t>
        </is>
      </c>
      <c r="BC108" s="48" t="inlineStr">
        <is>
          <t>NA</t>
        </is>
      </c>
      <c r="BD108" s="48" t="inlineStr">
        <is>
          <t>NA</t>
        </is>
      </c>
      <c r="BE108" s="48" t="inlineStr"/>
      <c r="BF108" s="48" t="inlineStr"/>
      <c r="BG108" s="48" t="inlineStr">
        <is>
          <t>NA</t>
        </is>
      </c>
      <c r="BH108" s="48" t="inlineStr">
        <is>
          <t>NA - Student</t>
        </is>
      </c>
      <c r="BI108" s="48" t="inlineStr">
        <is>
          <t>University of Sydney (including St. Paul's College)</t>
        </is>
      </c>
      <c r="BJ108" s="48" t="inlineStr">
        <is>
          <t>ZULMAN Levi</t>
        </is>
      </c>
      <c r="BK108" s="48" t="inlineStr">
        <is>
          <t>AGARWAL Akanksha</t>
        </is>
      </c>
      <c r="BL108" s="48" t="inlineStr">
        <is>
          <t>Synthetic test record.</t>
        </is>
      </c>
      <c r="BM108" s="48" t="inlineStr"/>
      <c r="BN108" s="48">
        <f>TRIM(IF(AND($H108="Student",$J108="ADM-ACT-MAT-CNE"),"Invalid: Student cannot be CNE. ","")&amp;IF(AND($H108="Student",ISNUMBER($O108)),"Check: capacity set for a Student. ","")&amp;IF(AND(LEFT($J108,11)="ADM-ACT-MAT",$P108=0),"Check: matched status but 0 active pairings. ","")&amp;IF(AND($H108="Tutor",ISNUMBER($O108),$P108&gt;$O108),"Check: pairings exceed capacity. ","")&amp;IF(AND($BH108="Everyone",NOT(AND($BD108="Yes",$BG108="Yes"))),"Check: approved to tutor children but WWCC not provided/confirmed. ","")&amp;IF(AND($P108&gt;0,NOT(AND(OR(LEFT($AY108,3)="Yes",LEFT($AY108,2)="NA"),OR(LEFT($AZ108,3)="Yes",LEFT($AZ108,2)="NA")))),"Matched but vetting incomplete (interview/reference). ","")&amp;IF(COUNTIF($B$3:$B$600,$B108)&gt;1,"Duplicate participant name. ",""))</f>
        <v/>
      </c>
      <c r="BO108" s="48" t="inlineStr"/>
      <c r="BP108" s="48" t="inlineStr"/>
      <c r="BQ108" s="48" t="inlineStr"/>
      <c r="BR108" s="48" t="inlineStr"/>
      <c r="BS108" s="48" t="inlineStr"/>
      <c r="BT108" s="48" t="inlineStr"/>
      <c r="BU108" s="48" t="inlineStr"/>
      <c r="BV108" s="48" t="inlineStr"/>
      <c r="BW108" s="48" t="inlineStr"/>
      <c r="BX108" s="48" t="inlineStr"/>
      <c r="BY108" s="48" t="inlineStr"/>
      <c r="BZ108" s="48" t="inlineStr"/>
      <c r="CA108" s="48" t="inlineStr"/>
      <c r="CB108" s="48" t="inlineStr"/>
      <c r="CC108" s="48" t="inlineStr"/>
      <c r="CD108" s="48" t="inlineStr"/>
      <c r="CE108" s="48" t="inlineStr"/>
      <c r="CF108" s="48" t="inlineStr"/>
      <c r="CG108" s="48" t="inlineStr"/>
      <c r="CH108" s="48" t="inlineStr"/>
      <c r="CI108" s="48" t="inlineStr"/>
      <c r="CJ108" s="48" t="inlineStr"/>
      <c r="CK108" s="48" t="inlineStr"/>
      <c r="CL108" s="48" t="inlineStr"/>
      <c r="CM108" s="48" t="inlineStr"/>
      <c r="CN108" s="48" t="inlineStr"/>
      <c r="CO108" s="48" t="inlineStr"/>
      <c r="CP108" s="48" t="inlineStr"/>
      <c r="CQ108" s="48" t="inlineStr"/>
      <c r="CR108" s="48" t="inlineStr"/>
      <c r="CS108" s="48">
        <f>IF(LEFT($J108,3)="ERR",0,1)</f>
        <v/>
      </c>
      <c r="CT108" s="48">
        <f>IF(LEFT($J108,3)="ADM",1,0)</f>
        <v/>
      </c>
      <c r="CU108" s="48">
        <f>IF(OR($J108="ADM-ACT-MAT-CNE",$J108="ADM-ACT-MAT-CE",$J108="ADM-INACT-M&amp;T"),1,0)</f>
        <v/>
      </c>
      <c r="CV108" s="48">
        <f>IF(AND(CU108=1,ISNUMBER(M108),ISNUMBER(I108)),M108-I108,"")</f>
        <v/>
      </c>
      <c r="CW108" s="48">
        <f>IF(ISNUMBER(I108),TODAY()-I108,"")</f>
        <v/>
      </c>
      <c r="CX108" s="48">
        <f>IF(ISNUMBER(I108),DATE(YEAR(I108),MONTH(I108),1),"")</f>
        <v/>
      </c>
      <c r="CY108" s="48">
        <f>IFERROR(DATEDIF(AK108,TODAY(),"y"),"")</f>
        <v/>
      </c>
      <c r="CZ108" s="48">
        <f>IF(CY108="","",IF(CY108&lt;28,"18-27",IF(CY108&lt;38,"28-37",IF(CY108&lt;48,"38-47",IF(CY108&lt;58,"48-57",IF(CY108&lt;68,"58-67",IF(CY108&lt;78,"68-77","78+")))))) </f>
        <v/>
      </c>
      <c r="DA108" s="48">
        <f>IF(AND(BQ108&lt;&gt;"",BR108=""),N(BS108),0)+IF(AND(BW108&lt;&gt;"",BX108=""),N(BY108),0)+IF(AND(CC108&lt;&gt;"",CD108=""),N(CE108),0)+IF(AND(CI108&lt;&gt;"",CJ108=""),N(CK108),0)+IF(AND(CO108&lt;&gt;"",CP108=""),N(CQ108),0)</f>
        <v/>
      </c>
      <c r="DB108" s="48">
        <f>ROUND(IF(BQ108&lt;&gt;"",N(BS108)*MAX(0,((IF(BR108="",TODAY(),BR108))-BQ108)/7),0)+IF(BW108&lt;&gt;"",N(BY108)*MAX(0,((IF(BX108="",TODAY(),BX108))-BW108)/7),0)+IF(CC108&lt;&gt;"",N(CE108)*MAX(0,((IF(CD108="",TODAY(),CD108))-CC108)/7),0)+IF(CI108&lt;&gt;"",N(CK108)*MAX(0,((IF(CJ108="",TODAY(),CJ108))-CI108)/7),0)+IF(CO108&lt;&gt;"",N(CQ108)*MAX(0,((IF(CP108="",TODAY(),CP108))-CO108)/7),0),1)</f>
        <v/>
      </c>
      <c r="DC108" s="48">
        <f>IF(OR(TRIM(X108)="",TRIM(X108)="NA;",TRIM(X108)="NA"),0,1)</f>
        <v/>
      </c>
      <c r="DD108" s="48">
        <f>IF(OR(TRIM(Y108)="",TRIM(Y108)="NA;",TRIM(Y108)="NA"),0,1)</f>
        <v/>
      </c>
      <c r="DE108" s="48">
        <f>IF(OR(TRIM(Z108)="",TRIM(Z108)="NA;",TRIM(Z108)="NA"),0,1)</f>
        <v/>
      </c>
      <c r="DF108" s="48">
        <f>IF(OR(TRIM(AA108)="",TRIM(AA108)="NA;",TRIM(AA108)="NA"),0,1)</f>
        <v/>
      </c>
      <c r="DG108" s="48">
        <f>IF(OR(TRIM(AB108)="",TRIM(AB108)="NA;",TRIM(AB108)="NA"),0,1)</f>
        <v/>
      </c>
      <c r="DH108" s="48">
        <f>IF(OR(TRIM(AC108)="",TRIM(AC108)="NA;",TRIM(AC108)="NA"),0,1)</f>
        <v/>
      </c>
      <c r="DI108" s="48">
        <f>IF(OR(TRIM(AD108)="",TRIM(AD108)="NA;",TRIM(AD108)="NA"),0,1)</f>
        <v/>
      </c>
      <c r="DJ108" s="48">
        <f>TRIM(IF(DC108=1,"Mon ","")&amp;IF(DD108=1,"Tue ","")&amp;IF(DE108=1,"Wed ","")&amp;IF(DF108=1,"Thu ","")&amp;IF(DG108=1,"Fri ","")&amp;IF(DH108=1,"Sat ","")&amp;IF(DI108=1,"Sun ",""))</f>
        <v/>
      </c>
    </row>
    <row r="109">
      <c r="A109" s="48" t="inlineStr">
        <is>
          <t>S-O-00007</t>
        </is>
      </c>
      <c r="B109" s="48" t="inlineStr">
        <is>
          <t>Luke Ahmed</t>
        </is>
      </c>
      <c r="C109" s="48" t="inlineStr">
        <is>
          <t>luke.ahmed7@example.com</t>
        </is>
      </c>
      <c r="D109" s="48" t="inlineStr">
        <is>
          <t>+61 422 748 834</t>
        </is>
      </c>
      <c r="E109" s="48" t="inlineStr">
        <is>
          <t>Aisha Marks</t>
        </is>
      </c>
      <c r="F109" s="48" t="inlineStr">
        <is>
          <t>+61 490 118 779</t>
        </is>
      </c>
      <c r="G109" s="48" t="inlineStr">
        <is>
          <t>Sibling</t>
        </is>
      </c>
      <c r="H109" s="48" t="inlineStr">
        <is>
          <t>Student</t>
        </is>
      </c>
      <c r="I109" s="49" t="n">
        <v>45376</v>
      </c>
      <c r="J109" s="48" t="inlineStr">
        <is>
          <t>ADM-ACT-MAT-CE</t>
        </is>
      </c>
      <c r="K109" s="48">
        <f>IFERROR(VLOOKUP(J109,'(A) Introduction'!$B$35:$C$45,2,FALSE),"")</f>
        <v/>
      </c>
      <c r="L109" s="48" t="inlineStr">
        <is>
          <t>No</t>
        </is>
      </c>
      <c r="M109" s="49" t="n">
        <v>45496</v>
      </c>
      <c r="N109" s="48" t="inlineStr"/>
      <c r="O109" s="48" t="inlineStr">
        <is>
          <t>NA</t>
        </is>
      </c>
      <c r="P109" s="48">
        <f>IF($H109="Tutor",((BQ109&lt;&gt;"")*(BR109=""))+((BW109&lt;&gt;"")*(BX109=""))+((CC109&lt;&gt;"")*(CD109=""))+((CI109&lt;&gt;"")*(CJ109=""))+((CO109&lt;&gt;"")*(CP109="")),SUMPRODUCT(--($BO$3:$BO$202=$A109),--($BR$3:$BR$202=""))+SUMPRODUCT(--($BU$3:$BU$202=$A109),--($BX$3:$BX$202=""))+SUMPRODUCT(--($CA$3:$CA$202=$A109),--($CD$3:$CD$202=""))+SUMPRODUCT(--($CG$3:$CG$202=$A109),--($CJ$3:$CJ$202=""))+SUMPRODUCT(--($CM$3:$CM$202=$A109),--($CP$3:$CP$202="")))</f>
        <v/>
      </c>
      <c r="Q109" s="48">
        <f>IF($H109="Tutor",(BQ109&lt;&gt;"")+(BW109&lt;&gt;"")+(CC109&lt;&gt;"")+(CI109&lt;&gt;"")+(CO109&lt;&gt;""),SUMPRODUCT(--($BO$3:$BO$202=$A109))+SUMPRODUCT(--($BU$3:$BU$202=$A109))+SUMPRODUCT(--($CA$3:$CA$202=$A109))+SUMPRODUCT(--($CG$3:$CG$202=$A109))+SUMPRODUCT(--($CM$3:$CM$202=$A109)))</f>
        <v/>
      </c>
      <c r="R109" s="48">
        <f>IF($H109="Tutor",TRIM(IF(AND(BQ109&lt;&gt;"",BR109=""),BP109&amp;"; ","")&amp;IF(AND(BW109&lt;&gt;"",BX109=""),BV109&amp;"; ","")&amp;IF(AND(CC109&lt;&gt;"",CD109=""),CB109&amp;"; ","")&amp;IF(AND(CI109&lt;&gt;"",CJ109=""),CH109&amp;"; ","")&amp;IF(AND(CO109&lt;&gt;"",CP109=""),CN109&amp;"; ","")),IFERROR(INDEX($A$3:$B$202,(SUMPRODUCT(($BO$3:$BO$202=$A109)*($BR$3:$BR$202="")*ROW($BO$3:$BO$202))+SUMPRODUCT(($BU$3:$BU$202=$A109)*($BX$3:$BX$202="")*ROW($BU$3:$BU$202))+SUMPRODUCT(($CA$3:$CA$202=$A109)*($CD$3:$CD$202="")*ROW($CA$3:$CA$202))+SUMPRODUCT(($CG$3:$CG$202=$A109)*($CJ$3:$CJ$202="")*ROW($CG$3:$CG$202))+SUMPRODUCT(($CM$3:$CM$202=$A109)*($CP$3:$CP$202="")*ROW($CM$3:$CM$202)))-2,2),""))</f>
        <v/>
      </c>
      <c r="S109" s="48" t="inlineStr">
        <is>
          <t>Provided</t>
        </is>
      </c>
      <c r="T109" s="48" t="inlineStr"/>
      <c r="U109" s="48" t="inlineStr"/>
      <c r="V109" s="49" t="n">
        <v>45847</v>
      </c>
      <c r="W109" s="48" t="inlineStr">
        <is>
          <t>AEDT (UTC+11)</t>
        </is>
      </c>
      <c r="X109" s="48" t="inlineStr">
        <is>
          <t>6am-9am;9am-12pm;</t>
        </is>
      </c>
      <c r="Y109" s="48" t="inlineStr">
        <is>
          <t>9am-12pm;12pm-3pm;3pm-6pm;</t>
        </is>
      </c>
      <c r="Z109" s="48" t="inlineStr">
        <is>
          <t>12pm-3pm;6pm-9pm;</t>
        </is>
      </c>
      <c r="AA109" s="48" t="inlineStr">
        <is>
          <t>12pm-3pm;6pm-9pm;</t>
        </is>
      </c>
      <c r="AB109" s="48" t="inlineStr">
        <is>
          <t>12pm-3pm;</t>
        </is>
      </c>
      <c r="AC109" s="48" t="inlineStr">
        <is>
          <t>3pm-6pm;</t>
        </is>
      </c>
      <c r="AD109" s="48" t="inlineStr">
        <is>
          <t>12pm-3pm;6pm-9pm;</t>
        </is>
      </c>
      <c r="AE109" s="48" t="inlineStr">
        <is>
          <t>In-Person</t>
        </is>
      </c>
      <c r="AF109" s="48" t="inlineStr">
        <is>
          <t>Tablet</t>
        </is>
      </c>
      <c r="AG109" s="48" t="inlineStr">
        <is>
          <t>Australia</t>
        </is>
      </c>
      <c r="AH109" s="48" t="inlineStr">
        <is>
          <t>Queensland</t>
        </is>
      </c>
      <c r="AI109" s="48" t="inlineStr">
        <is>
          <t>Logan</t>
        </is>
      </c>
      <c r="AJ109" s="48" t="inlineStr">
        <is>
          <t>4114</t>
        </is>
      </c>
      <c r="AK109" s="49" t="n">
        <v>30066</v>
      </c>
      <c r="AL109" s="48" t="inlineStr">
        <is>
          <t>Female</t>
        </is>
      </c>
      <c r="AM109" s="48" t="inlineStr">
        <is>
          <t>No</t>
        </is>
      </c>
      <c r="AN109" s="48" t="inlineStr">
        <is>
          <t>B2</t>
        </is>
      </c>
      <c r="AO109" s="48" t="inlineStr">
        <is>
          <t>High</t>
        </is>
      </c>
      <c r="AP109" s="48" t="inlineStr">
        <is>
          <t>Ukraine</t>
        </is>
      </c>
      <c r="AQ109" s="48" t="inlineStr">
        <is>
          <t>NA</t>
        </is>
      </c>
      <c r="AR109" s="48" t="inlineStr">
        <is>
          <t>Somali (C1)</t>
        </is>
      </c>
      <c r="AS109" s="48" t="inlineStr">
        <is>
          <t>Christian (Orthodox)</t>
        </is>
      </c>
      <c r="AT109" s="48" t="inlineStr">
        <is>
          <t>Education &amp; Academia</t>
        </is>
      </c>
      <c r="AU109" s="48" t="inlineStr">
        <is>
          <t>Student</t>
        </is>
      </c>
      <c r="AV109" s="48" t="inlineStr">
        <is>
          <t>Construction</t>
        </is>
      </c>
      <c r="AW109" s="48" t="inlineStr">
        <is>
          <t>Reading; Politics; Music</t>
        </is>
      </c>
      <c r="AX109" s="48" t="inlineStr">
        <is>
          <t>Asylum Seeker</t>
        </is>
      </c>
      <c r="AY109" s="48" t="inlineStr">
        <is>
          <t>NA - Partner Organisation Verified</t>
        </is>
      </c>
      <c r="AZ109" s="48" t="inlineStr">
        <is>
          <t>Yes</t>
        </is>
      </c>
      <c r="BA109" s="48" t="inlineStr">
        <is>
          <t>NA</t>
        </is>
      </c>
      <c r="BB109" s="48" t="inlineStr">
        <is>
          <t>NA</t>
        </is>
      </c>
      <c r="BC109" s="48" t="inlineStr">
        <is>
          <t>NA</t>
        </is>
      </c>
      <c r="BD109" s="48" t="inlineStr">
        <is>
          <t>NA</t>
        </is>
      </c>
      <c r="BE109" s="48" t="inlineStr"/>
      <c r="BF109" s="48" t="inlineStr"/>
      <c r="BG109" s="48" t="inlineStr">
        <is>
          <t>NA</t>
        </is>
      </c>
      <c r="BH109" s="48" t="inlineStr">
        <is>
          <t>NA - Student</t>
        </is>
      </c>
      <c r="BI109" s="48" t="inlineStr">
        <is>
          <t>Tasmania University (including the Law Society)</t>
        </is>
      </c>
      <c r="BJ109" s="48" t="inlineStr">
        <is>
          <t>HALLORAN Isobel</t>
        </is>
      </c>
      <c r="BK109" s="48" t="inlineStr">
        <is>
          <t>SHANAHAN Jack</t>
        </is>
      </c>
      <c r="BL109" s="48" t="inlineStr">
        <is>
          <t>Synthetic test record.</t>
        </is>
      </c>
      <c r="BM109" s="48" t="inlineStr"/>
      <c r="BN109" s="48">
        <f>TRIM(IF(AND($H109="Student",$J109="ADM-ACT-MAT-CNE"),"Invalid: Student cannot be CNE. ","")&amp;IF(AND($H109="Student",ISNUMBER($O109)),"Check: capacity set for a Student. ","")&amp;IF(AND(LEFT($J109,11)="ADM-ACT-MAT",$P109=0),"Check: matched status but 0 active pairings. ","")&amp;IF(AND($H109="Tutor",ISNUMBER($O109),$P109&gt;$O109),"Check: pairings exceed capacity. ","")&amp;IF(AND($BH109="Everyone",NOT(AND($BD109="Yes",$BG109="Yes"))),"Check: approved to tutor children but WWCC not provided/confirmed. ","")&amp;IF(AND($P109&gt;0,NOT(AND(OR(LEFT($AY109,3)="Yes",LEFT($AY109,2)="NA"),OR(LEFT($AZ109,3)="Yes",LEFT($AZ109,2)="NA")))),"Matched but vetting incomplete (interview/reference). ","")&amp;IF(COUNTIF($B$3:$B$600,$B109)&gt;1,"Duplicate participant name. ",""))</f>
        <v/>
      </c>
      <c r="BO109" s="48" t="inlineStr"/>
      <c r="BP109" s="48" t="inlineStr"/>
      <c r="BQ109" s="48" t="inlineStr"/>
      <c r="BR109" s="48" t="inlineStr"/>
      <c r="BS109" s="48" t="inlineStr"/>
      <c r="BT109" s="48" t="inlineStr"/>
      <c r="BU109" s="48" t="inlineStr"/>
      <c r="BV109" s="48" t="inlineStr"/>
      <c r="BW109" s="48" t="inlineStr"/>
      <c r="BX109" s="48" t="inlineStr"/>
      <c r="BY109" s="48" t="inlineStr"/>
      <c r="BZ109" s="48" t="inlineStr"/>
      <c r="CA109" s="48" t="inlineStr"/>
      <c r="CB109" s="48" t="inlineStr"/>
      <c r="CC109" s="48" t="inlineStr"/>
      <c r="CD109" s="48" t="inlineStr"/>
      <c r="CE109" s="48" t="inlineStr"/>
      <c r="CF109" s="48" t="inlineStr"/>
      <c r="CG109" s="48" t="inlineStr"/>
      <c r="CH109" s="48" t="inlineStr"/>
      <c r="CI109" s="48" t="inlineStr"/>
      <c r="CJ109" s="48" t="inlineStr"/>
      <c r="CK109" s="48" t="inlineStr"/>
      <c r="CL109" s="48" t="inlineStr"/>
      <c r="CM109" s="48" t="inlineStr"/>
      <c r="CN109" s="48" t="inlineStr"/>
      <c r="CO109" s="48" t="inlineStr"/>
      <c r="CP109" s="48" t="inlineStr"/>
      <c r="CQ109" s="48" t="inlineStr"/>
      <c r="CR109" s="48" t="inlineStr"/>
      <c r="CS109" s="48">
        <f>IF(LEFT($J109,3)="ERR",0,1)</f>
        <v/>
      </c>
      <c r="CT109" s="48">
        <f>IF(LEFT($J109,3)="ADM",1,0)</f>
        <v/>
      </c>
      <c r="CU109" s="48">
        <f>IF(OR($J109="ADM-ACT-MAT-CNE",$J109="ADM-ACT-MAT-CE",$J109="ADM-INACT-M&amp;T"),1,0)</f>
        <v/>
      </c>
      <c r="CV109" s="48">
        <f>IF(AND(CU109=1,ISNUMBER(M109),ISNUMBER(I109)),M109-I109,"")</f>
        <v/>
      </c>
      <c r="CW109" s="48">
        <f>IF(ISNUMBER(I109),TODAY()-I109,"")</f>
        <v/>
      </c>
      <c r="CX109" s="48">
        <f>IF(ISNUMBER(I109),DATE(YEAR(I109),MONTH(I109),1),"")</f>
        <v/>
      </c>
      <c r="CY109" s="48">
        <f>IFERROR(DATEDIF(AK109,TODAY(),"y"),"")</f>
        <v/>
      </c>
      <c r="CZ109" s="48">
        <f>IF(CY109="","",IF(CY109&lt;28,"18-27",IF(CY109&lt;38,"28-37",IF(CY109&lt;48,"38-47",IF(CY109&lt;58,"48-57",IF(CY109&lt;68,"58-67",IF(CY109&lt;78,"68-77","78+")))))) </f>
        <v/>
      </c>
      <c r="DA109" s="48">
        <f>IF(AND(BQ109&lt;&gt;"",BR109=""),N(BS109),0)+IF(AND(BW109&lt;&gt;"",BX109=""),N(BY109),0)+IF(AND(CC109&lt;&gt;"",CD109=""),N(CE109),0)+IF(AND(CI109&lt;&gt;"",CJ109=""),N(CK109),0)+IF(AND(CO109&lt;&gt;"",CP109=""),N(CQ109),0)</f>
        <v/>
      </c>
      <c r="DB109" s="48">
        <f>ROUND(IF(BQ109&lt;&gt;"",N(BS109)*MAX(0,((IF(BR109="",TODAY(),BR109))-BQ109)/7),0)+IF(BW109&lt;&gt;"",N(BY109)*MAX(0,((IF(BX109="",TODAY(),BX109))-BW109)/7),0)+IF(CC109&lt;&gt;"",N(CE109)*MAX(0,((IF(CD109="",TODAY(),CD109))-CC109)/7),0)+IF(CI109&lt;&gt;"",N(CK109)*MAX(0,((IF(CJ109="",TODAY(),CJ109))-CI109)/7),0)+IF(CO109&lt;&gt;"",N(CQ109)*MAX(0,((IF(CP109="",TODAY(),CP109))-CO109)/7),0),1)</f>
        <v/>
      </c>
      <c r="DC109" s="48">
        <f>IF(OR(TRIM(X109)="",TRIM(X109)="NA;",TRIM(X109)="NA"),0,1)</f>
        <v/>
      </c>
      <c r="DD109" s="48">
        <f>IF(OR(TRIM(Y109)="",TRIM(Y109)="NA;",TRIM(Y109)="NA"),0,1)</f>
        <v/>
      </c>
      <c r="DE109" s="48">
        <f>IF(OR(TRIM(Z109)="",TRIM(Z109)="NA;",TRIM(Z109)="NA"),0,1)</f>
        <v/>
      </c>
      <c r="DF109" s="48">
        <f>IF(OR(TRIM(AA109)="",TRIM(AA109)="NA;",TRIM(AA109)="NA"),0,1)</f>
        <v/>
      </c>
      <c r="DG109" s="48">
        <f>IF(OR(TRIM(AB109)="",TRIM(AB109)="NA;",TRIM(AB109)="NA"),0,1)</f>
        <v/>
      </c>
      <c r="DH109" s="48">
        <f>IF(OR(TRIM(AC109)="",TRIM(AC109)="NA;",TRIM(AC109)="NA"),0,1)</f>
        <v/>
      </c>
      <c r="DI109" s="48">
        <f>IF(OR(TRIM(AD109)="",TRIM(AD109)="NA;",TRIM(AD109)="NA"),0,1)</f>
        <v/>
      </c>
      <c r="DJ109" s="48">
        <f>TRIM(IF(DC109=1,"Mon ","")&amp;IF(DD109=1,"Tue ","")&amp;IF(DE109=1,"Wed ","")&amp;IF(DF109=1,"Thu ","")&amp;IF(DG109=1,"Fri ","")&amp;IF(DH109=1,"Sat ","")&amp;IF(DI109=1,"Sun ",""))</f>
        <v/>
      </c>
    </row>
    <row r="110">
      <c r="A110" s="48" t="inlineStr">
        <is>
          <t>S-O-00008</t>
        </is>
      </c>
      <c r="B110" s="48" t="inlineStr">
        <is>
          <t>Daniel Taylor</t>
        </is>
      </c>
      <c r="C110" s="48" t="inlineStr">
        <is>
          <t>daniel.taylor8@example.com</t>
        </is>
      </c>
      <c r="D110" s="48" t="inlineStr">
        <is>
          <t>+61 473 965 683</t>
        </is>
      </c>
      <c r="E110" s="48" t="inlineStr">
        <is>
          <t>Sam Young</t>
        </is>
      </c>
      <c r="F110" s="48" t="inlineStr">
        <is>
          <t>+61 428 760 662</t>
        </is>
      </c>
      <c r="G110" s="48" t="inlineStr">
        <is>
          <t>Friend</t>
        </is>
      </c>
      <c r="H110" s="48" t="inlineStr">
        <is>
          <t>Student</t>
        </is>
      </c>
      <c r="I110" s="49" t="n">
        <v>45378</v>
      </c>
      <c r="J110" s="48" t="inlineStr">
        <is>
          <t>ADM-ACT-MAT-CE</t>
        </is>
      </c>
      <c r="K110" s="48">
        <f>IFERROR(VLOOKUP(J110,'(A) Introduction'!$B$35:$C$45,2,FALSE),"")</f>
        <v/>
      </c>
      <c r="L110" s="48" t="inlineStr">
        <is>
          <t>No</t>
        </is>
      </c>
      <c r="M110" s="49" t="n">
        <v>45415</v>
      </c>
      <c r="N110" s="48" t="inlineStr"/>
      <c r="O110" s="48" t="inlineStr">
        <is>
          <t>NA</t>
        </is>
      </c>
      <c r="P110" s="48">
        <f>IF($H110="Tutor",((BQ110&lt;&gt;"")*(BR110=""))+((BW110&lt;&gt;"")*(BX110=""))+((CC110&lt;&gt;"")*(CD110=""))+((CI110&lt;&gt;"")*(CJ110=""))+((CO110&lt;&gt;"")*(CP110="")),SUMPRODUCT(--($BO$3:$BO$202=$A110),--($BR$3:$BR$202=""))+SUMPRODUCT(--($BU$3:$BU$202=$A110),--($BX$3:$BX$202=""))+SUMPRODUCT(--($CA$3:$CA$202=$A110),--($CD$3:$CD$202=""))+SUMPRODUCT(--($CG$3:$CG$202=$A110),--($CJ$3:$CJ$202=""))+SUMPRODUCT(--($CM$3:$CM$202=$A110),--($CP$3:$CP$202="")))</f>
        <v/>
      </c>
      <c r="Q110" s="48">
        <f>IF($H110="Tutor",(BQ110&lt;&gt;"")+(BW110&lt;&gt;"")+(CC110&lt;&gt;"")+(CI110&lt;&gt;"")+(CO110&lt;&gt;""),SUMPRODUCT(--($BO$3:$BO$202=$A110))+SUMPRODUCT(--($BU$3:$BU$202=$A110))+SUMPRODUCT(--($CA$3:$CA$202=$A110))+SUMPRODUCT(--($CG$3:$CG$202=$A110))+SUMPRODUCT(--($CM$3:$CM$202=$A110)))</f>
        <v/>
      </c>
      <c r="R110" s="48">
        <f>IF($H110="Tutor",TRIM(IF(AND(BQ110&lt;&gt;"",BR110=""),BP110&amp;"; ","")&amp;IF(AND(BW110&lt;&gt;"",BX110=""),BV110&amp;"; ","")&amp;IF(AND(CC110&lt;&gt;"",CD110=""),CB110&amp;"; ","")&amp;IF(AND(CI110&lt;&gt;"",CJ110=""),CH110&amp;"; ","")&amp;IF(AND(CO110&lt;&gt;"",CP110=""),CN110&amp;"; ","")),IFERROR(INDEX($A$3:$B$202,(SUMPRODUCT(($BO$3:$BO$202=$A110)*($BR$3:$BR$202="")*ROW($BO$3:$BO$202))+SUMPRODUCT(($BU$3:$BU$202=$A110)*($BX$3:$BX$202="")*ROW($BU$3:$BU$202))+SUMPRODUCT(($CA$3:$CA$202=$A110)*($CD$3:$CD$202="")*ROW($CA$3:$CA$202))+SUMPRODUCT(($CG$3:$CG$202=$A110)*($CJ$3:$CJ$202="")*ROW($CG$3:$CG$202))+SUMPRODUCT(($CM$3:$CM$202=$A110)*($CP$3:$CP$202="")*ROW($CM$3:$CM$202)))-2,2),""))</f>
        <v/>
      </c>
      <c r="S110" s="48" t="inlineStr">
        <is>
          <t>NA</t>
        </is>
      </c>
      <c r="T110" s="48" t="inlineStr"/>
      <c r="U110" s="48" t="inlineStr"/>
      <c r="V110" s="49" t="n">
        <v>46177</v>
      </c>
      <c r="W110" s="48" t="inlineStr">
        <is>
          <t>ACDT (UTC+10:30)</t>
        </is>
      </c>
      <c r="X110" s="48" t="inlineStr">
        <is>
          <t>9am-12pm;12pm-3pm;3pm-6pm;</t>
        </is>
      </c>
      <c r="Y110" s="48" t="inlineStr">
        <is>
          <t>3pm-6pm;</t>
        </is>
      </c>
      <c r="Z110" s="48" t="inlineStr">
        <is>
          <t>12pm-3pm;6pm-9pm;</t>
        </is>
      </c>
      <c r="AA110" s="48" t="inlineStr">
        <is>
          <t>NA;</t>
        </is>
      </c>
      <c r="AB110" s="48" t="inlineStr">
        <is>
          <t>9am-12pm;12pm-3pm;3pm-6pm;</t>
        </is>
      </c>
      <c r="AC110" s="48" t="inlineStr">
        <is>
          <t>6pm-9pm;</t>
        </is>
      </c>
      <c r="AD110" s="48" t="inlineStr">
        <is>
          <t>NA;</t>
        </is>
      </c>
      <c r="AE110" s="48" t="inlineStr">
        <is>
          <t>In-Person</t>
        </is>
      </c>
      <c r="AF110" s="48" t="inlineStr">
        <is>
          <t>Phone</t>
        </is>
      </c>
      <c r="AG110" s="48" t="inlineStr">
        <is>
          <t>Australia</t>
        </is>
      </c>
      <c r="AH110" s="48" t="inlineStr">
        <is>
          <t>Queensland</t>
        </is>
      </c>
      <c r="AI110" s="48" t="inlineStr">
        <is>
          <t>Logan</t>
        </is>
      </c>
      <c r="AJ110" s="48" t="inlineStr">
        <is>
          <t>4114</t>
        </is>
      </c>
      <c r="AK110" s="49" t="n">
        <v>23516</v>
      </c>
      <c r="AL110" s="48" t="inlineStr">
        <is>
          <t>Other</t>
        </is>
      </c>
      <c r="AM110" s="48" t="inlineStr">
        <is>
          <t>No</t>
        </is>
      </c>
      <c r="AN110" s="48" t="inlineStr">
        <is>
          <t>A2</t>
        </is>
      </c>
      <c r="AO110" s="48" t="inlineStr">
        <is>
          <t>High</t>
        </is>
      </c>
      <c r="AP110" s="48" t="inlineStr">
        <is>
          <t>Sudan</t>
        </is>
      </c>
      <c r="AQ110" s="48" t="inlineStr">
        <is>
          <t>NA</t>
        </is>
      </c>
      <c r="AR110" s="48" t="inlineStr">
        <is>
          <t>Dari (B2)</t>
        </is>
      </c>
      <c r="AS110" s="48" t="inlineStr">
        <is>
          <t>Christian (Catholic)</t>
        </is>
      </c>
      <c r="AT110" s="48" t="inlineStr">
        <is>
          <t>Arts, Media &amp; Design</t>
        </is>
      </c>
      <c r="AU110" s="48" t="inlineStr">
        <is>
          <t>Accountant</t>
        </is>
      </c>
      <c r="AV110" s="48" t="inlineStr">
        <is>
          <t>Teacher</t>
        </is>
      </c>
      <c r="AW110" s="48" t="inlineStr">
        <is>
          <t>Gardening; Cooking; Walking</t>
        </is>
      </c>
      <c r="AX110" s="48" t="inlineStr">
        <is>
          <t>Refugee</t>
        </is>
      </c>
      <c r="AY110" s="48" t="inlineStr">
        <is>
          <t>NA - Partner Organisation Verified</t>
        </is>
      </c>
      <c r="AZ110" s="48" t="inlineStr">
        <is>
          <t>NA - Partner Organisation Verified</t>
        </is>
      </c>
      <c r="BA110" s="48" t="inlineStr">
        <is>
          <t>NA</t>
        </is>
      </c>
      <c r="BB110" s="48" t="inlineStr">
        <is>
          <t>NA</t>
        </is>
      </c>
      <c r="BC110" s="48" t="inlineStr">
        <is>
          <t>NA</t>
        </is>
      </c>
      <c r="BD110" s="48" t="inlineStr">
        <is>
          <t>NA</t>
        </is>
      </c>
      <c r="BE110" s="48" t="inlineStr"/>
      <c r="BF110" s="48" t="inlineStr"/>
      <c r="BG110" s="48" t="inlineStr">
        <is>
          <t>NA</t>
        </is>
      </c>
      <c r="BH110" s="48" t="inlineStr">
        <is>
          <t>NA - Student</t>
        </is>
      </c>
      <c r="BI110" s="48" t="inlineStr">
        <is>
          <t>Bread &amp; Butter Project</t>
        </is>
      </c>
      <c r="BJ110" s="48" t="inlineStr">
        <is>
          <t>SINGH Veera</t>
        </is>
      </c>
      <c r="BK110" s="48" t="inlineStr">
        <is>
          <t>THET Moh Moh</t>
        </is>
      </c>
      <c r="BL110" s="48" t="inlineStr">
        <is>
          <t>Synthetic test record.</t>
        </is>
      </c>
      <c r="BM110" s="48" t="inlineStr"/>
      <c r="BN110" s="48">
        <f>TRIM(IF(AND($H110="Student",$J110="ADM-ACT-MAT-CNE"),"Invalid: Student cannot be CNE. ","")&amp;IF(AND($H110="Student",ISNUMBER($O110)),"Check: capacity set for a Student. ","")&amp;IF(AND(LEFT($J110,11)="ADM-ACT-MAT",$P110=0),"Check: matched status but 0 active pairings. ","")&amp;IF(AND($H110="Tutor",ISNUMBER($O110),$P110&gt;$O110),"Check: pairings exceed capacity. ","")&amp;IF(AND($BH110="Everyone",NOT(AND($BD110="Yes",$BG110="Yes"))),"Check: approved to tutor children but WWCC not provided/confirmed. ","")&amp;IF(AND($P110&gt;0,NOT(AND(OR(LEFT($AY110,3)="Yes",LEFT($AY110,2)="NA"),OR(LEFT($AZ110,3)="Yes",LEFT($AZ110,2)="NA")))),"Matched but vetting incomplete (interview/reference). ","")&amp;IF(COUNTIF($B$3:$B$600,$B110)&gt;1,"Duplicate participant name. ",""))</f>
        <v/>
      </c>
      <c r="BO110" s="48" t="inlineStr"/>
      <c r="BP110" s="48" t="inlineStr"/>
      <c r="BQ110" s="48" t="inlineStr"/>
      <c r="BR110" s="48" t="inlineStr"/>
      <c r="BS110" s="48" t="inlineStr"/>
      <c r="BT110" s="48" t="inlineStr"/>
      <c r="BU110" s="48" t="inlineStr"/>
      <c r="BV110" s="48" t="inlineStr"/>
      <c r="BW110" s="48" t="inlineStr"/>
      <c r="BX110" s="48" t="inlineStr"/>
      <c r="BY110" s="48" t="inlineStr"/>
      <c r="BZ110" s="48" t="inlineStr"/>
      <c r="CA110" s="48" t="inlineStr"/>
      <c r="CB110" s="48" t="inlineStr"/>
      <c r="CC110" s="48" t="inlineStr"/>
      <c r="CD110" s="48" t="inlineStr"/>
      <c r="CE110" s="48" t="inlineStr"/>
      <c r="CF110" s="48" t="inlineStr"/>
      <c r="CG110" s="48" t="inlineStr"/>
      <c r="CH110" s="48" t="inlineStr"/>
      <c r="CI110" s="48" t="inlineStr"/>
      <c r="CJ110" s="48" t="inlineStr"/>
      <c r="CK110" s="48" t="inlineStr"/>
      <c r="CL110" s="48" t="inlineStr"/>
      <c r="CM110" s="48" t="inlineStr"/>
      <c r="CN110" s="48" t="inlineStr"/>
      <c r="CO110" s="48" t="inlineStr"/>
      <c r="CP110" s="48" t="inlineStr"/>
      <c r="CQ110" s="48" t="inlineStr"/>
      <c r="CR110" s="48" t="inlineStr"/>
      <c r="CS110" s="48">
        <f>IF(LEFT($J110,3)="ERR",0,1)</f>
        <v/>
      </c>
      <c r="CT110" s="48">
        <f>IF(LEFT($J110,3)="ADM",1,0)</f>
        <v/>
      </c>
      <c r="CU110" s="48">
        <f>IF(OR($J110="ADM-ACT-MAT-CNE",$J110="ADM-ACT-MAT-CE",$J110="ADM-INACT-M&amp;T"),1,0)</f>
        <v/>
      </c>
      <c r="CV110" s="48">
        <f>IF(AND(CU110=1,ISNUMBER(M110),ISNUMBER(I110)),M110-I110,"")</f>
        <v/>
      </c>
      <c r="CW110" s="48">
        <f>IF(ISNUMBER(I110),TODAY()-I110,"")</f>
        <v/>
      </c>
      <c r="CX110" s="48">
        <f>IF(ISNUMBER(I110),DATE(YEAR(I110),MONTH(I110),1),"")</f>
        <v/>
      </c>
      <c r="CY110" s="48">
        <f>IFERROR(DATEDIF(AK110,TODAY(),"y"),"")</f>
        <v/>
      </c>
      <c r="CZ110" s="48">
        <f>IF(CY110="","",IF(CY110&lt;28,"18-27",IF(CY110&lt;38,"28-37",IF(CY110&lt;48,"38-47",IF(CY110&lt;58,"48-57",IF(CY110&lt;68,"58-67",IF(CY110&lt;78,"68-77","78+")))))) </f>
        <v/>
      </c>
      <c r="DA110" s="48">
        <f>IF(AND(BQ110&lt;&gt;"",BR110=""),N(BS110),0)+IF(AND(BW110&lt;&gt;"",BX110=""),N(BY110),0)+IF(AND(CC110&lt;&gt;"",CD110=""),N(CE110),0)+IF(AND(CI110&lt;&gt;"",CJ110=""),N(CK110),0)+IF(AND(CO110&lt;&gt;"",CP110=""),N(CQ110),0)</f>
        <v/>
      </c>
      <c r="DB110" s="48">
        <f>ROUND(IF(BQ110&lt;&gt;"",N(BS110)*MAX(0,((IF(BR110="",TODAY(),BR110))-BQ110)/7),0)+IF(BW110&lt;&gt;"",N(BY110)*MAX(0,((IF(BX110="",TODAY(),BX110))-BW110)/7),0)+IF(CC110&lt;&gt;"",N(CE110)*MAX(0,((IF(CD110="",TODAY(),CD110))-CC110)/7),0)+IF(CI110&lt;&gt;"",N(CK110)*MAX(0,((IF(CJ110="",TODAY(),CJ110))-CI110)/7),0)+IF(CO110&lt;&gt;"",N(CQ110)*MAX(0,((IF(CP110="",TODAY(),CP110))-CO110)/7),0),1)</f>
        <v/>
      </c>
      <c r="DC110" s="48">
        <f>IF(OR(TRIM(X110)="",TRIM(X110)="NA;",TRIM(X110)="NA"),0,1)</f>
        <v/>
      </c>
      <c r="DD110" s="48">
        <f>IF(OR(TRIM(Y110)="",TRIM(Y110)="NA;",TRIM(Y110)="NA"),0,1)</f>
        <v/>
      </c>
      <c r="DE110" s="48">
        <f>IF(OR(TRIM(Z110)="",TRIM(Z110)="NA;",TRIM(Z110)="NA"),0,1)</f>
        <v/>
      </c>
      <c r="DF110" s="48">
        <f>IF(OR(TRIM(AA110)="",TRIM(AA110)="NA;",TRIM(AA110)="NA"),0,1)</f>
        <v/>
      </c>
      <c r="DG110" s="48">
        <f>IF(OR(TRIM(AB110)="",TRIM(AB110)="NA;",TRIM(AB110)="NA"),0,1)</f>
        <v/>
      </c>
      <c r="DH110" s="48">
        <f>IF(OR(TRIM(AC110)="",TRIM(AC110)="NA;",TRIM(AC110)="NA"),0,1)</f>
        <v/>
      </c>
      <c r="DI110" s="48">
        <f>IF(OR(TRIM(AD110)="",TRIM(AD110)="NA;",TRIM(AD110)="NA"),0,1)</f>
        <v/>
      </c>
      <c r="DJ110" s="48">
        <f>TRIM(IF(DC110=1,"Mon ","")&amp;IF(DD110=1,"Tue ","")&amp;IF(DE110=1,"Wed ","")&amp;IF(DF110=1,"Thu ","")&amp;IF(DG110=1,"Fri ","")&amp;IF(DH110=1,"Sat ","")&amp;IF(DI110=1,"Sun ",""))</f>
        <v/>
      </c>
    </row>
    <row r="111">
      <c r="A111" s="48" t="inlineStr">
        <is>
          <t>S-O-00009</t>
        </is>
      </c>
      <c r="B111" s="48" t="inlineStr">
        <is>
          <t>Tariq Schaffer</t>
        </is>
      </c>
      <c r="C111" s="48" t="inlineStr">
        <is>
          <t>tariq.schaffer9@example.com</t>
        </is>
      </c>
      <c r="D111" s="48" t="inlineStr">
        <is>
          <t>+61 489 294 709</t>
        </is>
      </c>
      <c r="E111" s="48" t="inlineStr">
        <is>
          <t>Ahmad Wright</t>
        </is>
      </c>
      <c r="F111" s="48" t="inlineStr">
        <is>
          <t>+61 432 005 338</t>
        </is>
      </c>
      <c r="G111" s="48" t="inlineStr">
        <is>
          <t>Adult Child</t>
        </is>
      </c>
      <c r="H111" s="48" t="inlineStr">
        <is>
          <t>Student</t>
        </is>
      </c>
      <c r="I111" s="49" t="n">
        <v>45381</v>
      </c>
      <c r="J111" s="48" t="inlineStr">
        <is>
          <t>NADM-REJ-UNRES</t>
        </is>
      </c>
      <c r="K111" s="48">
        <f>IFERROR(VLOOKUP(J111,'(A) Introduction'!$B$35:$C$45,2,FALSE),"")</f>
        <v/>
      </c>
      <c r="L111" s="48" t="inlineStr">
        <is>
          <t>No</t>
        </is>
      </c>
      <c r="M111" s="48" t="inlineStr"/>
      <c r="N111" s="48" t="inlineStr"/>
      <c r="O111" s="48" t="inlineStr">
        <is>
          <t>NA</t>
        </is>
      </c>
      <c r="P111" s="48">
        <f>IF($H111="Tutor",((BQ111&lt;&gt;"")*(BR111=""))+((BW111&lt;&gt;"")*(BX111=""))+((CC111&lt;&gt;"")*(CD111=""))+((CI111&lt;&gt;"")*(CJ111=""))+((CO111&lt;&gt;"")*(CP111="")),SUMPRODUCT(--($BO$3:$BO$202=$A111),--($BR$3:$BR$202=""))+SUMPRODUCT(--($BU$3:$BU$202=$A111),--($BX$3:$BX$202=""))+SUMPRODUCT(--($CA$3:$CA$202=$A111),--($CD$3:$CD$202=""))+SUMPRODUCT(--($CG$3:$CG$202=$A111),--($CJ$3:$CJ$202=""))+SUMPRODUCT(--($CM$3:$CM$202=$A111),--($CP$3:$CP$202="")))</f>
        <v/>
      </c>
      <c r="Q111" s="48">
        <f>IF($H111="Tutor",(BQ111&lt;&gt;"")+(BW111&lt;&gt;"")+(CC111&lt;&gt;"")+(CI111&lt;&gt;"")+(CO111&lt;&gt;""),SUMPRODUCT(--($BO$3:$BO$202=$A111))+SUMPRODUCT(--($BU$3:$BU$202=$A111))+SUMPRODUCT(--($CA$3:$CA$202=$A111))+SUMPRODUCT(--($CG$3:$CG$202=$A111))+SUMPRODUCT(--($CM$3:$CM$202=$A111)))</f>
        <v/>
      </c>
      <c r="R111" s="48">
        <f>IF($H111="Tutor",TRIM(IF(AND(BQ111&lt;&gt;"",BR111=""),BP111&amp;"; ","")&amp;IF(AND(BW111&lt;&gt;"",BX111=""),BV111&amp;"; ","")&amp;IF(AND(CC111&lt;&gt;"",CD111=""),CB111&amp;"; ","")&amp;IF(AND(CI111&lt;&gt;"",CJ111=""),CH111&amp;"; ","")&amp;IF(AND(CO111&lt;&gt;"",CP111=""),CN111&amp;"; ","")),IFERROR(INDEX($A$3:$B$202,(SUMPRODUCT(($BO$3:$BO$202=$A111)*($BR$3:$BR$202="")*ROW($BO$3:$BO$202))+SUMPRODUCT(($BU$3:$BU$202=$A111)*($BX$3:$BX$202="")*ROW($BU$3:$BU$202))+SUMPRODUCT(($CA$3:$CA$202=$A111)*($CD$3:$CD$202="")*ROW($CA$3:$CA$202))+SUMPRODUCT(($CG$3:$CG$202=$A111)*($CJ$3:$CJ$202="")*ROW($CG$3:$CG$202))+SUMPRODUCT(($CM$3:$CM$202=$A111)*($CP$3:$CP$202="")*ROW($CM$3:$CM$202)))-2,2),""))</f>
        <v/>
      </c>
      <c r="S111" s="48" t="inlineStr">
        <is>
          <t>Not Provided</t>
        </is>
      </c>
      <c r="T111" s="48" t="inlineStr"/>
      <c r="U111" s="48" t="inlineStr"/>
      <c r="V111" s="48" t="inlineStr"/>
      <c r="W111" s="48" t="inlineStr">
        <is>
          <t>AEDT (UTC+11)</t>
        </is>
      </c>
      <c r="X111" s="48" t="inlineStr">
        <is>
          <t>12pm-3pm;6pm-9pm;</t>
        </is>
      </c>
      <c r="Y111" s="48" t="inlineStr">
        <is>
          <t>6am-9am;9am-12pm;</t>
        </is>
      </c>
      <c r="Z111" s="48" t="inlineStr">
        <is>
          <t>9am-12pm;12pm-3pm;3pm-6pm;</t>
        </is>
      </c>
      <c r="AA111" s="48" t="inlineStr">
        <is>
          <t>NA;</t>
        </is>
      </c>
      <c r="AB111" s="48" t="inlineStr">
        <is>
          <t>NA;</t>
        </is>
      </c>
      <c r="AC111" s="48" t="inlineStr">
        <is>
          <t>3pm-6pm;</t>
        </is>
      </c>
      <c r="AD111" s="48" t="inlineStr">
        <is>
          <t>12pm-3pm;</t>
        </is>
      </c>
      <c r="AE111" s="48" t="inlineStr">
        <is>
          <t>Either</t>
        </is>
      </c>
      <c r="AF111" s="48" t="inlineStr">
        <is>
          <t>Multiple devices</t>
        </is>
      </c>
      <c r="AG111" s="48" t="inlineStr">
        <is>
          <t>Australia</t>
        </is>
      </c>
      <c r="AH111" s="48" t="inlineStr">
        <is>
          <t>Victoria</t>
        </is>
      </c>
      <c r="AI111" s="48" t="inlineStr">
        <is>
          <t>Dandenong</t>
        </is>
      </c>
      <c r="AJ111" s="48" t="inlineStr">
        <is>
          <t>3175</t>
        </is>
      </c>
      <c r="AK111" s="49" t="n">
        <v>36245</v>
      </c>
      <c r="AL111" s="48" t="inlineStr">
        <is>
          <t>Female</t>
        </is>
      </c>
      <c r="AM111" s="48" t="inlineStr">
        <is>
          <t>No</t>
        </is>
      </c>
      <c r="AN111" s="48" t="inlineStr">
        <is>
          <t>A2</t>
        </is>
      </c>
      <c r="AO111" s="48" t="inlineStr">
        <is>
          <t>Moderate</t>
        </is>
      </c>
      <c r="AP111" s="48" t="inlineStr">
        <is>
          <t>Somalia</t>
        </is>
      </c>
      <c r="AQ111" s="48" t="inlineStr">
        <is>
          <t>NA</t>
        </is>
      </c>
      <c r="AR111" s="48" t="inlineStr">
        <is>
          <t>Ukrainian (C1)</t>
        </is>
      </c>
      <c r="AS111" s="48" t="inlineStr">
        <is>
          <t>Christian (Catholic)</t>
        </is>
      </c>
      <c r="AT111" s="48" t="inlineStr">
        <is>
          <t>Childcare &amp; Aged Care</t>
        </is>
      </c>
      <c r="AU111" s="48" t="inlineStr">
        <is>
          <t>Retail</t>
        </is>
      </c>
      <c r="AV111" s="48" t="inlineStr">
        <is>
          <t>Engineering</t>
        </is>
      </c>
      <c r="AW111" s="48" t="inlineStr">
        <is>
          <t>Art; Photography; Travel</t>
        </is>
      </c>
      <c r="AX111" s="48" t="inlineStr">
        <is>
          <t>Refugee</t>
        </is>
      </c>
      <c r="AY111" s="48" t="inlineStr">
        <is>
          <t>NA - RELT Member Verified</t>
        </is>
      </c>
      <c r="AZ111" s="48" t="inlineStr">
        <is>
          <t>No</t>
        </is>
      </c>
      <c r="BA111" s="48" t="inlineStr">
        <is>
          <t>NA</t>
        </is>
      </c>
      <c r="BB111" s="48" t="inlineStr">
        <is>
          <t>NA</t>
        </is>
      </c>
      <c r="BC111" s="48" t="inlineStr">
        <is>
          <t>NA</t>
        </is>
      </c>
      <c r="BD111" s="48" t="inlineStr">
        <is>
          <t>NA</t>
        </is>
      </c>
      <c r="BE111" s="48" t="inlineStr"/>
      <c r="BF111" s="48" t="inlineStr"/>
      <c r="BG111" s="48" t="inlineStr">
        <is>
          <t>NA</t>
        </is>
      </c>
      <c r="BH111" s="48" t="inlineStr">
        <is>
          <t>NA - Student</t>
        </is>
      </c>
      <c r="BI111" s="48" t="inlineStr">
        <is>
          <t>University of Technology Sydney (including the Brennan Justice Program)</t>
        </is>
      </c>
      <c r="BJ111" s="48" t="inlineStr">
        <is>
          <t>KNIJNIK Marina</t>
        </is>
      </c>
      <c r="BK111" s="48" t="inlineStr">
        <is>
          <t>HALLORAN Isobel</t>
        </is>
      </c>
      <c r="BL111" s="48" t="inlineStr">
        <is>
          <t>Synthetic test record.</t>
        </is>
      </c>
      <c r="BM111" s="48" t="inlineStr"/>
      <c r="BN111" s="48">
        <f>TRIM(IF(AND($H111="Student",$J111="ADM-ACT-MAT-CNE"),"Invalid: Student cannot be CNE. ","")&amp;IF(AND($H111="Student",ISNUMBER($O111)),"Check: capacity set for a Student. ","")&amp;IF(AND(LEFT($J111,11)="ADM-ACT-MAT",$P111=0),"Check: matched status but 0 active pairings. ","")&amp;IF(AND($H111="Tutor",ISNUMBER($O111),$P111&gt;$O111),"Check: pairings exceed capacity. ","")&amp;IF(AND($BH111="Everyone",NOT(AND($BD111="Yes",$BG111="Yes"))),"Check: approved to tutor children but WWCC not provided/confirmed. ","")&amp;IF(AND($P111&gt;0,NOT(AND(OR(LEFT($AY111,3)="Yes",LEFT($AY111,2)="NA"),OR(LEFT($AZ111,3)="Yes",LEFT($AZ111,2)="NA")))),"Matched but vetting incomplete (interview/reference). ","")&amp;IF(COUNTIF($B$3:$B$600,$B111)&gt;1,"Duplicate participant name. ",""))</f>
        <v/>
      </c>
      <c r="BO111" s="48" t="inlineStr"/>
      <c r="BP111" s="48" t="inlineStr"/>
      <c r="BQ111" s="48" t="inlineStr"/>
      <c r="BR111" s="48" t="inlineStr"/>
      <c r="BS111" s="48" t="inlineStr"/>
      <c r="BT111" s="48" t="inlineStr"/>
      <c r="BU111" s="48" t="inlineStr"/>
      <c r="BV111" s="48" t="inlineStr"/>
      <c r="BW111" s="48" t="inlineStr"/>
      <c r="BX111" s="48" t="inlineStr"/>
      <c r="BY111" s="48" t="inlineStr"/>
      <c r="BZ111" s="48" t="inlineStr"/>
      <c r="CA111" s="48" t="inlineStr"/>
      <c r="CB111" s="48" t="inlineStr"/>
      <c r="CC111" s="48" t="inlineStr"/>
      <c r="CD111" s="48" t="inlineStr"/>
      <c r="CE111" s="48" t="inlineStr"/>
      <c r="CF111" s="48" t="inlineStr"/>
      <c r="CG111" s="48" t="inlineStr"/>
      <c r="CH111" s="48" t="inlineStr"/>
      <c r="CI111" s="48" t="inlineStr"/>
      <c r="CJ111" s="48" t="inlineStr"/>
      <c r="CK111" s="48" t="inlineStr"/>
      <c r="CL111" s="48" t="inlineStr"/>
      <c r="CM111" s="48" t="inlineStr"/>
      <c r="CN111" s="48" t="inlineStr"/>
      <c r="CO111" s="48" t="inlineStr"/>
      <c r="CP111" s="48" t="inlineStr"/>
      <c r="CQ111" s="48" t="inlineStr"/>
      <c r="CR111" s="48" t="inlineStr"/>
      <c r="CS111" s="48">
        <f>IF(LEFT($J111,3)="ERR",0,1)</f>
        <v/>
      </c>
      <c r="CT111" s="48">
        <f>IF(LEFT($J111,3)="ADM",1,0)</f>
        <v/>
      </c>
      <c r="CU111" s="48">
        <f>IF(OR($J111="ADM-ACT-MAT-CNE",$J111="ADM-ACT-MAT-CE",$J111="ADM-INACT-M&amp;T"),1,0)</f>
        <v/>
      </c>
      <c r="CV111" s="48">
        <f>IF(AND(CU111=1,ISNUMBER(M111),ISNUMBER(I111)),M111-I111,"")</f>
        <v/>
      </c>
      <c r="CW111" s="48">
        <f>IF(ISNUMBER(I111),TODAY()-I111,"")</f>
        <v/>
      </c>
      <c r="CX111" s="48">
        <f>IF(ISNUMBER(I111),DATE(YEAR(I111),MONTH(I111),1),"")</f>
        <v/>
      </c>
      <c r="CY111" s="48">
        <f>IFERROR(DATEDIF(AK111,TODAY(),"y"),"")</f>
        <v/>
      </c>
      <c r="CZ111" s="48">
        <f>IF(CY111="","",IF(CY111&lt;28,"18-27",IF(CY111&lt;38,"28-37",IF(CY111&lt;48,"38-47",IF(CY111&lt;58,"48-57",IF(CY111&lt;68,"58-67",IF(CY111&lt;78,"68-77","78+")))))) </f>
        <v/>
      </c>
      <c r="DA111" s="48">
        <f>IF(AND(BQ111&lt;&gt;"",BR111=""),N(BS111),0)+IF(AND(BW111&lt;&gt;"",BX111=""),N(BY111),0)+IF(AND(CC111&lt;&gt;"",CD111=""),N(CE111),0)+IF(AND(CI111&lt;&gt;"",CJ111=""),N(CK111),0)+IF(AND(CO111&lt;&gt;"",CP111=""),N(CQ111),0)</f>
        <v/>
      </c>
      <c r="DB111" s="48">
        <f>ROUND(IF(BQ111&lt;&gt;"",N(BS111)*MAX(0,((IF(BR111="",TODAY(),BR111))-BQ111)/7),0)+IF(BW111&lt;&gt;"",N(BY111)*MAX(0,((IF(BX111="",TODAY(),BX111))-BW111)/7),0)+IF(CC111&lt;&gt;"",N(CE111)*MAX(0,((IF(CD111="",TODAY(),CD111))-CC111)/7),0)+IF(CI111&lt;&gt;"",N(CK111)*MAX(0,((IF(CJ111="",TODAY(),CJ111))-CI111)/7),0)+IF(CO111&lt;&gt;"",N(CQ111)*MAX(0,((IF(CP111="",TODAY(),CP111))-CO111)/7),0),1)</f>
        <v/>
      </c>
      <c r="DC111" s="48">
        <f>IF(OR(TRIM(X111)="",TRIM(X111)="NA;",TRIM(X111)="NA"),0,1)</f>
        <v/>
      </c>
      <c r="DD111" s="48">
        <f>IF(OR(TRIM(Y111)="",TRIM(Y111)="NA;",TRIM(Y111)="NA"),0,1)</f>
        <v/>
      </c>
      <c r="DE111" s="48">
        <f>IF(OR(TRIM(Z111)="",TRIM(Z111)="NA;",TRIM(Z111)="NA"),0,1)</f>
        <v/>
      </c>
      <c r="DF111" s="48">
        <f>IF(OR(TRIM(AA111)="",TRIM(AA111)="NA;",TRIM(AA111)="NA"),0,1)</f>
        <v/>
      </c>
      <c r="DG111" s="48">
        <f>IF(OR(TRIM(AB111)="",TRIM(AB111)="NA;",TRIM(AB111)="NA"),0,1)</f>
        <v/>
      </c>
      <c r="DH111" s="48">
        <f>IF(OR(TRIM(AC111)="",TRIM(AC111)="NA;",TRIM(AC111)="NA"),0,1)</f>
        <v/>
      </c>
      <c r="DI111" s="48">
        <f>IF(OR(TRIM(AD111)="",TRIM(AD111)="NA;",TRIM(AD111)="NA"),0,1)</f>
        <v/>
      </c>
      <c r="DJ111" s="48">
        <f>TRIM(IF(DC111=1,"Mon ","")&amp;IF(DD111=1,"Tue ","")&amp;IF(DE111=1,"Wed ","")&amp;IF(DF111=1,"Thu ","")&amp;IF(DG111=1,"Fri ","")&amp;IF(DH111=1,"Sat ","")&amp;IF(DI111=1,"Sun ",""))</f>
        <v/>
      </c>
    </row>
    <row r="112">
      <c r="A112" s="48" t="inlineStr">
        <is>
          <t>S-O-00010</t>
        </is>
      </c>
      <c r="B112" s="48" t="inlineStr">
        <is>
          <t>Ben Petrov</t>
        </is>
      </c>
      <c r="C112" s="48" t="inlineStr">
        <is>
          <t>ben.petrov10@example.com</t>
        </is>
      </c>
      <c r="D112" s="48" t="inlineStr">
        <is>
          <t>+61 419 950 330</t>
        </is>
      </c>
      <c r="E112" s="48" t="inlineStr">
        <is>
          <t>Bilal Schaffer</t>
        </is>
      </c>
      <c r="F112" s="48" t="inlineStr">
        <is>
          <t>+61 482 628 940</t>
        </is>
      </c>
      <c r="G112" s="48" t="inlineStr">
        <is>
          <t>Friend</t>
        </is>
      </c>
      <c r="H112" s="48" t="inlineStr">
        <is>
          <t>Student</t>
        </is>
      </c>
      <c r="I112" s="49" t="n">
        <v>45391</v>
      </c>
      <c r="J112" s="48" t="inlineStr">
        <is>
          <t>ADM-ACT-MAT-CE</t>
        </is>
      </c>
      <c r="K112" s="48">
        <f>IFERROR(VLOOKUP(J112,'(A) Introduction'!$B$35:$C$45,2,FALSE),"")</f>
        <v/>
      </c>
      <c r="L112" s="48" t="inlineStr">
        <is>
          <t>No</t>
        </is>
      </c>
      <c r="M112" s="49" t="n">
        <v>45497</v>
      </c>
      <c r="N112" s="48" t="inlineStr"/>
      <c r="O112" s="48" t="inlineStr">
        <is>
          <t>NA</t>
        </is>
      </c>
      <c r="P112" s="48">
        <f>IF($H112="Tutor",((BQ112&lt;&gt;"")*(BR112=""))+((BW112&lt;&gt;"")*(BX112=""))+((CC112&lt;&gt;"")*(CD112=""))+((CI112&lt;&gt;"")*(CJ112=""))+((CO112&lt;&gt;"")*(CP112="")),SUMPRODUCT(--($BO$3:$BO$202=$A112),--($BR$3:$BR$202=""))+SUMPRODUCT(--($BU$3:$BU$202=$A112),--($BX$3:$BX$202=""))+SUMPRODUCT(--($CA$3:$CA$202=$A112),--($CD$3:$CD$202=""))+SUMPRODUCT(--($CG$3:$CG$202=$A112),--($CJ$3:$CJ$202=""))+SUMPRODUCT(--($CM$3:$CM$202=$A112),--($CP$3:$CP$202="")))</f>
        <v/>
      </c>
      <c r="Q112" s="48">
        <f>IF($H112="Tutor",(BQ112&lt;&gt;"")+(BW112&lt;&gt;"")+(CC112&lt;&gt;"")+(CI112&lt;&gt;"")+(CO112&lt;&gt;""),SUMPRODUCT(--($BO$3:$BO$202=$A112))+SUMPRODUCT(--($BU$3:$BU$202=$A112))+SUMPRODUCT(--($CA$3:$CA$202=$A112))+SUMPRODUCT(--($CG$3:$CG$202=$A112))+SUMPRODUCT(--($CM$3:$CM$202=$A112)))</f>
        <v/>
      </c>
      <c r="R112" s="48">
        <f>IF($H112="Tutor",TRIM(IF(AND(BQ112&lt;&gt;"",BR112=""),BP112&amp;"; ","")&amp;IF(AND(BW112&lt;&gt;"",BX112=""),BV112&amp;"; ","")&amp;IF(AND(CC112&lt;&gt;"",CD112=""),CB112&amp;"; ","")&amp;IF(AND(CI112&lt;&gt;"",CJ112=""),CH112&amp;"; ","")&amp;IF(AND(CO112&lt;&gt;"",CP112=""),CN112&amp;"; ","")),IFERROR(INDEX($A$3:$B$202,(SUMPRODUCT(($BO$3:$BO$202=$A112)*($BR$3:$BR$202="")*ROW($BO$3:$BO$202))+SUMPRODUCT(($BU$3:$BU$202=$A112)*($BX$3:$BX$202="")*ROW($BU$3:$BU$202))+SUMPRODUCT(($CA$3:$CA$202=$A112)*($CD$3:$CD$202="")*ROW($CA$3:$CA$202))+SUMPRODUCT(($CG$3:$CG$202=$A112)*($CJ$3:$CJ$202="")*ROW($CG$3:$CG$202))+SUMPRODUCT(($CM$3:$CM$202=$A112)*($CP$3:$CP$202="")*ROW($CM$3:$CM$202)))-2,2),""))</f>
        <v/>
      </c>
      <c r="S112" s="48" t="inlineStr">
        <is>
          <t>Provided</t>
        </is>
      </c>
      <c r="T112" s="48" t="inlineStr"/>
      <c r="U112" s="48" t="inlineStr"/>
      <c r="V112" s="49" t="n">
        <v>46013</v>
      </c>
      <c r="W112" s="48" t="inlineStr">
        <is>
          <t>AWST (UTC+8)</t>
        </is>
      </c>
      <c r="X112" s="48" t="inlineStr">
        <is>
          <t>3pm-6pm;</t>
        </is>
      </c>
      <c r="Y112" s="48" t="inlineStr">
        <is>
          <t>6pm-9pm;</t>
        </is>
      </c>
      <c r="Z112" s="48" t="inlineStr">
        <is>
          <t>9am-12pm;12pm-3pm;3pm-6pm;</t>
        </is>
      </c>
      <c r="AA112" s="48" t="inlineStr">
        <is>
          <t>6am-9am;9am-12pm;</t>
        </is>
      </c>
      <c r="AB112" s="48" t="inlineStr">
        <is>
          <t>6pm-9pm;</t>
        </is>
      </c>
      <c r="AC112" s="48" t="inlineStr">
        <is>
          <t>6am-9am;9am-12pm;</t>
        </is>
      </c>
      <c r="AD112" s="48" t="inlineStr">
        <is>
          <t>9am-12pm;12pm-3pm;3pm-6pm;</t>
        </is>
      </c>
      <c r="AE112" s="48" t="inlineStr">
        <is>
          <t>Online</t>
        </is>
      </c>
      <c r="AF112" s="48" t="inlineStr">
        <is>
          <t>Phone</t>
        </is>
      </c>
      <c r="AG112" s="48" t="inlineStr">
        <is>
          <t>Australia</t>
        </is>
      </c>
      <c r="AH112" s="48" t="inlineStr">
        <is>
          <t>New South Wales</t>
        </is>
      </c>
      <c r="AI112" s="48" t="inlineStr">
        <is>
          <t>Epping</t>
        </is>
      </c>
      <c r="AJ112" s="48" t="inlineStr">
        <is>
          <t>2121</t>
        </is>
      </c>
      <c r="AK112" s="49" t="n">
        <v>31176</v>
      </c>
      <c r="AL112" s="48" t="inlineStr">
        <is>
          <t>Female</t>
        </is>
      </c>
      <c r="AM112" s="48" t="inlineStr">
        <is>
          <t>No</t>
        </is>
      </c>
      <c r="AN112" s="48" t="inlineStr">
        <is>
          <t>B2</t>
        </is>
      </c>
      <c r="AO112" s="48" t="inlineStr">
        <is>
          <t>Outstanding</t>
        </is>
      </c>
      <c r="AP112" s="48" t="inlineStr">
        <is>
          <t>Syria</t>
        </is>
      </c>
      <c r="AQ112" s="48" t="inlineStr">
        <is>
          <t>NA</t>
        </is>
      </c>
      <c r="AR112" s="48" t="inlineStr">
        <is>
          <t>Farsi (C1)</t>
        </is>
      </c>
      <c r="AS112" s="48" t="inlineStr">
        <is>
          <t>Buddhist</t>
        </is>
      </c>
      <c r="AT112" s="48" t="inlineStr">
        <is>
          <t>Hospitality &amp; Retail</t>
        </is>
      </c>
      <c r="AU112" s="48" t="inlineStr">
        <is>
          <t>Community Worker</t>
        </is>
      </c>
      <c r="AV112" s="48" t="inlineStr">
        <is>
          <t>Nursing</t>
        </is>
      </c>
      <c r="AW112" s="48" t="inlineStr">
        <is>
          <t>Travel; Sport; Movies</t>
        </is>
      </c>
      <c r="AX112" s="48" t="inlineStr">
        <is>
          <t>Asylum Seeker</t>
        </is>
      </c>
      <c r="AY112" s="48" t="inlineStr">
        <is>
          <t>No</t>
        </is>
      </c>
      <c r="AZ112" s="48" t="inlineStr">
        <is>
          <t>Yes</t>
        </is>
      </c>
      <c r="BA112" s="48" t="inlineStr">
        <is>
          <t>NA</t>
        </is>
      </c>
      <c r="BB112" s="48" t="inlineStr">
        <is>
          <t>NA</t>
        </is>
      </c>
      <c r="BC112" s="48" t="inlineStr">
        <is>
          <t>NA</t>
        </is>
      </c>
      <c r="BD112" s="48" t="inlineStr">
        <is>
          <t>NA</t>
        </is>
      </c>
      <c r="BE112" s="48" t="inlineStr"/>
      <c r="BF112" s="48" t="inlineStr"/>
      <c r="BG112" s="48" t="inlineStr">
        <is>
          <t>NA</t>
        </is>
      </c>
      <c r="BH112" s="48" t="inlineStr">
        <is>
          <t>NA - Student</t>
        </is>
      </c>
      <c r="BI112" s="48" t="inlineStr">
        <is>
          <t>Bread &amp; Butter Project</t>
        </is>
      </c>
      <c r="BJ112" s="48" t="inlineStr">
        <is>
          <t>THET Moh Moh</t>
        </is>
      </c>
      <c r="BK112" s="48" t="inlineStr">
        <is>
          <t>MCCLELLAND Reeve</t>
        </is>
      </c>
      <c r="BL112" s="48" t="inlineStr">
        <is>
          <t>Synthetic test record.</t>
        </is>
      </c>
      <c r="BM112" s="48" t="inlineStr"/>
      <c r="BN112" s="48">
        <f>TRIM(IF(AND($H112="Student",$J112="ADM-ACT-MAT-CNE"),"Invalid: Student cannot be CNE. ","")&amp;IF(AND($H112="Student",ISNUMBER($O112)),"Check: capacity set for a Student. ","")&amp;IF(AND(LEFT($J112,11)="ADM-ACT-MAT",$P112=0),"Check: matched status but 0 active pairings. ","")&amp;IF(AND($H112="Tutor",ISNUMBER($O112),$P112&gt;$O112),"Check: pairings exceed capacity. ","")&amp;IF(AND($BH112="Everyone",NOT(AND($BD112="Yes",$BG112="Yes"))),"Check: approved to tutor children but WWCC not provided/confirmed. ","")&amp;IF(AND($P112&gt;0,NOT(AND(OR(LEFT($AY112,3)="Yes",LEFT($AY112,2)="NA"),OR(LEFT($AZ112,3)="Yes",LEFT($AZ112,2)="NA")))),"Matched but vetting incomplete (interview/reference). ","")&amp;IF(COUNTIF($B$3:$B$600,$B112)&gt;1,"Duplicate participant name. ",""))</f>
        <v/>
      </c>
      <c r="BO112" s="48" t="inlineStr"/>
      <c r="BP112" s="48" t="inlineStr"/>
      <c r="BQ112" s="48" t="inlineStr"/>
      <c r="BR112" s="48" t="inlineStr"/>
      <c r="BS112" s="48" t="inlineStr"/>
      <c r="BT112" s="48" t="inlineStr"/>
      <c r="BU112" s="48" t="inlineStr"/>
      <c r="BV112" s="48" t="inlineStr"/>
      <c r="BW112" s="48" t="inlineStr"/>
      <c r="BX112" s="48" t="inlineStr"/>
      <c r="BY112" s="48" t="inlineStr"/>
      <c r="BZ112" s="48" t="inlineStr"/>
      <c r="CA112" s="48" t="inlineStr"/>
      <c r="CB112" s="48" t="inlineStr"/>
      <c r="CC112" s="48" t="inlineStr"/>
      <c r="CD112" s="48" t="inlineStr"/>
      <c r="CE112" s="48" t="inlineStr"/>
      <c r="CF112" s="48" t="inlineStr"/>
      <c r="CG112" s="48" t="inlineStr"/>
      <c r="CH112" s="48" t="inlineStr"/>
      <c r="CI112" s="48" t="inlineStr"/>
      <c r="CJ112" s="48" t="inlineStr"/>
      <c r="CK112" s="48" t="inlineStr"/>
      <c r="CL112" s="48" t="inlineStr"/>
      <c r="CM112" s="48" t="inlineStr"/>
      <c r="CN112" s="48" t="inlineStr"/>
      <c r="CO112" s="48" t="inlineStr"/>
      <c r="CP112" s="48" t="inlineStr"/>
      <c r="CQ112" s="48" t="inlineStr"/>
      <c r="CR112" s="48" t="inlineStr"/>
      <c r="CS112" s="48">
        <f>IF(LEFT($J112,3)="ERR",0,1)</f>
        <v/>
      </c>
      <c r="CT112" s="48">
        <f>IF(LEFT($J112,3)="ADM",1,0)</f>
        <v/>
      </c>
      <c r="CU112" s="48">
        <f>IF(OR($J112="ADM-ACT-MAT-CNE",$J112="ADM-ACT-MAT-CE",$J112="ADM-INACT-M&amp;T"),1,0)</f>
        <v/>
      </c>
      <c r="CV112" s="48">
        <f>IF(AND(CU112=1,ISNUMBER(M112),ISNUMBER(I112)),M112-I112,"")</f>
        <v/>
      </c>
      <c r="CW112" s="48">
        <f>IF(ISNUMBER(I112),TODAY()-I112,"")</f>
        <v/>
      </c>
      <c r="CX112" s="48">
        <f>IF(ISNUMBER(I112),DATE(YEAR(I112),MONTH(I112),1),"")</f>
        <v/>
      </c>
      <c r="CY112" s="48">
        <f>IFERROR(DATEDIF(AK112,TODAY(),"y"),"")</f>
        <v/>
      </c>
      <c r="CZ112" s="48">
        <f>IF(CY112="","",IF(CY112&lt;28,"18-27",IF(CY112&lt;38,"28-37",IF(CY112&lt;48,"38-47",IF(CY112&lt;58,"48-57",IF(CY112&lt;68,"58-67",IF(CY112&lt;78,"68-77","78+")))))) </f>
        <v/>
      </c>
      <c r="DA112" s="48">
        <f>IF(AND(BQ112&lt;&gt;"",BR112=""),N(BS112),0)+IF(AND(BW112&lt;&gt;"",BX112=""),N(BY112),0)+IF(AND(CC112&lt;&gt;"",CD112=""),N(CE112),0)+IF(AND(CI112&lt;&gt;"",CJ112=""),N(CK112),0)+IF(AND(CO112&lt;&gt;"",CP112=""),N(CQ112),0)</f>
        <v/>
      </c>
      <c r="DB112" s="48">
        <f>ROUND(IF(BQ112&lt;&gt;"",N(BS112)*MAX(0,((IF(BR112="",TODAY(),BR112))-BQ112)/7),0)+IF(BW112&lt;&gt;"",N(BY112)*MAX(0,((IF(BX112="",TODAY(),BX112))-BW112)/7),0)+IF(CC112&lt;&gt;"",N(CE112)*MAX(0,((IF(CD112="",TODAY(),CD112))-CC112)/7),0)+IF(CI112&lt;&gt;"",N(CK112)*MAX(0,((IF(CJ112="",TODAY(),CJ112))-CI112)/7),0)+IF(CO112&lt;&gt;"",N(CQ112)*MAX(0,((IF(CP112="",TODAY(),CP112))-CO112)/7),0),1)</f>
        <v/>
      </c>
      <c r="DC112" s="48">
        <f>IF(OR(TRIM(X112)="",TRIM(X112)="NA;",TRIM(X112)="NA"),0,1)</f>
        <v/>
      </c>
      <c r="DD112" s="48">
        <f>IF(OR(TRIM(Y112)="",TRIM(Y112)="NA;",TRIM(Y112)="NA"),0,1)</f>
        <v/>
      </c>
      <c r="DE112" s="48">
        <f>IF(OR(TRIM(Z112)="",TRIM(Z112)="NA;",TRIM(Z112)="NA"),0,1)</f>
        <v/>
      </c>
      <c r="DF112" s="48">
        <f>IF(OR(TRIM(AA112)="",TRIM(AA112)="NA;",TRIM(AA112)="NA"),0,1)</f>
        <v/>
      </c>
      <c r="DG112" s="48">
        <f>IF(OR(TRIM(AB112)="",TRIM(AB112)="NA;",TRIM(AB112)="NA"),0,1)</f>
        <v/>
      </c>
      <c r="DH112" s="48">
        <f>IF(OR(TRIM(AC112)="",TRIM(AC112)="NA;",TRIM(AC112)="NA"),0,1)</f>
        <v/>
      </c>
      <c r="DI112" s="48">
        <f>IF(OR(TRIM(AD112)="",TRIM(AD112)="NA;",TRIM(AD112)="NA"),0,1)</f>
        <v/>
      </c>
      <c r="DJ112" s="48">
        <f>TRIM(IF(DC112=1,"Mon ","")&amp;IF(DD112=1,"Tue ","")&amp;IF(DE112=1,"Wed ","")&amp;IF(DF112=1,"Thu ","")&amp;IF(DG112=1,"Fri ","")&amp;IF(DH112=1,"Sat ","")&amp;IF(DI112=1,"Sun ",""))</f>
        <v/>
      </c>
    </row>
    <row r="113">
      <c r="A113" s="48" t="inlineStr">
        <is>
          <t>S-O-00011</t>
        </is>
      </c>
      <c r="B113" s="48" t="inlineStr">
        <is>
          <t>Omar Mosquera</t>
        </is>
      </c>
      <c r="C113" s="48" t="inlineStr">
        <is>
          <t>omar.mosquera11@example.com</t>
        </is>
      </c>
      <c r="D113" s="48" t="inlineStr">
        <is>
          <t>+61 448 937 815</t>
        </is>
      </c>
      <c r="E113" s="48" t="inlineStr">
        <is>
          <t>Sam Brown</t>
        </is>
      </c>
      <c r="F113" s="48" t="inlineStr">
        <is>
          <t>+61 482 836 962</t>
        </is>
      </c>
      <c r="G113" s="48" t="inlineStr">
        <is>
          <t>Spouse</t>
        </is>
      </c>
      <c r="H113" s="48" t="inlineStr">
        <is>
          <t>Student</t>
        </is>
      </c>
      <c r="I113" s="49" t="n">
        <v>45398</v>
      </c>
      <c r="J113" s="48" t="inlineStr">
        <is>
          <t>ADM-ACT-MAT-CE</t>
        </is>
      </c>
      <c r="K113" s="48">
        <f>IFERROR(VLOOKUP(J113,'(A) Introduction'!$B$35:$C$45,2,FALSE),"")</f>
        <v/>
      </c>
      <c r="L113" s="48" t="inlineStr">
        <is>
          <t>No</t>
        </is>
      </c>
      <c r="M113" s="49" t="n">
        <v>45474</v>
      </c>
      <c r="N113" s="48" t="inlineStr"/>
      <c r="O113" s="48" t="inlineStr">
        <is>
          <t>NA</t>
        </is>
      </c>
      <c r="P113" s="48">
        <f>IF($H113="Tutor",((BQ113&lt;&gt;"")*(BR113=""))+((BW113&lt;&gt;"")*(BX113=""))+((CC113&lt;&gt;"")*(CD113=""))+((CI113&lt;&gt;"")*(CJ113=""))+((CO113&lt;&gt;"")*(CP113="")),SUMPRODUCT(--($BO$3:$BO$202=$A113),--($BR$3:$BR$202=""))+SUMPRODUCT(--($BU$3:$BU$202=$A113),--($BX$3:$BX$202=""))+SUMPRODUCT(--($CA$3:$CA$202=$A113),--($CD$3:$CD$202=""))+SUMPRODUCT(--($CG$3:$CG$202=$A113),--($CJ$3:$CJ$202=""))+SUMPRODUCT(--($CM$3:$CM$202=$A113),--($CP$3:$CP$202="")))</f>
        <v/>
      </c>
      <c r="Q113" s="48">
        <f>IF($H113="Tutor",(BQ113&lt;&gt;"")+(BW113&lt;&gt;"")+(CC113&lt;&gt;"")+(CI113&lt;&gt;"")+(CO113&lt;&gt;""),SUMPRODUCT(--($BO$3:$BO$202=$A113))+SUMPRODUCT(--($BU$3:$BU$202=$A113))+SUMPRODUCT(--($CA$3:$CA$202=$A113))+SUMPRODUCT(--($CG$3:$CG$202=$A113))+SUMPRODUCT(--($CM$3:$CM$202=$A113)))</f>
        <v/>
      </c>
      <c r="R113" s="48">
        <f>IF($H113="Tutor",TRIM(IF(AND(BQ113&lt;&gt;"",BR113=""),BP113&amp;"; ","")&amp;IF(AND(BW113&lt;&gt;"",BX113=""),BV113&amp;"; ","")&amp;IF(AND(CC113&lt;&gt;"",CD113=""),CB113&amp;"; ","")&amp;IF(AND(CI113&lt;&gt;"",CJ113=""),CH113&amp;"; ","")&amp;IF(AND(CO113&lt;&gt;"",CP113=""),CN113&amp;"; ","")),IFERROR(INDEX($A$3:$B$202,(SUMPRODUCT(($BO$3:$BO$202=$A113)*($BR$3:$BR$202="")*ROW($BO$3:$BO$202))+SUMPRODUCT(($BU$3:$BU$202=$A113)*($BX$3:$BX$202="")*ROW($BU$3:$BU$202))+SUMPRODUCT(($CA$3:$CA$202=$A113)*($CD$3:$CD$202="")*ROW($CA$3:$CA$202))+SUMPRODUCT(($CG$3:$CG$202=$A113)*($CJ$3:$CJ$202="")*ROW($CG$3:$CG$202))+SUMPRODUCT(($CM$3:$CM$202=$A113)*($CP$3:$CP$202="")*ROW($CM$3:$CM$202)))-2,2),""))</f>
        <v/>
      </c>
      <c r="S113" s="48" t="inlineStr">
        <is>
          <t>Not Provided</t>
        </is>
      </c>
      <c r="T113" s="48" t="inlineStr"/>
      <c r="U113" s="48" t="inlineStr"/>
      <c r="V113" s="49" t="n">
        <v>46048</v>
      </c>
      <c r="W113" s="48" t="inlineStr">
        <is>
          <t>AEST (UTC+10)</t>
        </is>
      </c>
      <c r="X113" s="48" t="inlineStr">
        <is>
          <t>9am-12pm;12pm-3pm;3pm-6pm;</t>
        </is>
      </c>
      <c r="Y113" s="48" t="inlineStr">
        <is>
          <t>3pm-6pm;</t>
        </is>
      </c>
      <c r="Z113" s="48" t="inlineStr">
        <is>
          <t>NA;</t>
        </is>
      </c>
      <c r="AA113" s="48" t="inlineStr">
        <is>
          <t>9am-12pm;12pm-3pm;3pm-6pm;</t>
        </is>
      </c>
      <c r="AB113" s="48" t="inlineStr">
        <is>
          <t>6am-9am;9am-12pm;</t>
        </is>
      </c>
      <c r="AC113" s="48" t="inlineStr">
        <is>
          <t>9am-12pm;12pm-3pm;3pm-6pm;</t>
        </is>
      </c>
      <c r="AD113" s="48" t="inlineStr">
        <is>
          <t>9am-12pm;12pm-3pm;3pm-6pm;</t>
        </is>
      </c>
      <c r="AE113" s="48" t="inlineStr">
        <is>
          <t>In-Person</t>
        </is>
      </c>
      <c r="AF113" s="48" t="inlineStr">
        <is>
          <t>Multiple devices</t>
        </is>
      </c>
      <c r="AG113" s="48" t="inlineStr">
        <is>
          <t>Australia</t>
        </is>
      </c>
      <c r="AH113" s="48" t="inlineStr">
        <is>
          <t>New South Wales</t>
        </is>
      </c>
      <c r="AI113" s="48" t="inlineStr">
        <is>
          <t>Fairfield</t>
        </is>
      </c>
      <c r="AJ113" s="48" t="inlineStr">
        <is>
          <t>2165</t>
        </is>
      </c>
      <c r="AK113" s="49" t="n">
        <v>23365</v>
      </c>
      <c r="AL113" s="48" t="inlineStr">
        <is>
          <t>Male</t>
        </is>
      </c>
      <c r="AM113" s="48" t="inlineStr">
        <is>
          <t>No</t>
        </is>
      </c>
      <c r="AN113" s="48" t="inlineStr">
        <is>
          <t>B1</t>
        </is>
      </c>
      <c r="AO113" s="48" t="inlineStr">
        <is>
          <t>Low</t>
        </is>
      </c>
      <c r="AP113" s="48" t="inlineStr">
        <is>
          <t>Afghanistan; Colombia</t>
        </is>
      </c>
      <c r="AQ113" s="48" t="inlineStr">
        <is>
          <t>NA</t>
        </is>
      </c>
      <c r="AR113" s="48" t="inlineStr">
        <is>
          <t>Somali (C1)</t>
        </is>
      </c>
      <c r="AS113" s="48" t="inlineStr">
        <is>
          <t>Muslim</t>
        </is>
      </c>
      <c r="AT113" s="48" t="inlineStr">
        <is>
          <t>Science, Tech, Engineering and Math</t>
        </is>
      </c>
      <c r="AU113" s="48" t="inlineStr">
        <is>
          <t>Teacher</t>
        </is>
      </c>
      <c r="AV113" s="48" t="inlineStr">
        <is>
          <t>Teacher</t>
        </is>
      </c>
      <c r="AW113" s="48" t="inlineStr">
        <is>
          <t>Reading; Politics; Music</t>
        </is>
      </c>
      <c r="AX113" s="48" t="inlineStr">
        <is>
          <t>Refugee</t>
        </is>
      </c>
      <c r="AY113" s="48" t="inlineStr">
        <is>
          <t>NA - RELT Member Verified</t>
        </is>
      </c>
      <c r="AZ113" s="48" t="inlineStr">
        <is>
          <t>Yes</t>
        </is>
      </c>
      <c r="BA113" s="48" t="inlineStr">
        <is>
          <t>NA</t>
        </is>
      </c>
      <c r="BB113" s="48" t="inlineStr">
        <is>
          <t>NA</t>
        </is>
      </c>
      <c r="BC113" s="48" t="inlineStr">
        <is>
          <t>NA</t>
        </is>
      </c>
      <c r="BD113" s="48" t="inlineStr">
        <is>
          <t>NA</t>
        </is>
      </c>
      <c r="BE113" s="48" t="inlineStr"/>
      <c r="BF113" s="48" t="inlineStr"/>
      <c r="BG113" s="48" t="inlineStr">
        <is>
          <t>NA</t>
        </is>
      </c>
      <c r="BH113" s="48" t="inlineStr">
        <is>
          <t>NA - Student</t>
        </is>
      </c>
      <c r="BI113" s="48" t="inlineStr">
        <is>
          <t>Jesuit Refugee Service</t>
        </is>
      </c>
      <c r="BJ113" s="48" t="inlineStr">
        <is>
          <t>SHANAHAN Jack</t>
        </is>
      </c>
      <c r="BK113" s="48" t="inlineStr">
        <is>
          <t>ZULMAN Levi</t>
        </is>
      </c>
      <c r="BL113" s="48" t="inlineStr">
        <is>
          <t>Synthetic test record.</t>
        </is>
      </c>
      <c r="BM113" s="48" t="inlineStr"/>
      <c r="BN113" s="48">
        <f>TRIM(IF(AND($H113="Student",$J113="ADM-ACT-MAT-CNE"),"Invalid: Student cannot be CNE. ","")&amp;IF(AND($H113="Student",ISNUMBER($O113)),"Check: capacity set for a Student. ","")&amp;IF(AND(LEFT($J113,11)="ADM-ACT-MAT",$P113=0),"Check: matched status but 0 active pairings. ","")&amp;IF(AND($H113="Tutor",ISNUMBER($O113),$P113&gt;$O113),"Check: pairings exceed capacity. ","")&amp;IF(AND($BH113="Everyone",NOT(AND($BD113="Yes",$BG113="Yes"))),"Check: approved to tutor children but WWCC not provided/confirmed. ","")&amp;IF(AND($P113&gt;0,NOT(AND(OR(LEFT($AY113,3)="Yes",LEFT($AY113,2)="NA"),OR(LEFT($AZ113,3)="Yes",LEFT($AZ113,2)="NA")))),"Matched but vetting incomplete (interview/reference). ","")&amp;IF(COUNTIF($B$3:$B$600,$B113)&gt;1,"Duplicate participant name. ",""))</f>
        <v/>
      </c>
      <c r="BO113" s="48" t="inlineStr"/>
      <c r="BP113" s="48" t="inlineStr"/>
      <c r="BQ113" s="48" t="inlineStr"/>
      <c r="BR113" s="48" t="inlineStr"/>
      <c r="BS113" s="48" t="inlineStr"/>
      <c r="BT113" s="48" t="inlineStr"/>
      <c r="BU113" s="48" t="inlineStr"/>
      <c r="BV113" s="48" t="inlineStr"/>
      <c r="BW113" s="48" t="inlineStr"/>
      <c r="BX113" s="48" t="inlineStr"/>
      <c r="BY113" s="48" t="inlineStr"/>
      <c r="BZ113" s="48" t="inlineStr"/>
      <c r="CA113" s="48" t="inlineStr"/>
      <c r="CB113" s="48" t="inlineStr"/>
      <c r="CC113" s="48" t="inlineStr"/>
      <c r="CD113" s="48" t="inlineStr"/>
      <c r="CE113" s="48" t="inlineStr"/>
      <c r="CF113" s="48" t="inlineStr"/>
      <c r="CG113" s="48" t="inlineStr"/>
      <c r="CH113" s="48" t="inlineStr"/>
      <c r="CI113" s="48" t="inlineStr"/>
      <c r="CJ113" s="48" t="inlineStr"/>
      <c r="CK113" s="48" t="inlineStr"/>
      <c r="CL113" s="48" t="inlineStr"/>
      <c r="CM113" s="48" t="inlineStr"/>
      <c r="CN113" s="48" t="inlineStr"/>
      <c r="CO113" s="48" t="inlineStr"/>
      <c r="CP113" s="48" t="inlineStr"/>
      <c r="CQ113" s="48" t="inlineStr"/>
      <c r="CR113" s="48" t="inlineStr"/>
      <c r="CS113" s="48">
        <f>IF(LEFT($J113,3)="ERR",0,1)</f>
        <v/>
      </c>
      <c r="CT113" s="48">
        <f>IF(LEFT($J113,3)="ADM",1,0)</f>
        <v/>
      </c>
      <c r="CU113" s="48">
        <f>IF(OR($J113="ADM-ACT-MAT-CNE",$J113="ADM-ACT-MAT-CE",$J113="ADM-INACT-M&amp;T"),1,0)</f>
        <v/>
      </c>
      <c r="CV113" s="48">
        <f>IF(AND(CU113=1,ISNUMBER(M113),ISNUMBER(I113)),M113-I113,"")</f>
        <v/>
      </c>
      <c r="CW113" s="48">
        <f>IF(ISNUMBER(I113),TODAY()-I113,"")</f>
        <v/>
      </c>
      <c r="CX113" s="48">
        <f>IF(ISNUMBER(I113),DATE(YEAR(I113),MONTH(I113),1),"")</f>
        <v/>
      </c>
      <c r="CY113" s="48">
        <f>IFERROR(DATEDIF(AK113,TODAY(),"y"),"")</f>
        <v/>
      </c>
      <c r="CZ113" s="48">
        <f>IF(CY113="","",IF(CY113&lt;28,"18-27",IF(CY113&lt;38,"28-37",IF(CY113&lt;48,"38-47",IF(CY113&lt;58,"48-57",IF(CY113&lt;68,"58-67",IF(CY113&lt;78,"68-77","78+")))))) </f>
        <v/>
      </c>
      <c r="DA113" s="48">
        <f>IF(AND(BQ113&lt;&gt;"",BR113=""),N(BS113),0)+IF(AND(BW113&lt;&gt;"",BX113=""),N(BY113),0)+IF(AND(CC113&lt;&gt;"",CD113=""),N(CE113),0)+IF(AND(CI113&lt;&gt;"",CJ113=""),N(CK113),0)+IF(AND(CO113&lt;&gt;"",CP113=""),N(CQ113),0)</f>
        <v/>
      </c>
      <c r="DB113" s="48">
        <f>ROUND(IF(BQ113&lt;&gt;"",N(BS113)*MAX(0,((IF(BR113="",TODAY(),BR113))-BQ113)/7),0)+IF(BW113&lt;&gt;"",N(BY113)*MAX(0,((IF(BX113="",TODAY(),BX113))-BW113)/7),0)+IF(CC113&lt;&gt;"",N(CE113)*MAX(0,((IF(CD113="",TODAY(),CD113))-CC113)/7),0)+IF(CI113&lt;&gt;"",N(CK113)*MAX(0,((IF(CJ113="",TODAY(),CJ113))-CI113)/7),0)+IF(CO113&lt;&gt;"",N(CQ113)*MAX(0,((IF(CP113="",TODAY(),CP113))-CO113)/7),0),1)</f>
        <v/>
      </c>
      <c r="DC113" s="48">
        <f>IF(OR(TRIM(X113)="",TRIM(X113)="NA;",TRIM(X113)="NA"),0,1)</f>
        <v/>
      </c>
      <c r="DD113" s="48">
        <f>IF(OR(TRIM(Y113)="",TRIM(Y113)="NA;",TRIM(Y113)="NA"),0,1)</f>
        <v/>
      </c>
      <c r="DE113" s="48">
        <f>IF(OR(TRIM(Z113)="",TRIM(Z113)="NA;",TRIM(Z113)="NA"),0,1)</f>
        <v/>
      </c>
      <c r="DF113" s="48">
        <f>IF(OR(TRIM(AA113)="",TRIM(AA113)="NA;",TRIM(AA113)="NA"),0,1)</f>
        <v/>
      </c>
      <c r="DG113" s="48">
        <f>IF(OR(TRIM(AB113)="",TRIM(AB113)="NA;",TRIM(AB113)="NA"),0,1)</f>
        <v/>
      </c>
      <c r="DH113" s="48">
        <f>IF(OR(TRIM(AC113)="",TRIM(AC113)="NA;",TRIM(AC113)="NA"),0,1)</f>
        <v/>
      </c>
      <c r="DI113" s="48">
        <f>IF(OR(TRIM(AD113)="",TRIM(AD113)="NA;",TRIM(AD113)="NA"),0,1)</f>
        <v/>
      </c>
      <c r="DJ113" s="48">
        <f>TRIM(IF(DC113=1,"Mon ","")&amp;IF(DD113=1,"Tue ","")&amp;IF(DE113=1,"Wed ","")&amp;IF(DF113=1,"Thu ","")&amp;IF(DG113=1,"Fri ","")&amp;IF(DH113=1,"Sat ","")&amp;IF(DI113=1,"Sun ",""))</f>
        <v/>
      </c>
    </row>
    <row r="114">
      <c r="A114" s="48" t="inlineStr">
        <is>
          <t>S-O-00012</t>
        </is>
      </c>
      <c r="B114" s="48" t="inlineStr">
        <is>
          <t>Sam Petrov</t>
        </is>
      </c>
      <c r="C114" s="48" t="inlineStr">
        <is>
          <t>sam.petrov12@example.com</t>
        </is>
      </c>
      <c r="D114" s="48" t="inlineStr">
        <is>
          <t>+61 458 734 339</t>
        </is>
      </c>
      <c r="E114" s="48" t="inlineStr">
        <is>
          <t>Mark Bourne</t>
        </is>
      </c>
      <c r="F114" s="48" t="inlineStr">
        <is>
          <t>+61 477 088 288</t>
        </is>
      </c>
      <c r="G114" s="48" t="inlineStr">
        <is>
          <t>Adult Child</t>
        </is>
      </c>
      <c r="H114" s="48" t="inlineStr">
        <is>
          <t>Student</t>
        </is>
      </c>
      <c r="I114" s="49" t="n">
        <v>45404</v>
      </c>
      <c r="J114" s="48" t="inlineStr">
        <is>
          <t>ADM-ACT-UNMAT</t>
        </is>
      </c>
      <c r="K114" s="48">
        <f>IFERROR(VLOOKUP(J114,'(A) Introduction'!$B$35:$C$45,2,FALSE),"")</f>
        <v/>
      </c>
      <c r="L114" s="48" t="inlineStr">
        <is>
          <t>No</t>
        </is>
      </c>
      <c r="M114" s="48" t="inlineStr"/>
      <c r="N114" s="48" t="inlineStr"/>
      <c r="O114" s="48" t="inlineStr">
        <is>
          <t>NA</t>
        </is>
      </c>
      <c r="P114" s="48">
        <f>IF($H114="Tutor",((BQ114&lt;&gt;"")*(BR114=""))+((BW114&lt;&gt;"")*(BX114=""))+((CC114&lt;&gt;"")*(CD114=""))+((CI114&lt;&gt;"")*(CJ114=""))+((CO114&lt;&gt;"")*(CP114="")),SUMPRODUCT(--($BO$3:$BO$202=$A114),--($BR$3:$BR$202=""))+SUMPRODUCT(--($BU$3:$BU$202=$A114),--($BX$3:$BX$202=""))+SUMPRODUCT(--($CA$3:$CA$202=$A114),--($CD$3:$CD$202=""))+SUMPRODUCT(--($CG$3:$CG$202=$A114),--($CJ$3:$CJ$202=""))+SUMPRODUCT(--($CM$3:$CM$202=$A114),--($CP$3:$CP$202="")))</f>
        <v/>
      </c>
      <c r="Q114" s="48">
        <f>IF($H114="Tutor",(BQ114&lt;&gt;"")+(BW114&lt;&gt;"")+(CC114&lt;&gt;"")+(CI114&lt;&gt;"")+(CO114&lt;&gt;""),SUMPRODUCT(--($BO$3:$BO$202=$A114))+SUMPRODUCT(--($BU$3:$BU$202=$A114))+SUMPRODUCT(--($CA$3:$CA$202=$A114))+SUMPRODUCT(--($CG$3:$CG$202=$A114))+SUMPRODUCT(--($CM$3:$CM$202=$A114)))</f>
        <v/>
      </c>
      <c r="R114" s="48">
        <f>IF($H114="Tutor",TRIM(IF(AND(BQ114&lt;&gt;"",BR114=""),BP114&amp;"; ","")&amp;IF(AND(BW114&lt;&gt;"",BX114=""),BV114&amp;"; ","")&amp;IF(AND(CC114&lt;&gt;"",CD114=""),CB114&amp;"; ","")&amp;IF(AND(CI114&lt;&gt;"",CJ114=""),CH114&amp;"; ","")&amp;IF(AND(CO114&lt;&gt;"",CP114=""),CN114&amp;"; ","")),IFERROR(INDEX($A$3:$B$202,(SUMPRODUCT(($BO$3:$BO$202=$A114)*($BR$3:$BR$202="")*ROW($BO$3:$BO$202))+SUMPRODUCT(($BU$3:$BU$202=$A114)*($BX$3:$BX$202="")*ROW($BU$3:$BU$202))+SUMPRODUCT(($CA$3:$CA$202=$A114)*($CD$3:$CD$202="")*ROW($CA$3:$CA$202))+SUMPRODUCT(($CG$3:$CG$202=$A114)*($CJ$3:$CJ$202="")*ROW($CG$3:$CG$202))+SUMPRODUCT(($CM$3:$CM$202=$A114)*($CP$3:$CP$202="")*ROW($CM$3:$CM$202)))-2,2),""))</f>
        <v/>
      </c>
      <c r="S114" s="48" t="inlineStr">
        <is>
          <t>Provided</t>
        </is>
      </c>
      <c r="T114" s="48" t="inlineStr"/>
      <c r="U114" s="48" t="inlineStr"/>
      <c r="V114" s="49" t="n">
        <v>45995</v>
      </c>
      <c r="W114" s="48" t="inlineStr">
        <is>
          <t>AEST (UTC+10)</t>
        </is>
      </c>
      <c r="X114" s="48" t="inlineStr">
        <is>
          <t>NA;</t>
        </is>
      </c>
      <c r="Y114" s="48" t="inlineStr">
        <is>
          <t>9am-12pm;</t>
        </is>
      </c>
      <c r="Z114" s="48" t="inlineStr">
        <is>
          <t>3pm-6pm;</t>
        </is>
      </c>
      <c r="AA114" s="48" t="inlineStr">
        <is>
          <t>9am-12pm;12pm-3pm;3pm-6pm;</t>
        </is>
      </c>
      <c r="AB114" s="48" t="inlineStr">
        <is>
          <t>6pm-9pm;</t>
        </is>
      </c>
      <c r="AC114" s="48" t="inlineStr">
        <is>
          <t>12pm-3pm;</t>
        </is>
      </c>
      <c r="AD114" s="48" t="inlineStr">
        <is>
          <t>3pm-6pm;</t>
        </is>
      </c>
      <c r="AE114" s="48" t="inlineStr">
        <is>
          <t>In-Person</t>
        </is>
      </c>
      <c r="AF114" s="48" t="inlineStr">
        <is>
          <t>Multiple devices</t>
        </is>
      </c>
      <c r="AG114" s="48" t="inlineStr">
        <is>
          <t>Australia</t>
        </is>
      </c>
      <c r="AH114" s="48" t="inlineStr">
        <is>
          <t>New South Wales</t>
        </is>
      </c>
      <c r="AI114" s="48" t="inlineStr">
        <is>
          <t>Bardia</t>
        </is>
      </c>
      <c r="AJ114" s="48" t="inlineStr">
        <is>
          <t>2565</t>
        </is>
      </c>
      <c r="AK114" s="49" t="n">
        <v>30038</v>
      </c>
      <c r="AL114" s="48" t="inlineStr">
        <is>
          <t>Other</t>
        </is>
      </c>
      <c r="AM114" s="48" t="inlineStr">
        <is>
          <t>Yes</t>
        </is>
      </c>
      <c r="AN114" s="48" t="inlineStr">
        <is>
          <t>B2</t>
        </is>
      </c>
      <c r="AO114" s="48" t="inlineStr">
        <is>
          <t>High</t>
        </is>
      </c>
      <c r="AP114" s="48" t="inlineStr">
        <is>
          <t>Iraq</t>
        </is>
      </c>
      <c r="AQ114" s="48" t="inlineStr">
        <is>
          <t>NA</t>
        </is>
      </c>
      <c r="AR114" s="48" t="inlineStr">
        <is>
          <t>Ukrainian (C1)</t>
        </is>
      </c>
      <c r="AS114" s="48" t="inlineStr">
        <is>
          <t>Muslim</t>
        </is>
      </c>
      <c r="AT114" s="48" t="inlineStr">
        <is>
          <t>Science, Tech, Engineering and Math</t>
        </is>
      </c>
      <c r="AU114" s="48" t="inlineStr">
        <is>
          <t>Aged Care Worker</t>
        </is>
      </c>
      <c r="AV114" s="48" t="inlineStr">
        <is>
          <t>Engineering</t>
        </is>
      </c>
      <c r="AW114" s="48" t="inlineStr">
        <is>
          <t>Gardening; Cooking; Walking</t>
        </is>
      </c>
      <c r="AX114" s="48" t="inlineStr">
        <is>
          <t>Refugee</t>
        </is>
      </c>
      <c r="AY114" s="48" t="inlineStr">
        <is>
          <t>Yes</t>
        </is>
      </c>
      <c r="AZ114" s="48" t="inlineStr">
        <is>
          <t>No</t>
        </is>
      </c>
      <c r="BA114" s="48" t="inlineStr">
        <is>
          <t>NA</t>
        </is>
      </c>
      <c r="BB114" s="48" t="inlineStr">
        <is>
          <t>NA</t>
        </is>
      </c>
      <c r="BC114" s="48" t="inlineStr">
        <is>
          <t>NA</t>
        </is>
      </c>
      <c r="BD114" s="48" t="inlineStr">
        <is>
          <t>NA</t>
        </is>
      </c>
      <c r="BE114" s="48" t="inlineStr"/>
      <c r="BF114" s="48" t="inlineStr"/>
      <c r="BG114" s="48" t="inlineStr">
        <is>
          <t>NA</t>
        </is>
      </c>
      <c r="BH114" s="48" t="inlineStr">
        <is>
          <t>NA - Student</t>
        </is>
      </c>
      <c r="BI114" s="48" t="inlineStr">
        <is>
          <t>University of Sydney (including St. Paul's College)</t>
        </is>
      </c>
      <c r="BJ114" s="48" t="inlineStr">
        <is>
          <t>CROCK Mary</t>
        </is>
      </c>
      <c r="BK114" s="48" t="inlineStr">
        <is>
          <t>KNIJNIK Marina</t>
        </is>
      </c>
      <c r="BL114" s="48" t="inlineStr">
        <is>
          <t>Synthetic test record.</t>
        </is>
      </c>
      <c r="BM114" s="48" t="inlineStr"/>
      <c r="BN114" s="48">
        <f>TRIM(IF(AND($H114="Student",$J114="ADM-ACT-MAT-CNE"),"Invalid: Student cannot be CNE. ","")&amp;IF(AND($H114="Student",ISNUMBER($O114)),"Check: capacity set for a Student. ","")&amp;IF(AND(LEFT($J114,11)="ADM-ACT-MAT",$P114=0),"Check: matched status but 0 active pairings. ","")&amp;IF(AND($H114="Tutor",ISNUMBER($O114),$P114&gt;$O114),"Check: pairings exceed capacity. ","")&amp;IF(AND($BH114="Everyone",NOT(AND($BD114="Yes",$BG114="Yes"))),"Check: approved to tutor children but WWCC not provided/confirmed. ","")&amp;IF(AND($P114&gt;0,NOT(AND(OR(LEFT($AY114,3)="Yes",LEFT($AY114,2)="NA"),OR(LEFT($AZ114,3)="Yes",LEFT($AZ114,2)="NA")))),"Matched but vetting incomplete (interview/reference). ","")&amp;IF(COUNTIF($B$3:$B$600,$B114)&gt;1,"Duplicate participant name. ",""))</f>
        <v/>
      </c>
      <c r="BO114" s="48" t="inlineStr"/>
      <c r="BP114" s="48" t="inlineStr"/>
      <c r="BQ114" s="48" t="inlineStr"/>
      <c r="BR114" s="48" t="inlineStr"/>
      <c r="BS114" s="48" t="inlineStr"/>
      <c r="BT114" s="48" t="inlineStr"/>
      <c r="BU114" s="48" t="inlineStr"/>
      <c r="BV114" s="48" t="inlineStr"/>
      <c r="BW114" s="48" t="inlineStr"/>
      <c r="BX114" s="48" t="inlineStr"/>
      <c r="BY114" s="48" t="inlineStr"/>
      <c r="BZ114" s="48" t="inlineStr"/>
      <c r="CA114" s="48" t="inlineStr"/>
      <c r="CB114" s="48" t="inlineStr"/>
      <c r="CC114" s="48" t="inlineStr"/>
      <c r="CD114" s="48" t="inlineStr"/>
      <c r="CE114" s="48" t="inlineStr"/>
      <c r="CF114" s="48" t="inlineStr"/>
      <c r="CG114" s="48" t="inlineStr"/>
      <c r="CH114" s="48" t="inlineStr"/>
      <c r="CI114" s="48" t="inlineStr"/>
      <c r="CJ114" s="48" t="inlineStr"/>
      <c r="CK114" s="48" t="inlineStr"/>
      <c r="CL114" s="48" t="inlineStr"/>
      <c r="CM114" s="48" t="inlineStr"/>
      <c r="CN114" s="48" t="inlineStr"/>
      <c r="CO114" s="48" t="inlineStr"/>
      <c r="CP114" s="48" t="inlineStr"/>
      <c r="CQ114" s="48" t="inlineStr"/>
      <c r="CR114" s="48" t="inlineStr"/>
      <c r="CS114" s="48">
        <f>IF(LEFT($J114,3)="ERR",0,1)</f>
        <v/>
      </c>
      <c r="CT114" s="48">
        <f>IF(LEFT($J114,3)="ADM",1,0)</f>
        <v/>
      </c>
      <c r="CU114" s="48">
        <f>IF(OR($J114="ADM-ACT-MAT-CNE",$J114="ADM-ACT-MAT-CE",$J114="ADM-INACT-M&amp;T"),1,0)</f>
        <v/>
      </c>
      <c r="CV114" s="48">
        <f>IF(AND(CU114=1,ISNUMBER(M114),ISNUMBER(I114)),M114-I114,"")</f>
        <v/>
      </c>
      <c r="CW114" s="48">
        <f>IF(ISNUMBER(I114),TODAY()-I114,"")</f>
        <v/>
      </c>
      <c r="CX114" s="48">
        <f>IF(ISNUMBER(I114),DATE(YEAR(I114),MONTH(I114),1),"")</f>
        <v/>
      </c>
      <c r="CY114" s="48">
        <f>IFERROR(DATEDIF(AK114,TODAY(),"y"),"")</f>
        <v/>
      </c>
      <c r="CZ114" s="48">
        <f>IF(CY114="","",IF(CY114&lt;28,"18-27",IF(CY114&lt;38,"28-37",IF(CY114&lt;48,"38-47",IF(CY114&lt;58,"48-57",IF(CY114&lt;68,"58-67",IF(CY114&lt;78,"68-77","78+")))))) </f>
        <v/>
      </c>
      <c r="DA114" s="48">
        <f>IF(AND(BQ114&lt;&gt;"",BR114=""),N(BS114),0)+IF(AND(BW114&lt;&gt;"",BX114=""),N(BY114),0)+IF(AND(CC114&lt;&gt;"",CD114=""),N(CE114),0)+IF(AND(CI114&lt;&gt;"",CJ114=""),N(CK114),0)+IF(AND(CO114&lt;&gt;"",CP114=""),N(CQ114),0)</f>
        <v/>
      </c>
      <c r="DB114" s="48">
        <f>ROUND(IF(BQ114&lt;&gt;"",N(BS114)*MAX(0,((IF(BR114="",TODAY(),BR114))-BQ114)/7),0)+IF(BW114&lt;&gt;"",N(BY114)*MAX(0,((IF(BX114="",TODAY(),BX114))-BW114)/7),0)+IF(CC114&lt;&gt;"",N(CE114)*MAX(0,((IF(CD114="",TODAY(),CD114))-CC114)/7),0)+IF(CI114&lt;&gt;"",N(CK114)*MAX(0,((IF(CJ114="",TODAY(),CJ114))-CI114)/7),0)+IF(CO114&lt;&gt;"",N(CQ114)*MAX(0,((IF(CP114="",TODAY(),CP114))-CO114)/7),0),1)</f>
        <v/>
      </c>
      <c r="DC114" s="48">
        <f>IF(OR(TRIM(X114)="",TRIM(X114)="NA;",TRIM(X114)="NA"),0,1)</f>
        <v/>
      </c>
      <c r="DD114" s="48">
        <f>IF(OR(TRIM(Y114)="",TRIM(Y114)="NA;",TRIM(Y114)="NA"),0,1)</f>
        <v/>
      </c>
      <c r="DE114" s="48">
        <f>IF(OR(TRIM(Z114)="",TRIM(Z114)="NA;",TRIM(Z114)="NA"),0,1)</f>
        <v/>
      </c>
      <c r="DF114" s="48">
        <f>IF(OR(TRIM(AA114)="",TRIM(AA114)="NA;",TRIM(AA114)="NA"),0,1)</f>
        <v/>
      </c>
      <c r="DG114" s="48">
        <f>IF(OR(TRIM(AB114)="",TRIM(AB114)="NA;",TRIM(AB114)="NA"),0,1)</f>
        <v/>
      </c>
      <c r="DH114" s="48">
        <f>IF(OR(TRIM(AC114)="",TRIM(AC114)="NA;",TRIM(AC114)="NA"),0,1)</f>
        <v/>
      </c>
      <c r="DI114" s="48">
        <f>IF(OR(TRIM(AD114)="",TRIM(AD114)="NA;",TRIM(AD114)="NA"),0,1)</f>
        <v/>
      </c>
      <c r="DJ114" s="48">
        <f>TRIM(IF(DC114=1,"Mon ","")&amp;IF(DD114=1,"Tue ","")&amp;IF(DE114=1,"Wed ","")&amp;IF(DF114=1,"Thu ","")&amp;IF(DG114=1,"Fri ","")&amp;IF(DH114=1,"Sat ","")&amp;IF(DI114=1,"Sun ",""))</f>
        <v/>
      </c>
    </row>
    <row r="115">
      <c r="A115" s="48" t="inlineStr">
        <is>
          <t>S-O-00013</t>
        </is>
      </c>
      <c r="B115" s="48" t="inlineStr">
        <is>
          <t>Tariq Cohen</t>
        </is>
      </c>
      <c r="C115" s="48" t="inlineStr">
        <is>
          <t>tariq.cohen13@example.com</t>
        </is>
      </c>
      <c r="D115" s="48" t="inlineStr">
        <is>
          <t>+61 460 160 546</t>
        </is>
      </c>
      <c r="E115" s="48" t="inlineStr">
        <is>
          <t>Hannah King</t>
        </is>
      </c>
      <c r="F115" s="48" t="inlineStr">
        <is>
          <t>+61 406 871 769</t>
        </is>
      </c>
      <c r="G115" s="48" t="inlineStr">
        <is>
          <t>Friend</t>
        </is>
      </c>
      <c r="H115" s="48" t="inlineStr">
        <is>
          <t>Student</t>
        </is>
      </c>
      <c r="I115" s="49" t="n">
        <v>45419</v>
      </c>
      <c r="J115" s="48" t="inlineStr">
        <is>
          <t>ADM-ACT-MAT-CE</t>
        </is>
      </c>
      <c r="K115" s="48">
        <f>IFERROR(VLOOKUP(J115,'(A) Introduction'!$B$35:$C$45,2,FALSE),"")</f>
        <v/>
      </c>
      <c r="L115" s="48" t="inlineStr">
        <is>
          <t>No</t>
        </is>
      </c>
      <c r="M115" s="49" t="n">
        <v>45496</v>
      </c>
      <c r="N115" s="48" t="inlineStr"/>
      <c r="O115" s="48" t="inlineStr">
        <is>
          <t>NA</t>
        </is>
      </c>
      <c r="P115" s="48">
        <f>IF($H115="Tutor",((BQ115&lt;&gt;"")*(BR115=""))+((BW115&lt;&gt;"")*(BX115=""))+((CC115&lt;&gt;"")*(CD115=""))+((CI115&lt;&gt;"")*(CJ115=""))+((CO115&lt;&gt;"")*(CP115="")),SUMPRODUCT(--($BO$3:$BO$202=$A115),--($BR$3:$BR$202=""))+SUMPRODUCT(--($BU$3:$BU$202=$A115),--($BX$3:$BX$202=""))+SUMPRODUCT(--($CA$3:$CA$202=$A115),--($CD$3:$CD$202=""))+SUMPRODUCT(--($CG$3:$CG$202=$A115),--($CJ$3:$CJ$202=""))+SUMPRODUCT(--($CM$3:$CM$202=$A115),--($CP$3:$CP$202="")))</f>
        <v/>
      </c>
      <c r="Q115" s="48">
        <f>IF($H115="Tutor",(BQ115&lt;&gt;"")+(BW115&lt;&gt;"")+(CC115&lt;&gt;"")+(CI115&lt;&gt;"")+(CO115&lt;&gt;""),SUMPRODUCT(--($BO$3:$BO$202=$A115))+SUMPRODUCT(--($BU$3:$BU$202=$A115))+SUMPRODUCT(--($CA$3:$CA$202=$A115))+SUMPRODUCT(--($CG$3:$CG$202=$A115))+SUMPRODUCT(--($CM$3:$CM$202=$A115)))</f>
        <v/>
      </c>
      <c r="R115" s="48">
        <f>IF($H115="Tutor",TRIM(IF(AND(BQ115&lt;&gt;"",BR115=""),BP115&amp;"; ","")&amp;IF(AND(BW115&lt;&gt;"",BX115=""),BV115&amp;"; ","")&amp;IF(AND(CC115&lt;&gt;"",CD115=""),CB115&amp;"; ","")&amp;IF(AND(CI115&lt;&gt;"",CJ115=""),CH115&amp;"; ","")&amp;IF(AND(CO115&lt;&gt;"",CP115=""),CN115&amp;"; ","")),IFERROR(INDEX($A$3:$B$202,(SUMPRODUCT(($BO$3:$BO$202=$A115)*($BR$3:$BR$202="")*ROW($BO$3:$BO$202))+SUMPRODUCT(($BU$3:$BU$202=$A115)*($BX$3:$BX$202="")*ROW($BU$3:$BU$202))+SUMPRODUCT(($CA$3:$CA$202=$A115)*($CD$3:$CD$202="")*ROW($CA$3:$CA$202))+SUMPRODUCT(($CG$3:$CG$202=$A115)*($CJ$3:$CJ$202="")*ROW($CG$3:$CG$202))+SUMPRODUCT(($CM$3:$CM$202=$A115)*($CP$3:$CP$202="")*ROW($CM$3:$CM$202)))-2,2),""))</f>
        <v/>
      </c>
      <c r="S115" s="48" t="inlineStr">
        <is>
          <t>Provided</t>
        </is>
      </c>
      <c r="T115" s="48" t="inlineStr"/>
      <c r="U115" s="48" t="inlineStr"/>
      <c r="V115" s="49" t="n">
        <v>46074</v>
      </c>
      <c r="W115" s="48" t="inlineStr">
        <is>
          <t>ACDT (UTC+10:30)</t>
        </is>
      </c>
      <c r="X115" s="48" t="inlineStr">
        <is>
          <t>12pm-3pm;6pm-9pm;</t>
        </is>
      </c>
      <c r="Y115" s="48" t="inlineStr">
        <is>
          <t>9am-12pm;12pm-3pm;3pm-6pm;</t>
        </is>
      </c>
      <c r="Z115" s="48" t="inlineStr">
        <is>
          <t>3pm-6pm;</t>
        </is>
      </c>
      <c r="AA115" s="48" t="inlineStr">
        <is>
          <t>9am-12pm;</t>
        </is>
      </c>
      <c r="AB115" s="48" t="inlineStr">
        <is>
          <t>3pm-6pm;</t>
        </is>
      </c>
      <c r="AC115" s="48" t="inlineStr">
        <is>
          <t>6am-9am;9am-12pm;</t>
        </is>
      </c>
      <c r="AD115" s="48" t="inlineStr">
        <is>
          <t>NA;</t>
        </is>
      </c>
      <c r="AE115" s="48" t="inlineStr">
        <is>
          <t>Either</t>
        </is>
      </c>
      <c r="AF115" s="48" t="inlineStr">
        <is>
          <t>Phone</t>
        </is>
      </c>
      <c r="AG115" s="48" t="inlineStr">
        <is>
          <t>Australia</t>
        </is>
      </c>
      <c r="AH115" s="48" t="inlineStr">
        <is>
          <t>New South Wales</t>
        </is>
      </c>
      <c r="AI115" s="48" t="inlineStr">
        <is>
          <t>Bardia</t>
        </is>
      </c>
      <c r="AJ115" s="48" t="inlineStr">
        <is>
          <t>2565</t>
        </is>
      </c>
      <c r="AK115" s="49" t="n">
        <v>24666</v>
      </c>
      <c r="AL115" s="48" t="inlineStr">
        <is>
          <t>Female</t>
        </is>
      </c>
      <c r="AM115" s="48" t="inlineStr">
        <is>
          <t>No</t>
        </is>
      </c>
      <c r="AN115" s="48" t="inlineStr">
        <is>
          <t>B2</t>
        </is>
      </c>
      <c r="AO115" s="48" t="inlineStr">
        <is>
          <t>Low</t>
        </is>
      </c>
      <c r="AP115" s="48" t="inlineStr">
        <is>
          <t>Somalia; Pakistan</t>
        </is>
      </c>
      <c r="AQ115" s="48" t="inlineStr">
        <is>
          <t>NA</t>
        </is>
      </c>
      <c r="AR115" s="48" t="inlineStr">
        <is>
          <t>Bengali (C1)</t>
        </is>
      </c>
      <c r="AS115" s="48" t="inlineStr">
        <is>
          <t>Christian (Orthodox)</t>
        </is>
      </c>
      <c r="AT115" s="48" t="inlineStr">
        <is>
          <t>Labour, Administrative &amp; Clerical</t>
        </is>
      </c>
      <c r="AU115" s="48" t="inlineStr">
        <is>
          <t>Retail</t>
        </is>
      </c>
      <c r="AV115" s="48" t="inlineStr">
        <is>
          <t>Teacher</t>
        </is>
      </c>
      <c r="AW115" s="48" t="inlineStr">
        <is>
          <t>Travel; Sport; Movies</t>
        </is>
      </c>
      <c r="AX115" s="48" t="inlineStr">
        <is>
          <t>Refugee</t>
        </is>
      </c>
      <c r="AY115" s="48" t="inlineStr">
        <is>
          <t>Yes</t>
        </is>
      </c>
      <c r="AZ115" s="48" t="inlineStr">
        <is>
          <t>No</t>
        </is>
      </c>
      <c r="BA115" s="48" t="inlineStr">
        <is>
          <t>NA</t>
        </is>
      </c>
      <c r="BB115" s="48" t="inlineStr">
        <is>
          <t>NA</t>
        </is>
      </c>
      <c r="BC115" s="48" t="inlineStr">
        <is>
          <t>NA</t>
        </is>
      </c>
      <c r="BD115" s="48" t="inlineStr">
        <is>
          <t>NA</t>
        </is>
      </c>
      <c r="BE115" s="48" t="inlineStr"/>
      <c r="BF115" s="48" t="inlineStr"/>
      <c r="BG115" s="48" t="inlineStr">
        <is>
          <t>NA</t>
        </is>
      </c>
      <c r="BH115" s="48" t="inlineStr">
        <is>
          <t>NA - Student</t>
        </is>
      </c>
      <c r="BI115" s="48" t="inlineStr">
        <is>
          <t>Jesuit Refugee Service</t>
        </is>
      </c>
      <c r="BJ115" s="48" t="inlineStr">
        <is>
          <t>CROCK Mary</t>
        </is>
      </c>
      <c r="BK115" s="48" t="inlineStr">
        <is>
          <t>HALLORAN Isobel</t>
        </is>
      </c>
      <c r="BL115" s="48" t="inlineStr">
        <is>
          <t>Synthetic test record.</t>
        </is>
      </c>
      <c r="BM115" s="48" t="inlineStr"/>
      <c r="BN115" s="48">
        <f>TRIM(IF(AND($H115="Student",$J115="ADM-ACT-MAT-CNE"),"Invalid: Student cannot be CNE. ","")&amp;IF(AND($H115="Student",ISNUMBER($O115)),"Check: capacity set for a Student. ","")&amp;IF(AND(LEFT($J115,11)="ADM-ACT-MAT",$P115=0),"Check: matched status but 0 active pairings. ","")&amp;IF(AND($H115="Tutor",ISNUMBER($O115),$P115&gt;$O115),"Check: pairings exceed capacity. ","")&amp;IF(AND($BH115="Everyone",NOT(AND($BD115="Yes",$BG115="Yes"))),"Check: approved to tutor children but WWCC not provided/confirmed. ","")&amp;IF(AND($P115&gt;0,NOT(AND(OR(LEFT($AY115,3)="Yes",LEFT($AY115,2)="NA"),OR(LEFT($AZ115,3)="Yes",LEFT($AZ115,2)="NA")))),"Matched but vetting incomplete (interview/reference). ","")&amp;IF(COUNTIF($B$3:$B$600,$B115)&gt;1,"Duplicate participant name. ",""))</f>
        <v/>
      </c>
      <c r="BO115" s="48" t="inlineStr"/>
      <c r="BP115" s="48" t="inlineStr"/>
      <c r="BQ115" s="48" t="inlineStr"/>
      <c r="BR115" s="48" t="inlineStr"/>
      <c r="BS115" s="48" t="inlineStr"/>
      <c r="BT115" s="48" t="inlineStr"/>
      <c r="BU115" s="48" t="inlineStr"/>
      <c r="BV115" s="48" t="inlineStr"/>
      <c r="BW115" s="48" t="inlineStr"/>
      <c r="BX115" s="48" t="inlineStr"/>
      <c r="BY115" s="48" t="inlineStr"/>
      <c r="BZ115" s="48" t="inlineStr"/>
      <c r="CA115" s="48" t="inlineStr"/>
      <c r="CB115" s="48" t="inlineStr"/>
      <c r="CC115" s="48" t="inlineStr"/>
      <c r="CD115" s="48" t="inlineStr"/>
      <c r="CE115" s="48" t="inlineStr"/>
      <c r="CF115" s="48" t="inlineStr"/>
      <c r="CG115" s="48" t="inlineStr"/>
      <c r="CH115" s="48" t="inlineStr"/>
      <c r="CI115" s="48" t="inlineStr"/>
      <c r="CJ115" s="48" t="inlineStr"/>
      <c r="CK115" s="48" t="inlineStr"/>
      <c r="CL115" s="48" t="inlineStr"/>
      <c r="CM115" s="48" t="inlineStr"/>
      <c r="CN115" s="48" t="inlineStr"/>
      <c r="CO115" s="48" t="inlineStr"/>
      <c r="CP115" s="48" t="inlineStr"/>
      <c r="CQ115" s="48" t="inlineStr"/>
      <c r="CR115" s="48" t="inlineStr"/>
      <c r="CS115" s="48">
        <f>IF(LEFT($J115,3)="ERR",0,1)</f>
        <v/>
      </c>
      <c r="CT115" s="48">
        <f>IF(LEFT($J115,3)="ADM",1,0)</f>
        <v/>
      </c>
      <c r="CU115" s="48">
        <f>IF(OR($J115="ADM-ACT-MAT-CNE",$J115="ADM-ACT-MAT-CE",$J115="ADM-INACT-M&amp;T"),1,0)</f>
        <v/>
      </c>
      <c r="CV115" s="48">
        <f>IF(AND(CU115=1,ISNUMBER(M115),ISNUMBER(I115)),M115-I115,"")</f>
        <v/>
      </c>
      <c r="CW115" s="48">
        <f>IF(ISNUMBER(I115),TODAY()-I115,"")</f>
        <v/>
      </c>
      <c r="CX115" s="48">
        <f>IF(ISNUMBER(I115),DATE(YEAR(I115),MONTH(I115),1),"")</f>
        <v/>
      </c>
      <c r="CY115" s="48">
        <f>IFERROR(DATEDIF(AK115,TODAY(),"y"),"")</f>
        <v/>
      </c>
      <c r="CZ115" s="48">
        <f>IF(CY115="","",IF(CY115&lt;28,"18-27",IF(CY115&lt;38,"28-37",IF(CY115&lt;48,"38-47",IF(CY115&lt;58,"48-57",IF(CY115&lt;68,"58-67",IF(CY115&lt;78,"68-77","78+")))))) </f>
        <v/>
      </c>
      <c r="DA115" s="48">
        <f>IF(AND(BQ115&lt;&gt;"",BR115=""),N(BS115),0)+IF(AND(BW115&lt;&gt;"",BX115=""),N(BY115),0)+IF(AND(CC115&lt;&gt;"",CD115=""),N(CE115),0)+IF(AND(CI115&lt;&gt;"",CJ115=""),N(CK115),0)+IF(AND(CO115&lt;&gt;"",CP115=""),N(CQ115),0)</f>
        <v/>
      </c>
      <c r="DB115" s="48">
        <f>ROUND(IF(BQ115&lt;&gt;"",N(BS115)*MAX(0,((IF(BR115="",TODAY(),BR115))-BQ115)/7),0)+IF(BW115&lt;&gt;"",N(BY115)*MAX(0,((IF(BX115="",TODAY(),BX115))-BW115)/7),0)+IF(CC115&lt;&gt;"",N(CE115)*MAX(0,((IF(CD115="",TODAY(),CD115))-CC115)/7),0)+IF(CI115&lt;&gt;"",N(CK115)*MAX(0,((IF(CJ115="",TODAY(),CJ115))-CI115)/7),0)+IF(CO115&lt;&gt;"",N(CQ115)*MAX(0,((IF(CP115="",TODAY(),CP115))-CO115)/7),0),1)</f>
        <v/>
      </c>
      <c r="DC115" s="48">
        <f>IF(OR(TRIM(X115)="",TRIM(X115)="NA;",TRIM(X115)="NA"),0,1)</f>
        <v/>
      </c>
      <c r="DD115" s="48">
        <f>IF(OR(TRIM(Y115)="",TRIM(Y115)="NA;",TRIM(Y115)="NA"),0,1)</f>
        <v/>
      </c>
      <c r="DE115" s="48">
        <f>IF(OR(TRIM(Z115)="",TRIM(Z115)="NA;",TRIM(Z115)="NA"),0,1)</f>
        <v/>
      </c>
      <c r="DF115" s="48">
        <f>IF(OR(TRIM(AA115)="",TRIM(AA115)="NA;",TRIM(AA115)="NA"),0,1)</f>
        <v/>
      </c>
      <c r="DG115" s="48">
        <f>IF(OR(TRIM(AB115)="",TRIM(AB115)="NA;",TRIM(AB115)="NA"),0,1)</f>
        <v/>
      </c>
      <c r="DH115" s="48">
        <f>IF(OR(TRIM(AC115)="",TRIM(AC115)="NA;",TRIM(AC115)="NA"),0,1)</f>
        <v/>
      </c>
      <c r="DI115" s="48">
        <f>IF(OR(TRIM(AD115)="",TRIM(AD115)="NA;",TRIM(AD115)="NA"),0,1)</f>
        <v/>
      </c>
      <c r="DJ115" s="48">
        <f>TRIM(IF(DC115=1,"Mon ","")&amp;IF(DD115=1,"Tue ","")&amp;IF(DE115=1,"Wed ","")&amp;IF(DF115=1,"Thu ","")&amp;IF(DG115=1,"Fri ","")&amp;IF(DH115=1,"Sat ","")&amp;IF(DI115=1,"Sun ",""))</f>
        <v/>
      </c>
    </row>
    <row r="116">
      <c r="A116" s="48" t="inlineStr">
        <is>
          <t>S-O-00014</t>
        </is>
      </c>
      <c r="B116" s="48" t="inlineStr">
        <is>
          <t>Rania Young</t>
        </is>
      </c>
      <c r="C116" s="48" t="inlineStr">
        <is>
          <t>rania.young14@example.com</t>
        </is>
      </c>
      <c r="D116" s="48" t="inlineStr">
        <is>
          <t>+61 437 687 068</t>
        </is>
      </c>
      <c r="E116" s="48" t="inlineStr">
        <is>
          <t>Zara Brown</t>
        </is>
      </c>
      <c r="F116" s="48" t="inlineStr">
        <is>
          <t>+61 435 860 368</t>
        </is>
      </c>
      <c r="G116" s="48" t="inlineStr">
        <is>
          <t>Parent</t>
        </is>
      </c>
      <c r="H116" s="48" t="inlineStr">
        <is>
          <t>Student</t>
        </is>
      </c>
      <c r="I116" s="49" t="n">
        <v>45423</v>
      </c>
      <c r="J116" s="48" t="inlineStr">
        <is>
          <t>ADM-ACT-MAT-CE</t>
        </is>
      </c>
      <c r="K116" s="48">
        <f>IFERROR(VLOOKUP(J116,'(A) Introduction'!$B$35:$C$45,2,FALSE),"")</f>
        <v/>
      </c>
      <c r="L116" s="48" t="inlineStr">
        <is>
          <t>No</t>
        </is>
      </c>
      <c r="M116" s="49" t="n">
        <v>45539</v>
      </c>
      <c r="N116" s="48" t="inlineStr"/>
      <c r="O116" s="48" t="inlineStr">
        <is>
          <t>NA</t>
        </is>
      </c>
      <c r="P116" s="48">
        <f>IF($H116="Tutor",((BQ116&lt;&gt;"")*(BR116=""))+((BW116&lt;&gt;"")*(BX116=""))+((CC116&lt;&gt;"")*(CD116=""))+((CI116&lt;&gt;"")*(CJ116=""))+((CO116&lt;&gt;"")*(CP116="")),SUMPRODUCT(--($BO$3:$BO$202=$A116),--($BR$3:$BR$202=""))+SUMPRODUCT(--($BU$3:$BU$202=$A116),--($BX$3:$BX$202=""))+SUMPRODUCT(--($CA$3:$CA$202=$A116),--($CD$3:$CD$202=""))+SUMPRODUCT(--($CG$3:$CG$202=$A116),--($CJ$3:$CJ$202=""))+SUMPRODUCT(--($CM$3:$CM$202=$A116),--($CP$3:$CP$202="")))</f>
        <v/>
      </c>
      <c r="Q116" s="48">
        <f>IF($H116="Tutor",(BQ116&lt;&gt;"")+(BW116&lt;&gt;"")+(CC116&lt;&gt;"")+(CI116&lt;&gt;"")+(CO116&lt;&gt;""),SUMPRODUCT(--($BO$3:$BO$202=$A116))+SUMPRODUCT(--($BU$3:$BU$202=$A116))+SUMPRODUCT(--($CA$3:$CA$202=$A116))+SUMPRODUCT(--($CG$3:$CG$202=$A116))+SUMPRODUCT(--($CM$3:$CM$202=$A116)))</f>
        <v/>
      </c>
      <c r="R116" s="48">
        <f>IF($H116="Tutor",TRIM(IF(AND(BQ116&lt;&gt;"",BR116=""),BP116&amp;"; ","")&amp;IF(AND(BW116&lt;&gt;"",BX116=""),BV116&amp;"; ","")&amp;IF(AND(CC116&lt;&gt;"",CD116=""),CB116&amp;"; ","")&amp;IF(AND(CI116&lt;&gt;"",CJ116=""),CH116&amp;"; ","")&amp;IF(AND(CO116&lt;&gt;"",CP116=""),CN116&amp;"; ","")),IFERROR(INDEX($A$3:$B$202,(SUMPRODUCT(($BO$3:$BO$202=$A116)*($BR$3:$BR$202="")*ROW($BO$3:$BO$202))+SUMPRODUCT(($BU$3:$BU$202=$A116)*($BX$3:$BX$202="")*ROW($BU$3:$BU$202))+SUMPRODUCT(($CA$3:$CA$202=$A116)*($CD$3:$CD$202="")*ROW($CA$3:$CA$202))+SUMPRODUCT(($CG$3:$CG$202=$A116)*($CJ$3:$CJ$202="")*ROW($CG$3:$CG$202))+SUMPRODUCT(($CM$3:$CM$202=$A116)*($CP$3:$CP$202="")*ROW($CM$3:$CM$202)))-2,2),""))</f>
        <v/>
      </c>
      <c r="S116" s="48" t="inlineStr">
        <is>
          <t>Provided</t>
        </is>
      </c>
      <c r="T116" s="48" t="inlineStr"/>
      <c r="U116" s="48" t="inlineStr"/>
      <c r="V116" s="49" t="n">
        <v>45705</v>
      </c>
      <c r="W116" s="48" t="inlineStr">
        <is>
          <t>AEST (UTC+10)</t>
        </is>
      </c>
      <c r="X116" s="48" t="inlineStr">
        <is>
          <t>6pm-9pm;</t>
        </is>
      </c>
      <c r="Y116" s="48" t="inlineStr">
        <is>
          <t>6am-9am;9am-12pm;</t>
        </is>
      </c>
      <c r="Z116" s="48" t="inlineStr">
        <is>
          <t>6am-9am;9am-12pm;</t>
        </is>
      </c>
      <c r="AA116" s="48" t="inlineStr">
        <is>
          <t>9am-12pm;</t>
        </is>
      </c>
      <c r="AB116" s="48" t="inlineStr">
        <is>
          <t>12pm-3pm;</t>
        </is>
      </c>
      <c r="AC116" s="48" t="inlineStr">
        <is>
          <t>6pm-9pm;</t>
        </is>
      </c>
      <c r="AD116" s="48" t="inlineStr">
        <is>
          <t>3pm-6pm;</t>
        </is>
      </c>
      <c r="AE116" s="48" t="inlineStr">
        <is>
          <t>Either</t>
        </is>
      </c>
      <c r="AF116" s="48" t="inlineStr">
        <is>
          <t>Computer</t>
        </is>
      </c>
      <c r="AG116" s="48" t="inlineStr">
        <is>
          <t>Australia</t>
        </is>
      </c>
      <c r="AH116" s="48" t="inlineStr">
        <is>
          <t>New South Wales</t>
        </is>
      </c>
      <c r="AI116" s="48" t="inlineStr">
        <is>
          <t>Parramatta</t>
        </is>
      </c>
      <c r="AJ116" s="48" t="inlineStr">
        <is>
          <t>2150</t>
        </is>
      </c>
      <c r="AK116" s="49" t="n">
        <v>37394</v>
      </c>
      <c r="AL116" s="48" t="inlineStr">
        <is>
          <t>Female</t>
        </is>
      </c>
      <c r="AM116" s="48" t="inlineStr">
        <is>
          <t>No</t>
        </is>
      </c>
      <c r="AN116" s="48" t="inlineStr">
        <is>
          <t>B2</t>
        </is>
      </c>
      <c r="AO116" s="48" t="inlineStr">
        <is>
          <t>Outstanding</t>
        </is>
      </c>
      <c r="AP116" s="48" t="inlineStr">
        <is>
          <t>Ukraine</t>
        </is>
      </c>
      <c r="AQ116" s="48" t="inlineStr">
        <is>
          <t>NA</t>
        </is>
      </c>
      <c r="AR116" s="48" t="inlineStr">
        <is>
          <t>Dari (B2)</t>
        </is>
      </c>
      <c r="AS116" s="48" t="inlineStr">
        <is>
          <t>Christian (Catholic)</t>
        </is>
      </c>
      <c r="AT116" s="48" t="inlineStr">
        <is>
          <t>Social &amp; Community Services</t>
        </is>
      </c>
      <c r="AU116" s="48" t="inlineStr">
        <is>
          <t>Aged Care Worker</t>
        </is>
      </c>
      <c r="AV116" s="48" t="inlineStr">
        <is>
          <t>Nursing</t>
        </is>
      </c>
      <c r="AW116" s="48" t="inlineStr">
        <is>
          <t>Gardening; Cooking; Walking</t>
        </is>
      </c>
      <c r="AX116" s="48" t="inlineStr">
        <is>
          <t>Asylum Seeker</t>
        </is>
      </c>
      <c r="AY116" s="48" t="inlineStr">
        <is>
          <t>NA - RELT Member Verified</t>
        </is>
      </c>
      <c r="AZ116" s="48" t="inlineStr">
        <is>
          <t>Yes</t>
        </is>
      </c>
      <c r="BA116" s="48" t="inlineStr">
        <is>
          <t>NA</t>
        </is>
      </c>
      <c r="BB116" s="48" t="inlineStr">
        <is>
          <t>NA</t>
        </is>
      </c>
      <c r="BC116" s="48" t="inlineStr">
        <is>
          <t>NA</t>
        </is>
      </c>
      <c r="BD116" s="48" t="inlineStr">
        <is>
          <t>NA</t>
        </is>
      </c>
      <c r="BE116" s="48" t="inlineStr"/>
      <c r="BF116" s="48" t="inlineStr"/>
      <c r="BG116" s="48" t="inlineStr">
        <is>
          <t>NA</t>
        </is>
      </c>
      <c r="BH116" s="48" t="inlineStr">
        <is>
          <t>NA - Student</t>
        </is>
      </c>
      <c r="BI116" s="48" t="inlineStr">
        <is>
          <t>AMES Australia</t>
        </is>
      </c>
      <c r="BJ116" s="48" t="inlineStr">
        <is>
          <t>MCCLELLAND Reeve</t>
        </is>
      </c>
      <c r="BK116" s="48" t="inlineStr">
        <is>
          <t>HERVIR Oliver</t>
        </is>
      </c>
      <c r="BL116" s="48" t="inlineStr">
        <is>
          <t>Synthetic test record.</t>
        </is>
      </c>
      <c r="BM116" s="48" t="inlineStr"/>
      <c r="BN116" s="48">
        <f>TRIM(IF(AND($H116="Student",$J116="ADM-ACT-MAT-CNE"),"Invalid: Student cannot be CNE. ","")&amp;IF(AND($H116="Student",ISNUMBER($O116)),"Check: capacity set for a Student. ","")&amp;IF(AND(LEFT($J116,11)="ADM-ACT-MAT",$P116=0),"Check: matched status but 0 active pairings. ","")&amp;IF(AND($H116="Tutor",ISNUMBER($O116),$P116&gt;$O116),"Check: pairings exceed capacity. ","")&amp;IF(AND($BH116="Everyone",NOT(AND($BD116="Yes",$BG116="Yes"))),"Check: approved to tutor children but WWCC not provided/confirmed. ","")&amp;IF(AND($P116&gt;0,NOT(AND(OR(LEFT($AY116,3)="Yes",LEFT($AY116,2)="NA"),OR(LEFT($AZ116,3)="Yes",LEFT($AZ116,2)="NA")))),"Matched but vetting incomplete (interview/reference). ","")&amp;IF(COUNTIF($B$3:$B$600,$B116)&gt;1,"Duplicate participant name. ",""))</f>
        <v/>
      </c>
      <c r="BO116" s="48" t="inlineStr"/>
      <c r="BP116" s="48" t="inlineStr"/>
      <c r="BQ116" s="48" t="inlineStr"/>
      <c r="BR116" s="48" t="inlineStr"/>
      <c r="BS116" s="48" t="inlineStr"/>
      <c r="BT116" s="48" t="inlineStr"/>
      <c r="BU116" s="48" t="inlineStr"/>
      <c r="BV116" s="48" t="inlineStr"/>
      <c r="BW116" s="48" t="inlineStr"/>
      <c r="BX116" s="48" t="inlineStr"/>
      <c r="BY116" s="48" t="inlineStr"/>
      <c r="BZ116" s="48" t="inlineStr"/>
      <c r="CA116" s="48" t="inlineStr"/>
      <c r="CB116" s="48" t="inlineStr"/>
      <c r="CC116" s="48" t="inlineStr"/>
      <c r="CD116" s="48" t="inlineStr"/>
      <c r="CE116" s="48" t="inlineStr"/>
      <c r="CF116" s="48" t="inlineStr"/>
      <c r="CG116" s="48" t="inlineStr"/>
      <c r="CH116" s="48" t="inlineStr"/>
      <c r="CI116" s="48" t="inlineStr"/>
      <c r="CJ116" s="48" t="inlineStr"/>
      <c r="CK116" s="48" t="inlineStr"/>
      <c r="CL116" s="48" t="inlineStr"/>
      <c r="CM116" s="48" t="inlineStr"/>
      <c r="CN116" s="48" t="inlineStr"/>
      <c r="CO116" s="48" t="inlineStr"/>
      <c r="CP116" s="48" t="inlineStr"/>
      <c r="CQ116" s="48" t="inlineStr"/>
      <c r="CR116" s="48" t="inlineStr"/>
      <c r="CS116" s="48">
        <f>IF(LEFT($J116,3)="ERR",0,1)</f>
        <v/>
      </c>
      <c r="CT116" s="48">
        <f>IF(LEFT($J116,3)="ADM",1,0)</f>
        <v/>
      </c>
      <c r="CU116" s="48">
        <f>IF(OR($J116="ADM-ACT-MAT-CNE",$J116="ADM-ACT-MAT-CE",$J116="ADM-INACT-M&amp;T"),1,0)</f>
        <v/>
      </c>
      <c r="CV116" s="48">
        <f>IF(AND(CU116=1,ISNUMBER(M116),ISNUMBER(I116)),M116-I116,"")</f>
        <v/>
      </c>
      <c r="CW116" s="48">
        <f>IF(ISNUMBER(I116),TODAY()-I116,"")</f>
        <v/>
      </c>
      <c r="CX116" s="48">
        <f>IF(ISNUMBER(I116),DATE(YEAR(I116),MONTH(I116),1),"")</f>
        <v/>
      </c>
      <c r="CY116" s="48">
        <f>IFERROR(DATEDIF(AK116,TODAY(),"y"),"")</f>
        <v/>
      </c>
      <c r="CZ116" s="48">
        <f>IF(CY116="","",IF(CY116&lt;28,"18-27",IF(CY116&lt;38,"28-37",IF(CY116&lt;48,"38-47",IF(CY116&lt;58,"48-57",IF(CY116&lt;68,"58-67",IF(CY116&lt;78,"68-77","78+")))))) </f>
        <v/>
      </c>
      <c r="DA116" s="48">
        <f>IF(AND(BQ116&lt;&gt;"",BR116=""),N(BS116),0)+IF(AND(BW116&lt;&gt;"",BX116=""),N(BY116),0)+IF(AND(CC116&lt;&gt;"",CD116=""),N(CE116),0)+IF(AND(CI116&lt;&gt;"",CJ116=""),N(CK116),0)+IF(AND(CO116&lt;&gt;"",CP116=""),N(CQ116),0)</f>
        <v/>
      </c>
      <c r="DB116" s="48">
        <f>ROUND(IF(BQ116&lt;&gt;"",N(BS116)*MAX(0,((IF(BR116="",TODAY(),BR116))-BQ116)/7),0)+IF(BW116&lt;&gt;"",N(BY116)*MAX(0,((IF(BX116="",TODAY(),BX116))-BW116)/7),0)+IF(CC116&lt;&gt;"",N(CE116)*MAX(0,((IF(CD116="",TODAY(),CD116))-CC116)/7),0)+IF(CI116&lt;&gt;"",N(CK116)*MAX(0,((IF(CJ116="",TODAY(),CJ116))-CI116)/7),0)+IF(CO116&lt;&gt;"",N(CQ116)*MAX(0,((IF(CP116="",TODAY(),CP116))-CO116)/7),0),1)</f>
        <v/>
      </c>
      <c r="DC116" s="48">
        <f>IF(OR(TRIM(X116)="",TRIM(X116)="NA;",TRIM(X116)="NA"),0,1)</f>
        <v/>
      </c>
      <c r="DD116" s="48">
        <f>IF(OR(TRIM(Y116)="",TRIM(Y116)="NA;",TRIM(Y116)="NA"),0,1)</f>
        <v/>
      </c>
      <c r="DE116" s="48">
        <f>IF(OR(TRIM(Z116)="",TRIM(Z116)="NA;",TRIM(Z116)="NA"),0,1)</f>
        <v/>
      </c>
      <c r="DF116" s="48">
        <f>IF(OR(TRIM(AA116)="",TRIM(AA116)="NA;",TRIM(AA116)="NA"),0,1)</f>
        <v/>
      </c>
      <c r="DG116" s="48">
        <f>IF(OR(TRIM(AB116)="",TRIM(AB116)="NA;",TRIM(AB116)="NA"),0,1)</f>
        <v/>
      </c>
      <c r="DH116" s="48">
        <f>IF(OR(TRIM(AC116)="",TRIM(AC116)="NA;",TRIM(AC116)="NA"),0,1)</f>
        <v/>
      </c>
      <c r="DI116" s="48">
        <f>IF(OR(TRIM(AD116)="",TRIM(AD116)="NA;",TRIM(AD116)="NA"),0,1)</f>
        <v/>
      </c>
      <c r="DJ116" s="48">
        <f>TRIM(IF(DC116=1,"Mon ","")&amp;IF(DD116=1,"Tue ","")&amp;IF(DE116=1,"Wed ","")&amp;IF(DF116=1,"Thu ","")&amp;IF(DG116=1,"Fri ","")&amp;IF(DH116=1,"Sat ","")&amp;IF(DI116=1,"Sun ",""))</f>
        <v/>
      </c>
    </row>
    <row r="117">
      <c r="A117" s="48" t="inlineStr">
        <is>
          <t>S-O-00015</t>
        </is>
      </c>
      <c r="B117" s="48" t="inlineStr">
        <is>
          <t>Mark Fernando</t>
        </is>
      </c>
      <c r="C117" s="48" t="inlineStr">
        <is>
          <t>mark.fernando15@example.com</t>
        </is>
      </c>
      <c r="D117" s="48" t="inlineStr">
        <is>
          <t>+61 459 456 367</t>
        </is>
      </c>
      <c r="E117" s="48" t="inlineStr">
        <is>
          <t>Anya Ali</t>
        </is>
      </c>
      <c r="F117" s="48" t="inlineStr">
        <is>
          <t>+61 459 513 522</t>
        </is>
      </c>
      <c r="G117" s="48" t="inlineStr">
        <is>
          <t>Spouse</t>
        </is>
      </c>
      <c r="H117" s="48" t="inlineStr">
        <is>
          <t>Student</t>
        </is>
      </c>
      <c r="I117" s="49" t="n">
        <v>45425</v>
      </c>
      <c r="J117" s="48" t="inlineStr">
        <is>
          <t>ADM-ACT-MAT-CE</t>
        </is>
      </c>
      <c r="K117" s="48">
        <f>IFERROR(VLOOKUP(J117,'(A) Introduction'!$B$35:$C$45,2,FALSE),"")</f>
        <v/>
      </c>
      <c r="L117" s="48" t="inlineStr">
        <is>
          <t>No</t>
        </is>
      </c>
      <c r="M117" s="49" t="n">
        <v>45457</v>
      </c>
      <c r="N117" s="48" t="inlineStr"/>
      <c r="O117" s="48" t="inlineStr">
        <is>
          <t>NA</t>
        </is>
      </c>
      <c r="P117" s="48">
        <f>IF($H117="Tutor",((BQ117&lt;&gt;"")*(BR117=""))+((BW117&lt;&gt;"")*(BX117=""))+((CC117&lt;&gt;"")*(CD117=""))+((CI117&lt;&gt;"")*(CJ117=""))+((CO117&lt;&gt;"")*(CP117="")),SUMPRODUCT(--($BO$3:$BO$202=$A117),--($BR$3:$BR$202=""))+SUMPRODUCT(--($BU$3:$BU$202=$A117),--($BX$3:$BX$202=""))+SUMPRODUCT(--($CA$3:$CA$202=$A117),--($CD$3:$CD$202=""))+SUMPRODUCT(--($CG$3:$CG$202=$A117),--($CJ$3:$CJ$202=""))+SUMPRODUCT(--($CM$3:$CM$202=$A117),--($CP$3:$CP$202="")))</f>
        <v/>
      </c>
      <c r="Q117" s="48">
        <f>IF($H117="Tutor",(BQ117&lt;&gt;"")+(BW117&lt;&gt;"")+(CC117&lt;&gt;"")+(CI117&lt;&gt;"")+(CO117&lt;&gt;""),SUMPRODUCT(--($BO$3:$BO$202=$A117))+SUMPRODUCT(--($BU$3:$BU$202=$A117))+SUMPRODUCT(--($CA$3:$CA$202=$A117))+SUMPRODUCT(--($CG$3:$CG$202=$A117))+SUMPRODUCT(--($CM$3:$CM$202=$A117)))</f>
        <v/>
      </c>
      <c r="R117" s="48">
        <f>IF($H117="Tutor",TRIM(IF(AND(BQ117&lt;&gt;"",BR117=""),BP117&amp;"; ","")&amp;IF(AND(BW117&lt;&gt;"",BX117=""),BV117&amp;"; ","")&amp;IF(AND(CC117&lt;&gt;"",CD117=""),CB117&amp;"; ","")&amp;IF(AND(CI117&lt;&gt;"",CJ117=""),CH117&amp;"; ","")&amp;IF(AND(CO117&lt;&gt;"",CP117=""),CN117&amp;"; ","")),IFERROR(INDEX($A$3:$B$202,(SUMPRODUCT(($BO$3:$BO$202=$A117)*($BR$3:$BR$202="")*ROW($BO$3:$BO$202))+SUMPRODUCT(($BU$3:$BU$202=$A117)*($BX$3:$BX$202="")*ROW($BU$3:$BU$202))+SUMPRODUCT(($CA$3:$CA$202=$A117)*($CD$3:$CD$202="")*ROW($CA$3:$CA$202))+SUMPRODUCT(($CG$3:$CG$202=$A117)*($CJ$3:$CJ$202="")*ROW($CG$3:$CG$202))+SUMPRODUCT(($CM$3:$CM$202=$A117)*($CP$3:$CP$202="")*ROW($CM$3:$CM$202)))-2,2),""))</f>
        <v/>
      </c>
      <c r="S117" s="48" t="inlineStr">
        <is>
          <t>Not Provided</t>
        </is>
      </c>
      <c r="T117" s="48" t="inlineStr"/>
      <c r="U117" s="48" t="inlineStr"/>
      <c r="V117" s="49" t="n">
        <v>45845</v>
      </c>
      <c r="W117" s="48" t="inlineStr">
        <is>
          <t>ACST (UTC+9:30)</t>
        </is>
      </c>
      <c r="X117" s="48" t="inlineStr">
        <is>
          <t>6pm-9pm;</t>
        </is>
      </c>
      <c r="Y117" s="48" t="inlineStr">
        <is>
          <t>9am-12pm;</t>
        </is>
      </c>
      <c r="Z117" s="48" t="inlineStr">
        <is>
          <t>6pm-9pm;</t>
        </is>
      </c>
      <c r="AA117" s="48" t="inlineStr">
        <is>
          <t>3pm-6pm;</t>
        </is>
      </c>
      <c r="AB117" s="48" t="inlineStr">
        <is>
          <t>9am-12pm;</t>
        </is>
      </c>
      <c r="AC117" s="48" t="inlineStr">
        <is>
          <t>9am-12pm;12pm-3pm;3pm-6pm;</t>
        </is>
      </c>
      <c r="AD117" s="48" t="inlineStr">
        <is>
          <t>12pm-3pm;</t>
        </is>
      </c>
      <c r="AE117" s="48" t="inlineStr">
        <is>
          <t>In-Person</t>
        </is>
      </c>
      <c r="AF117" s="48" t="inlineStr">
        <is>
          <t>Computer</t>
        </is>
      </c>
      <c r="AG117" s="48" t="inlineStr">
        <is>
          <t>Australia</t>
        </is>
      </c>
      <c r="AH117" s="48" t="inlineStr">
        <is>
          <t>Victoria</t>
        </is>
      </c>
      <c r="AI117" s="48" t="inlineStr">
        <is>
          <t>Footscray</t>
        </is>
      </c>
      <c r="AJ117" s="48" t="inlineStr">
        <is>
          <t>3011</t>
        </is>
      </c>
      <c r="AK117" s="49" t="n">
        <v>34565</v>
      </c>
      <c r="AL117" s="48" t="inlineStr">
        <is>
          <t>Female</t>
        </is>
      </c>
      <c r="AM117" s="48" t="inlineStr">
        <is>
          <t>No</t>
        </is>
      </c>
      <c r="AN117" s="48" t="inlineStr">
        <is>
          <t>A1</t>
        </is>
      </c>
      <c r="AO117" s="48" t="inlineStr">
        <is>
          <t>Outstanding</t>
        </is>
      </c>
      <c r="AP117" s="48" t="inlineStr">
        <is>
          <t>South Sudan</t>
        </is>
      </c>
      <c r="AQ117" s="48" t="inlineStr">
        <is>
          <t>NA</t>
        </is>
      </c>
      <c r="AR117" s="48" t="inlineStr">
        <is>
          <t>Somali (C1)</t>
        </is>
      </c>
      <c r="AS117" s="48" t="inlineStr">
        <is>
          <t>None</t>
        </is>
      </c>
      <c r="AT117" s="48" t="inlineStr">
        <is>
          <t>Military &amp; Public Safety</t>
        </is>
      </c>
      <c r="AU117" s="48" t="inlineStr">
        <is>
          <t>Retail</t>
        </is>
      </c>
      <c r="AV117" s="48" t="inlineStr">
        <is>
          <t>Medicine</t>
        </is>
      </c>
      <c r="AW117" s="48" t="inlineStr">
        <is>
          <t>Reading; Politics; Music</t>
        </is>
      </c>
      <c r="AX117" s="48" t="inlineStr">
        <is>
          <t>Refugee</t>
        </is>
      </c>
      <c r="AY117" s="48" t="inlineStr">
        <is>
          <t>NA - Partner Organisation Verified</t>
        </is>
      </c>
      <c r="AZ117" s="48" t="inlineStr">
        <is>
          <t>NA - Partner Organisation Verified</t>
        </is>
      </c>
      <c r="BA117" s="48" t="inlineStr">
        <is>
          <t>NA</t>
        </is>
      </c>
      <c r="BB117" s="48" t="inlineStr">
        <is>
          <t>NA</t>
        </is>
      </c>
      <c r="BC117" s="48" t="inlineStr">
        <is>
          <t>NA</t>
        </is>
      </c>
      <c r="BD117" s="48" t="inlineStr">
        <is>
          <t>NA</t>
        </is>
      </c>
      <c r="BE117" s="48" t="inlineStr"/>
      <c r="BF117" s="48" t="inlineStr"/>
      <c r="BG117" s="48" t="inlineStr">
        <is>
          <t>NA</t>
        </is>
      </c>
      <c r="BH117" s="48" t="inlineStr">
        <is>
          <t>NA - Student</t>
        </is>
      </c>
      <c r="BI117" s="48" t="inlineStr">
        <is>
          <t>Kaldor Centre for International Refugee Law</t>
        </is>
      </c>
      <c r="BJ117" s="48" t="inlineStr">
        <is>
          <t>SINGH Veera</t>
        </is>
      </c>
      <c r="BK117" s="48" t="inlineStr">
        <is>
          <t>ZULMAN Levi</t>
        </is>
      </c>
      <c r="BL117" s="48" t="inlineStr">
        <is>
          <t>Synthetic test record.</t>
        </is>
      </c>
      <c r="BM117" s="48" t="inlineStr"/>
      <c r="BN117" s="48">
        <f>TRIM(IF(AND($H117="Student",$J117="ADM-ACT-MAT-CNE"),"Invalid: Student cannot be CNE. ","")&amp;IF(AND($H117="Student",ISNUMBER($O117)),"Check: capacity set for a Student. ","")&amp;IF(AND(LEFT($J117,11)="ADM-ACT-MAT",$P117=0),"Check: matched status but 0 active pairings. ","")&amp;IF(AND($H117="Tutor",ISNUMBER($O117),$P117&gt;$O117),"Check: pairings exceed capacity. ","")&amp;IF(AND($BH117="Everyone",NOT(AND($BD117="Yes",$BG117="Yes"))),"Check: approved to tutor children but WWCC not provided/confirmed. ","")&amp;IF(AND($P117&gt;0,NOT(AND(OR(LEFT($AY117,3)="Yes",LEFT($AY117,2)="NA"),OR(LEFT($AZ117,3)="Yes",LEFT($AZ117,2)="NA")))),"Matched but vetting incomplete (interview/reference). ","")&amp;IF(COUNTIF($B$3:$B$600,$B117)&gt;1,"Duplicate participant name. ",""))</f>
        <v/>
      </c>
      <c r="BO117" s="48" t="inlineStr"/>
      <c r="BP117" s="48" t="inlineStr"/>
      <c r="BQ117" s="48" t="inlineStr"/>
      <c r="BR117" s="48" t="inlineStr"/>
      <c r="BS117" s="48" t="inlineStr"/>
      <c r="BT117" s="48" t="inlineStr"/>
      <c r="BU117" s="48" t="inlineStr"/>
      <c r="BV117" s="48" t="inlineStr"/>
      <c r="BW117" s="48" t="inlineStr"/>
      <c r="BX117" s="48" t="inlineStr"/>
      <c r="BY117" s="48" t="inlineStr"/>
      <c r="BZ117" s="48" t="inlineStr"/>
      <c r="CA117" s="48" t="inlineStr"/>
      <c r="CB117" s="48" t="inlineStr"/>
      <c r="CC117" s="48" t="inlineStr"/>
      <c r="CD117" s="48" t="inlineStr"/>
      <c r="CE117" s="48" t="inlineStr"/>
      <c r="CF117" s="48" t="inlineStr"/>
      <c r="CG117" s="48" t="inlineStr"/>
      <c r="CH117" s="48" t="inlineStr"/>
      <c r="CI117" s="48" t="inlineStr"/>
      <c r="CJ117" s="48" t="inlineStr"/>
      <c r="CK117" s="48" t="inlineStr"/>
      <c r="CL117" s="48" t="inlineStr"/>
      <c r="CM117" s="48" t="inlineStr"/>
      <c r="CN117" s="48" t="inlineStr"/>
      <c r="CO117" s="48" t="inlineStr"/>
      <c r="CP117" s="48" t="inlineStr"/>
      <c r="CQ117" s="48" t="inlineStr"/>
      <c r="CR117" s="48" t="inlineStr"/>
      <c r="CS117" s="48">
        <f>IF(LEFT($J117,3)="ERR",0,1)</f>
        <v/>
      </c>
      <c r="CT117" s="48">
        <f>IF(LEFT($J117,3)="ADM",1,0)</f>
        <v/>
      </c>
      <c r="CU117" s="48">
        <f>IF(OR($J117="ADM-ACT-MAT-CNE",$J117="ADM-ACT-MAT-CE",$J117="ADM-INACT-M&amp;T"),1,0)</f>
        <v/>
      </c>
      <c r="CV117" s="48">
        <f>IF(AND(CU117=1,ISNUMBER(M117),ISNUMBER(I117)),M117-I117,"")</f>
        <v/>
      </c>
      <c r="CW117" s="48">
        <f>IF(ISNUMBER(I117),TODAY()-I117,"")</f>
        <v/>
      </c>
      <c r="CX117" s="48">
        <f>IF(ISNUMBER(I117),DATE(YEAR(I117),MONTH(I117),1),"")</f>
        <v/>
      </c>
      <c r="CY117" s="48">
        <f>IFERROR(DATEDIF(AK117,TODAY(),"y"),"")</f>
        <v/>
      </c>
      <c r="CZ117" s="48">
        <f>IF(CY117="","",IF(CY117&lt;28,"18-27",IF(CY117&lt;38,"28-37",IF(CY117&lt;48,"38-47",IF(CY117&lt;58,"48-57",IF(CY117&lt;68,"58-67",IF(CY117&lt;78,"68-77","78+")))))) </f>
        <v/>
      </c>
      <c r="DA117" s="48">
        <f>IF(AND(BQ117&lt;&gt;"",BR117=""),N(BS117),0)+IF(AND(BW117&lt;&gt;"",BX117=""),N(BY117),0)+IF(AND(CC117&lt;&gt;"",CD117=""),N(CE117),0)+IF(AND(CI117&lt;&gt;"",CJ117=""),N(CK117),0)+IF(AND(CO117&lt;&gt;"",CP117=""),N(CQ117),0)</f>
        <v/>
      </c>
      <c r="DB117" s="48">
        <f>ROUND(IF(BQ117&lt;&gt;"",N(BS117)*MAX(0,((IF(BR117="",TODAY(),BR117))-BQ117)/7),0)+IF(BW117&lt;&gt;"",N(BY117)*MAX(0,((IF(BX117="",TODAY(),BX117))-BW117)/7),0)+IF(CC117&lt;&gt;"",N(CE117)*MAX(0,((IF(CD117="",TODAY(),CD117))-CC117)/7),0)+IF(CI117&lt;&gt;"",N(CK117)*MAX(0,((IF(CJ117="",TODAY(),CJ117))-CI117)/7),0)+IF(CO117&lt;&gt;"",N(CQ117)*MAX(0,((IF(CP117="",TODAY(),CP117))-CO117)/7),0),1)</f>
        <v/>
      </c>
      <c r="DC117" s="48">
        <f>IF(OR(TRIM(X117)="",TRIM(X117)="NA;",TRIM(X117)="NA"),0,1)</f>
        <v/>
      </c>
      <c r="DD117" s="48">
        <f>IF(OR(TRIM(Y117)="",TRIM(Y117)="NA;",TRIM(Y117)="NA"),0,1)</f>
        <v/>
      </c>
      <c r="DE117" s="48">
        <f>IF(OR(TRIM(Z117)="",TRIM(Z117)="NA;",TRIM(Z117)="NA"),0,1)</f>
        <v/>
      </c>
      <c r="DF117" s="48">
        <f>IF(OR(TRIM(AA117)="",TRIM(AA117)="NA;",TRIM(AA117)="NA"),0,1)</f>
        <v/>
      </c>
      <c r="DG117" s="48">
        <f>IF(OR(TRIM(AB117)="",TRIM(AB117)="NA;",TRIM(AB117)="NA"),0,1)</f>
        <v/>
      </c>
      <c r="DH117" s="48">
        <f>IF(OR(TRIM(AC117)="",TRIM(AC117)="NA;",TRIM(AC117)="NA"),0,1)</f>
        <v/>
      </c>
      <c r="DI117" s="48">
        <f>IF(OR(TRIM(AD117)="",TRIM(AD117)="NA;",TRIM(AD117)="NA"),0,1)</f>
        <v/>
      </c>
      <c r="DJ117" s="48">
        <f>TRIM(IF(DC117=1,"Mon ","")&amp;IF(DD117=1,"Tue ","")&amp;IF(DE117=1,"Wed ","")&amp;IF(DF117=1,"Thu ","")&amp;IF(DG117=1,"Fri ","")&amp;IF(DH117=1,"Sat ","")&amp;IF(DI117=1,"Sun ",""))</f>
        <v/>
      </c>
    </row>
    <row r="118">
      <c r="A118" s="48" t="inlineStr">
        <is>
          <t>S-O-00016</t>
        </is>
      </c>
      <c r="B118" s="48" t="inlineStr">
        <is>
          <t>Hala Morris</t>
        </is>
      </c>
      <c r="C118" s="48" t="inlineStr">
        <is>
          <t>hala.morris16@example.com</t>
        </is>
      </c>
      <c r="D118" s="48" t="inlineStr">
        <is>
          <t>+61 401 678 244</t>
        </is>
      </c>
      <c r="E118" s="48" t="inlineStr">
        <is>
          <t>Sam Stanley</t>
        </is>
      </c>
      <c r="F118" s="48" t="inlineStr">
        <is>
          <t>+61 474 557 583</t>
        </is>
      </c>
      <c r="G118" s="48" t="inlineStr">
        <is>
          <t>Parent</t>
        </is>
      </c>
      <c r="H118" s="48" t="inlineStr">
        <is>
          <t>Student</t>
        </is>
      </c>
      <c r="I118" s="49" t="n">
        <v>45425</v>
      </c>
      <c r="J118" s="48" t="inlineStr">
        <is>
          <t>NADM-REJ-UNSUIT</t>
        </is>
      </c>
      <c r="K118" s="48">
        <f>IFERROR(VLOOKUP(J118,'(A) Introduction'!$B$35:$C$45,2,FALSE),"")</f>
        <v/>
      </c>
      <c r="L118" s="48" t="inlineStr">
        <is>
          <t>No</t>
        </is>
      </c>
      <c r="M118" s="48" t="inlineStr"/>
      <c r="N118" s="48" t="inlineStr"/>
      <c r="O118" s="48" t="inlineStr">
        <is>
          <t>NA</t>
        </is>
      </c>
      <c r="P118" s="48">
        <f>IF($H118="Tutor",((BQ118&lt;&gt;"")*(BR118=""))+((BW118&lt;&gt;"")*(BX118=""))+((CC118&lt;&gt;"")*(CD118=""))+((CI118&lt;&gt;"")*(CJ118=""))+((CO118&lt;&gt;"")*(CP118="")),SUMPRODUCT(--($BO$3:$BO$202=$A118),--($BR$3:$BR$202=""))+SUMPRODUCT(--($BU$3:$BU$202=$A118),--($BX$3:$BX$202=""))+SUMPRODUCT(--($CA$3:$CA$202=$A118),--($CD$3:$CD$202=""))+SUMPRODUCT(--($CG$3:$CG$202=$A118),--($CJ$3:$CJ$202=""))+SUMPRODUCT(--($CM$3:$CM$202=$A118),--($CP$3:$CP$202="")))</f>
        <v/>
      </c>
      <c r="Q118" s="48">
        <f>IF($H118="Tutor",(BQ118&lt;&gt;"")+(BW118&lt;&gt;"")+(CC118&lt;&gt;"")+(CI118&lt;&gt;"")+(CO118&lt;&gt;""),SUMPRODUCT(--($BO$3:$BO$202=$A118))+SUMPRODUCT(--($BU$3:$BU$202=$A118))+SUMPRODUCT(--($CA$3:$CA$202=$A118))+SUMPRODUCT(--($CG$3:$CG$202=$A118))+SUMPRODUCT(--($CM$3:$CM$202=$A118)))</f>
        <v/>
      </c>
      <c r="R118" s="48">
        <f>IF($H118="Tutor",TRIM(IF(AND(BQ118&lt;&gt;"",BR118=""),BP118&amp;"; ","")&amp;IF(AND(BW118&lt;&gt;"",BX118=""),BV118&amp;"; ","")&amp;IF(AND(CC118&lt;&gt;"",CD118=""),CB118&amp;"; ","")&amp;IF(AND(CI118&lt;&gt;"",CJ118=""),CH118&amp;"; ","")&amp;IF(AND(CO118&lt;&gt;"",CP118=""),CN118&amp;"; ","")),IFERROR(INDEX($A$3:$B$202,(SUMPRODUCT(($BO$3:$BO$202=$A118)*($BR$3:$BR$202="")*ROW($BO$3:$BO$202))+SUMPRODUCT(($BU$3:$BU$202=$A118)*($BX$3:$BX$202="")*ROW($BU$3:$BU$202))+SUMPRODUCT(($CA$3:$CA$202=$A118)*($CD$3:$CD$202="")*ROW($CA$3:$CA$202))+SUMPRODUCT(($CG$3:$CG$202=$A118)*($CJ$3:$CJ$202="")*ROW($CG$3:$CG$202))+SUMPRODUCT(($CM$3:$CM$202=$A118)*($CP$3:$CP$202="")*ROW($CM$3:$CM$202)))-2,2),""))</f>
        <v/>
      </c>
      <c r="S118" s="48" t="inlineStr">
        <is>
          <t>NA</t>
        </is>
      </c>
      <c r="T118" s="48" t="inlineStr"/>
      <c r="U118" s="48" t="inlineStr"/>
      <c r="V118" s="48" t="inlineStr"/>
      <c r="W118" s="48" t="inlineStr">
        <is>
          <t>AEST (UTC+10)</t>
        </is>
      </c>
      <c r="X118" s="48" t="inlineStr">
        <is>
          <t>9am-12pm;12pm-3pm;3pm-6pm;</t>
        </is>
      </c>
      <c r="Y118" s="48" t="inlineStr">
        <is>
          <t>9am-12pm;</t>
        </is>
      </c>
      <c r="Z118" s="48" t="inlineStr">
        <is>
          <t>6pm-9pm;</t>
        </is>
      </c>
      <c r="AA118" s="48" t="inlineStr">
        <is>
          <t>9am-12pm;</t>
        </is>
      </c>
      <c r="AB118" s="48" t="inlineStr">
        <is>
          <t>9am-12pm;</t>
        </is>
      </c>
      <c r="AC118" s="48" t="inlineStr">
        <is>
          <t>9am-12pm;</t>
        </is>
      </c>
      <c r="AD118" s="48" t="inlineStr">
        <is>
          <t>6pm-9pm;</t>
        </is>
      </c>
      <c r="AE118" s="48" t="inlineStr">
        <is>
          <t>In-Person</t>
        </is>
      </c>
      <c r="AF118" s="48" t="inlineStr">
        <is>
          <t>Computer</t>
        </is>
      </c>
      <c r="AG118" s="48" t="inlineStr">
        <is>
          <t>Australia</t>
        </is>
      </c>
      <c r="AH118" s="48" t="inlineStr">
        <is>
          <t>Victoria</t>
        </is>
      </c>
      <c r="AI118" s="48" t="inlineStr">
        <is>
          <t>Dandenong</t>
        </is>
      </c>
      <c r="AJ118" s="48" t="inlineStr">
        <is>
          <t>3175</t>
        </is>
      </c>
      <c r="AK118" s="49" t="n">
        <v>26232</v>
      </c>
      <c r="AL118" s="48" t="inlineStr">
        <is>
          <t>Male</t>
        </is>
      </c>
      <c r="AM118" s="48" t="inlineStr">
        <is>
          <t>No</t>
        </is>
      </c>
      <c r="AN118" s="48" t="inlineStr">
        <is>
          <t>A1</t>
        </is>
      </c>
      <c r="AO118" s="48" t="inlineStr">
        <is>
          <t>High</t>
        </is>
      </c>
      <c r="AP118" s="48" t="inlineStr">
        <is>
          <t>Palestine</t>
        </is>
      </c>
      <c r="AQ118" s="48" t="inlineStr">
        <is>
          <t>NA</t>
        </is>
      </c>
      <c r="AR118" s="48" t="inlineStr">
        <is>
          <t>Farsi (C1)</t>
        </is>
      </c>
      <c r="AS118" s="48" t="inlineStr">
        <is>
          <t>Buddhist</t>
        </is>
      </c>
      <c r="AT118" s="48" t="inlineStr">
        <is>
          <t>Labour, Administrative &amp; Clerical</t>
        </is>
      </c>
      <c r="AU118" s="48" t="inlineStr">
        <is>
          <t>Lawyer</t>
        </is>
      </c>
      <c r="AV118" s="48" t="inlineStr">
        <is>
          <t>Medicine</t>
        </is>
      </c>
      <c r="AW118" s="48" t="inlineStr">
        <is>
          <t>Cooking; Reading; Music</t>
        </is>
      </c>
      <c r="AX118" s="48" t="inlineStr">
        <is>
          <t>Refugee</t>
        </is>
      </c>
      <c r="AY118" s="48" t="inlineStr">
        <is>
          <t>No</t>
        </is>
      </c>
      <c r="AZ118" s="48" t="inlineStr">
        <is>
          <t>No</t>
        </is>
      </c>
      <c r="BA118" s="48" t="inlineStr">
        <is>
          <t>NA</t>
        </is>
      </c>
      <c r="BB118" s="48" t="inlineStr">
        <is>
          <t>NA</t>
        </is>
      </c>
      <c r="BC118" s="48" t="inlineStr">
        <is>
          <t>NA</t>
        </is>
      </c>
      <c r="BD118" s="48" t="inlineStr">
        <is>
          <t>NA</t>
        </is>
      </c>
      <c r="BE118" s="48" t="inlineStr"/>
      <c r="BF118" s="48" t="inlineStr"/>
      <c r="BG118" s="48" t="inlineStr">
        <is>
          <t>NA</t>
        </is>
      </c>
      <c r="BH118" s="48" t="inlineStr">
        <is>
          <t>NA - Student</t>
        </is>
      </c>
      <c r="BI118" s="48" t="inlineStr">
        <is>
          <t>University of Sydney (including St. Paul's College)</t>
        </is>
      </c>
      <c r="BJ118" s="48" t="inlineStr">
        <is>
          <t>THET Moh Moh</t>
        </is>
      </c>
      <c r="BK118" s="48" t="inlineStr">
        <is>
          <t>KNIJNIK Marina</t>
        </is>
      </c>
      <c r="BL118" s="48" t="inlineStr">
        <is>
          <t>Synthetic test record.</t>
        </is>
      </c>
      <c r="BM118" s="48" t="inlineStr"/>
      <c r="BN118" s="48">
        <f>TRIM(IF(AND($H118="Student",$J118="ADM-ACT-MAT-CNE"),"Invalid: Student cannot be CNE. ","")&amp;IF(AND($H118="Student",ISNUMBER($O118)),"Check: capacity set for a Student. ","")&amp;IF(AND(LEFT($J118,11)="ADM-ACT-MAT",$P118=0),"Check: matched status but 0 active pairings. ","")&amp;IF(AND($H118="Tutor",ISNUMBER($O118),$P118&gt;$O118),"Check: pairings exceed capacity. ","")&amp;IF(AND($BH118="Everyone",NOT(AND($BD118="Yes",$BG118="Yes"))),"Check: approved to tutor children but WWCC not provided/confirmed. ","")&amp;IF(AND($P118&gt;0,NOT(AND(OR(LEFT($AY118,3)="Yes",LEFT($AY118,2)="NA"),OR(LEFT($AZ118,3)="Yes",LEFT($AZ118,2)="NA")))),"Matched but vetting incomplete (interview/reference). ","")&amp;IF(COUNTIF($B$3:$B$600,$B118)&gt;1,"Duplicate participant name. ",""))</f>
        <v/>
      </c>
      <c r="BO118" s="48" t="inlineStr"/>
      <c r="BP118" s="48" t="inlineStr"/>
      <c r="BQ118" s="48" t="inlineStr"/>
      <c r="BR118" s="48" t="inlineStr"/>
      <c r="BS118" s="48" t="inlineStr"/>
      <c r="BT118" s="48" t="inlineStr"/>
      <c r="BU118" s="48" t="inlineStr"/>
      <c r="BV118" s="48" t="inlineStr"/>
      <c r="BW118" s="48" t="inlineStr"/>
      <c r="BX118" s="48" t="inlineStr"/>
      <c r="BY118" s="48" t="inlineStr"/>
      <c r="BZ118" s="48" t="inlineStr"/>
      <c r="CA118" s="48" t="inlineStr"/>
      <c r="CB118" s="48" t="inlineStr"/>
      <c r="CC118" s="48" t="inlineStr"/>
      <c r="CD118" s="48" t="inlineStr"/>
      <c r="CE118" s="48" t="inlineStr"/>
      <c r="CF118" s="48" t="inlineStr"/>
      <c r="CG118" s="48" t="inlineStr"/>
      <c r="CH118" s="48" t="inlineStr"/>
      <c r="CI118" s="48" t="inlineStr"/>
      <c r="CJ118" s="48" t="inlineStr"/>
      <c r="CK118" s="48" t="inlineStr"/>
      <c r="CL118" s="48" t="inlineStr"/>
      <c r="CM118" s="48" t="inlineStr"/>
      <c r="CN118" s="48" t="inlineStr"/>
      <c r="CO118" s="48" t="inlineStr"/>
      <c r="CP118" s="48" t="inlineStr"/>
      <c r="CQ118" s="48" t="inlineStr"/>
      <c r="CR118" s="48" t="inlineStr"/>
      <c r="CS118" s="48">
        <f>IF(LEFT($J118,3)="ERR",0,1)</f>
        <v/>
      </c>
      <c r="CT118" s="48">
        <f>IF(LEFT($J118,3)="ADM",1,0)</f>
        <v/>
      </c>
      <c r="CU118" s="48">
        <f>IF(OR($J118="ADM-ACT-MAT-CNE",$J118="ADM-ACT-MAT-CE",$J118="ADM-INACT-M&amp;T"),1,0)</f>
        <v/>
      </c>
      <c r="CV118" s="48">
        <f>IF(AND(CU118=1,ISNUMBER(M118),ISNUMBER(I118)),M118-I118,"")</f>
        <v/>
      </c>
      <c r="CW118" s="48">
        <f>IF(ISNUMBER(I118),TODAY()-I118,"")</f>
        <v/>
      </c>
      <c r="CX118" s="48">
        <f>IF(ISNUMBER(I118),DATE(YEAR(I118),MONTH(I118),1),"")</f>
        <v/>
      </c>
      <c r="CY118" s="48">
        <f>IFERROR(DATEDIF(AK118,TODAY(),"y"),"")</f>
        <v/>
      </c>
      <c r="CZ118" s="48">
        <f>IF(CY118="","",IF(CY118&lt;28,"18-27",IF(CY118&lt;38,"28-37",IF(CY118&lt;48,"38-47",IF(CY118&lt;58,"48-57",IF(CY118&lt;68,"58-67",IF(CY118&lt;78,"68-77","78+")))))) </f>
        <v/>
      </c>
      <c r="DA118" s="48">
        <f>IF(AND(BQ118&lt;&gt;"",BR118=""),N(BS118),0)+IF(AND(BW118&lt;&gt;"",BX118=""),N(BY118),0)+IF(AND(CC118&lt;&gt;"",CD118=""),N(CE118),0)+IF(AND(CI118&lt;&gt;"",CJ118=""),N(CK118),0)+IF(AND(CO118&lt;&gt;"",CP118=""),N(CQ118),0)</f>
        <v/>
      </c>
      <c r="DB118" s="48">
        <f>ROUND(IF(BQ118&lt;&gt;"",N(BS118)*MAX(0,((IF(BR118="",TODAY(),BR118))-BQ118)/7),0)+IF(BW118&lt;&gt;"",N(BY118)*MAX(0,((IF(BX118="",TODAY(),BX118))-BW118)/7),0)+IF(CC118&lt;&gt;"",N(CE118)*MAX(0,((IF(CD118="",TODAY(),CD118))-CC118)/7),0)+IF(CI118&lt;&gt;"",N(CK118)*MAX(0,((IF(CJ118="",TODAY(),CJ118))-CI118)/7),0)+IF(CO118&lt;&gt;"",N(CQ118)*MAX(0,((IF(CP118="",TODAY(),CP118))-CO118)/7),0),1)</f>
        <v/>
      </c>
      <c r="DC118" s="48">
        <f>IF(OR(TRIM(X118)="",TRIM(X118)="NA;",TRIM(X118)="NA"),0,1)</f>
        <v/>
      </c>
      <c r="DD118" s="48">
        <f>IF(OR(TRIM(Y118)="",TRIM(Y118)="NA;",TRIM(Y118)="NA"),0,1)</f>
        <v/>
      </c>
      <c r="DE118" s="48">
        <f>IF(OR(TRIM(Z118)="",TRIM(Z118)="NA;",TRIM(Z118)="NA"),0,1)</f>
        <v/>
      </c>
      <c r="DF118" s="48">
        <f>IF(OR(TRIM(AA118)="",TRIM(AA118)="NA;",TRIM(AA118)="NA"),0,1)</f>
        <v/>
      </c>
      <c r="DG118" s="48">
        <f>IF(OR(TRIM(AB118)="",TRIM(AB118)="NA;",TRIM(AB118)="NA"),0,1)</f>
        <v/>
      </c>
      <c r="DH118" s="48">
        <f>IF(OR(TRIM(AC118)="",TRIM(AC118)="NA;",TRIM(AC118)="NA"),0,1)</f>
        <v/>
      </c>
      <c r="DI118" s="48">
        <f>IF(OR(TRIM(AD118)="",TRIM(AD118)="NA;",TRIM(AD118)="NA"),0,1)</f>
        <v/>
      </c>
      <c r="DJ118" s="48">
        <f>TRIM(IF(DC118=1,"Mon ","")&amp;IF(DD118=1,"Tue ","")&amp;IF(DE118=1,"Wed ","")&amp;IF(DF118=1,"Thu ","")&amp;IF(DG118=1,"Fri ","")&amp;IF(DH118=1,"Sat ","")&amp;IF(DI118=1,"Sun ",""))</f>
        <v/>
      </c>
    </row>
    <row r="119">
      <c r="A119" s="48" t="inlineStr">
        <is>
          <t>S-O-00017</t>
        </is>
      </c>
      <c r="B119" s="48" t="inlineStr">
        <is>
          <t>Tariq Slaytor</t>
        </is>
      </c>
      <c r="C119" s="48" t="inlineStr">
        <is>
          <t>tariq.slaytor17@example.com</t>
        </is>
      </c>
      <c r="D119" s="48" t="inlineStr">
        <is>
          <t>+61 475 669 919</t>
        </is>
      </c>
      <c r="E119" s="48" t="inlineStr">
        <is>
          <t>Viktor Taylor</t>
        </is>
      </c>
      <c r="F119" s="48" t="inlineStr">
        <is>
          <t>+61 461 215 604</t>
        </is>
      </c>
      <c r="G119" s="48" t="inlineStr">
        <is>
          <t>Parent</t>
        </is>
      </c>
      <c r="H119" s="48" t="inlineStr">
        <is>
          <t>Student</t>
        </is>
      </c>
      <c r="I119" s="49" t="n">
        <v>45428</v>
      </c>
      <c r="J119" s="48" t="inlineStr">
        <is>
          <t>ADM-ACT-UNMAT</t>
        </is>
      </c>
      <c r="K119" s="48">
        <f>IFERROR(VLOOKUP(J119,'(A) Introduction'!$B$35:$C$45,2,FALSE),"")</f>
        <v/>
      </c>
      <c r="L119" s="48" t="inlineStr">
        <is>
          <t>No</t>
        </is>
      </c>
      <c r="M119" s="48" t="inlineStr"/>
      <c r="N119" s="48" t="inlineStr"/>
      <c r="O119" s="48" t="inlineStr">
        <is>
          <t>NA</t>
        </is>
      </c>
      <c r="P119" s="48">
        <f>IF($H119="Tutor",((BQ119&lt;&gt;"")*(BR119=""))+((BW119&lt;&gt;"")*(BX119=""))+((CC119&lt;&gt;"")*(CD119=""))+((CI119&lt;&gt;"")*(CJ119=""))+((CO119&lt;&gt;"")*(CP119="")),SUMPRODUCT(--($BO$3:$BO$202=$A119),--($BR$3:$BR$202=""))+SUMPRODUCT(--($BU$3:$BU$202=$A119),--($BX$3:$BX$202=""))+SUMPRODUCT(--($CA$3:$CA$202=$A119),--($CD$3:$CD$202=""))+SUMPRODUCT(--($CG$3:$CG$202=$A119),--($CJ$3:$CJ$202=""))+SUMPRODUCT(--($CM$3:$CM$202=$A119),--($CP$3:$CP$202="")))</f>
        <v/>
      </c>
      <c r="Q119" s="48">
        <f>IF($H119="Tutor",(BQ119&lt;&gt;"")+(BW119&lt;&gt;"")+(CC119&lt;&gt;"")+(CI119&lt;&gt;"")+(CO119&lt;&gt;""),SUMPRODUCT(--($BO$3:$BO$202=$A119))+SUMPRODUCT(--($BU$3:$BU$202=$A119))+SUMPRODUCT(--($CA$3:$CA$202=$A119))+SUMPRODUCT(--($CG$3:$CG$202=$A119))+SUMPRODUCT(--($CM$3:$CM$202=$A119)))</f>
        <v/>
      </c>
      <c r="R119" s="48">
        <f>IF($H119="Tutor",TRIM(IF(AND(BQ119&lt;&gt;"",BR119=""),BP119&amp;"; ","")&amp;IF(AND(BW119&lt;&gt;"",BX119=""),BV119&amp;"; ","")&amp;IF(AND(CC119&lt;&gt;"",CD119=""),CB119&amp;"; ","")&amp;IF(AND(CI119&lt;&gt;"",CJ119=""),CH119&amp;"; ","")&amp;IF(AND(CO119&lt;&gt;"",CP119=""),CN119&amp;"; ","")),IFERROR(INDEX($A$3:$B$202,(SUMPRODUCT(($BO$3:$BO$202=$A119)*($BR$3:$BR$202="")*ROW($BO$3:$BO$202))+SUMPRODUCT(($BU$3:$BU$202=$A119)*($BX$3:$BX$202="")*ROW($BU$3:$BU$202))+SUMPRODUCT(($CA$3:$CA$202=$A119)*($CD$3:$CD$202="")*ROW($CA$3:$CA$202))+SUMPRODUCT(($CG$3:$CG$202=$A119)*($CJ$3:$CJ$202="")*ROW($CG$3:$CG$202))+SUMPRODUCT(($CM$3:$CM$202=$A119)*($CP$3:$CP$202="")*ROW($CM$3:$CM$202)))-2,2),""))</f>
        <v/>
      </c>
      <c r="S119" s="48" t="inlineStr">
        <is>
          <t>NA</t>
        </is>
      </c>
      <c r="T119" s="48" t="inlineStr"/>
      <c r="U119" s="48" t="inlineStr"/>
      <c r="V119" s="49" t="n">
        <v>45755</v>
      </c>
      <c r="W119" s="48" t="inlineStr">
        <is>
          <t>AEST (UTC+10)</t>
        </is>
      </c>
      <c r="X119" s="48" t="inlineStr">
        <is>
          <t>12pm-3pm;6pm-9pm;</t>
        </is>
      </c>
      <c r="Y119" s="48" t="inlineStr">
        <is>
          <t>12pm-3pm;</t>
        </is>
      </c>
      <c r="Z119" s="48" t="inlineStr">
        <is>
          <t>9am-12pm;12pm-3pm;3pm-6pm;</t>
        </is>
      </c>
      <c r="AA119" s="48" t="inlineStr">
        <is>
          <t>12pm-3pm;6pm-9pm;</t>
        </is>
      </c>
      <c r="AB119" s="48" t="inlineStr">
        <is>
          <t>6am-9am;9am-12pm;</t>
        </is>
      </c>
      <c r="AC119" s="48" t="inlineStr">
        <is>
          <t>6am-9am;9am-12pm;</t>
        </is>
      </c>
      <c r="AD119" s="48" t="inlineStr">
        <is>
          <t>6pm-9pm;</t>
        </is>
      </c>
      <c r="AE119" s="48" t="inlineStr">
        <is>
          <t>In-Person</t>
        </is>
      </c>
      <c r="AF119" s="48" t="inlineStr">
        <is>
          <t>Computer</t>
        </is>
      </c>
      <c r="AG119" s="48" t="inlineStr">
        <is>
          <t>Australia</t>
        </is>
      </c>
      <c r="AH119" s="48" t="inlineStr">
        <is>
          <t>New South Wales</t>
        </is>
      </c>
      <c r="AI119" s="48" t="inlineStr">
        <is>
          <t>Liverpool</t>
        </is>
      </c>
      <c r="AJ119" s="48" t="inlineStr">
        <is>
          <t>2170</t>
        </is>
      </c>
      <c r="AK119" s="49" t="n">
        <v>30869</v>
      </c>
      <c r="AL119" s="48" t="inlineStr">
        <is>
          <t>Female</t>
        </is>
      </c>
      <c r="AM119" s="48" t="inlineStr">
        <is>
          <t>Yes</t>
        </is>
      </c>
      <c r="AN119" s="48" t="inlineStr">
        <is>
          <t>A2</t>
        </is>
      </c>
      <c r="AO119" s="48" t="inlineStr">
        <is>
          <t>Moderate</t>
        </is>
      </c>
      <c r="AP119" s="48" t="inlineStr">
        <is>
          <t>Syria</t>
        </is>
      </c>
      <c r="AQ119" s="48" t="inlineStr">
        <is>
          <t>NA</t>
        </is>
      </c>
      <c r="AR119" s="48" t="inlineStr">
        <is>
          <t>Dari (B2)</t>
        </is>
      </c>
      <c r="AS119" s="48" t="inlineStr">
        <is>
          <t>Christian (Orthodox)</t>
        </is>
      </c>
      <c r="AT119" s="48" t="inlineStr">
        <is>
          <t>Childcare &amp; Aged Care</t>
        </is>
      </c>
      <c r="AU119" s="48" t="inlineStr">
        <is>
          <t>Nurse</t>
        </is>
      </c>
      <c r="AV119" s="48" t="inlineStr">
        <is>
          <t>Teacher</t>
        </is>
      </c>
      <c r="AW119" s="48" t="inlineStr">
        <is>
          <t>Language learning; Self-development</t>
        </is>
      </c>
      <c r="AX119" s="48" t="inlineStr">
        <is>
          <t>Refugee</t>
        </is>
      </c>
      <c r="AY119" s="48" t="inlineStr">
        <is>
          <t>Yes</t>
        </is>
      </c>
      <c r="AZ119" s="48" t="inlineStr">
        <is>
          <t>NA - Partner Organisation Verified</t>
        </is>
      </c>
      <c r="BA119" s="48" t="inlineStr">
        <is>
          <t>NA</t>
        </is>
      </c>
      <c r="BB119" s="48" t="inlineStr">
        <is>
          <t>NA</t>
        </is>
      </c>
      <c r="BC119" s="48" t="inlineStr">
        <is>
          <t>NA</t>
        </is>
      </c>
      <c r="BD119" s="48" t="inlineStr">
        <is>
          <t>NA</t>
        </is>
      </c>
      <c r="BE119" s="48" t="inlineStr"/>
      <c r="BF119" s="48" t="inlineStr"/>
      <c r="BG119" s="48" t="inlineStr">
        <is>
          <t>NA</t>
        </is>
      </c>
      <c r="BH119" s="48" t="inlineStr">
        <is>
          <t>NA - Student</t>
        </is>
      </c>
      <c r="BI119" s="48" t="inlineStr">
        <is>
          <t>Refugee Advice and Casework Service</t>
        </is>
      </c>
      <c r="BJ119" s="48" t="inlineStr">
        <is>
          <t>ZULMAN Levi</t>
        </is>
      </c>
      <c r="BK119" s="48" t="inlineStr">
        <is>
          <t>CROCK Mary</t>
        </is>
      </c>
      <c r="BL119" s="48" t="inlineStr">
        <is>
          <t>Synthetic test record.</t>
        </is>
      </c>
      <c r="BM119" s="48" t="inlineStr"/>
      <c r="BN119" s="48">
        <f>TRIM(IF(AND($H119="Student",$J119="ADM-ACT-MAT-CNE"),"Invalid: Student cannot be CNE. ","")&amp;IF(AND($H119="Student",ISNUMBER($O119)),"Check: capacity set for a Student. ","")&amp;IF(AND(LEFT($J119,11)="ADM-ACT-MAT",$P119=0),"Check: matched status but 0 active pairings. ","")&amp;IF(AND($H119="Tutor",ISNUMBER($O119),$P119&gt;$O119),"Check: pairings exceed capacity. ","")&amp;IF(AND($BH119="Everyone",NOT(AND($BD119="Yes",$BG119="Yes"))),"Check: approved to tutor children but WWCC not provided/confirmed. ","")&amp;IF(AND($P119&gt;0,NOT(AND(OR(LEFT($AY119,3)="Yes",LEFT($AY119,2)="NA"),OR(LEFT($AZ119,3)="Yes",LEFT($AZ119,2)="NA")))),"Matched but vetting incomplete (interview/reference). ","")&amp;IF(COUNTIF($B$3:$B$600,$B119)&gt;1,"Duplicate participant name. ",""))</f>
        <v/>
      </c>
      <c r="BO119" s="48" t="inlineStr"/>
      <c r="BP119" s="48" t="inlineStr"/>
      <c r="BQ119" s="48" t="inlineStr"/>
      <c r="BR119" s="48" t="inlineStr"/>
      <c r="BS119" s="48" t="inlineStr"/>
      <c r="BT119" s="48" t="inlineStr"/>
      <c r="BU119" s="48" t="inlineStr"/>
      <c r="BV119" s="48" t="inlineStr"/>
      <c r="BW119" s="48" t="inlineStr"/>
      <c r="BX119" s="48" t="inlineStr"/>
      <c r="BY119" s="48" t="inlineStr"/>
      <c r="BZ119" s="48" t="inlineStr"/>
      <c r="CA119" s="48" t="inlineStr"/>
      <c r="CB119" s="48" t="inlineStr"/>
      <c r="CC119" s="48" t="inlineStr"/>
      <c r="CD119" s="48" t="inlineStr"/>
      <c r="CE119" s="48" t="inlineStr"/>
      <c r="CF119" s="48" t="inlineStr"/>
      <c r="CG119" s="48" t="inlineStr"/>
      <c r="CH119" s="48" t="inlineStr"/>
      <c r="CI119" s="48" t="inlineStr"/>
      <c r="CJ119" s="48" t="inlineStr"/>
      <c r="CK119" s="48" t="inlineStr"/>
      <c r="CL119" s="48" t="inlineStr"/>
      <c r="CM119" s="48" t="inlineStr"/>
      <c r="CN119" s="48" t="inlineStr"/>
      <c r="CO119" s="48" t="inlineStr"/>
      <c r="CP119" s="48" t="inlineStr"/>
      <c r="CQ119" s="48" t="inlineStr"/>
      <c r="CR119" s="48" t="inlineStr"/>
      <c r="CS119" s="48">
        <f>IF(LEFT($J119,3)="ERR",0,1)</f>
        <v/>
      </c>
      <c r="CT119" s="48">
        <f>IF(LEFT($J119,3)="ADM",1,0)</f>
        <v/>
      </c>
      <c r="CU119" s="48">
        <f>IF(OR($J119="ADM-ACT-MAT-CNE",$J119="ADM-ACT-MAT-CE",$J119="ADM-INACT-M&amp;T"),1,0)</f>
        <v/>
      </c>
      <c r="CV119" s="48">
        <f>IF(AND(CU119=1,ISNUMBER(M119),ISNUMBER(I119)),M119-I119,"")</f>
        <v/>
      </c>
      <c r="CW119" s="48">
        <f>IF(ISNUMBER(I119),TODAY()-I119,"")</f>
        <v/>
      </c>
      <c r="CX119" s="48">
        <f>IF(ISNUMBER(I119),DATE(YEAR(I119),MONTH(I119),1),"")</f>
        <v/>
      </c>
      <c r="CY119" s="48">
        <f>IFERROR(DATEDIF(AK119,TODAY(),"y"),"")</f>
        <v/>
      </c>
      <c r="CZ119" s="48">
        <f>IF(CY119="","",IF(CY119&lt;28,"18-27",IF(CY119&lt;38,"28-37",IF(CY119&lt;48,"38-47",IF(CY119&lt;58,"48-57",IF(CY119&lt;68,"58-67",IF(CY119&lt;78,"68-77","78+")))))) </f>
        <v/>
      </c>
      <c r="DA119" s="48">
        <f>IF(AND(BQ119&lt;&gt;"",BR119=""),N(BS119),0)+IF(AND(BW119&lt;&gt;"",BX119=""),N(BY119),0)+IF(AND(CC119&lt;&gt;"",CD119=""),N(CE119),0)+IF(AND(CI119&lt;&gt;"",CJ119=""),N(CK119),0)+IF(AND(CO119&lt;&gt;"",CP119=""),N(CQ119),0)</f>
        <v/>
      </c>
      <c r="DB119" s="48">
        <f>ROUND(IF(BQ119&lt;&gt;"",N(BS119)*MAX(0,((IF(BR119="",TODAY(),BR119))-BQ119)/7),0)+IF(BW119&lt;&gt;"",N(BY119)*MAX(0,((IF(BX119="",TODAY(),BX119))-BW119)/7),0)+IF(CC119&lt;&gt;"",N(CE119)*MAX(0,((IF(CD119="",TODAY(),CD119))-CC119)/7),0)+IF(CI119&lt;&gt;"",N(CK119)*MAX(0,((IF(CJ119="",TODAY(),CJ119))-CI119)/7),0)+IF(CO119&lt;&gt;"",N(CQ119)*MAX(0,((IF(CP119="",TODAY(),CP119))-CO119)/7),0),1)</f>
        <v/>
      </c>
      <c r="DC119" s="48">
        <f>IF(OR(TRIM(X119)="",TRIM(X119)="NA;",TRIM(X119)="NA"),0,1)</f>
        <v/>
      </c>
      <c r="DD119" s="48">
        <f>IF(OR(TRIM(Y119)="",TRIM(Y119)="NA;",TRIM(Y119)="NA"),0,1)</f>
        <v/>
      </c>
      <c r="DE119" s="48">
        <f>IF(OR(TRIM(Z119)="",TRIM(Z119)="NA;",TRIM(Z119)="NA"),0,1)</f>
        <v/>
      </c>
      <c r="DF119" s="48">
        <f>IF(OR(TRIM(AA119)="",TRIM(AA119)="NA;",TRIM(AA119)="NA"),0,1)</f>
        <v/>
      </c>
      <c r="DG119" s="48">
        <f>IF(OR(TRIM(AB119)="",TRIM(AB119)="NA;",TRIM(AB119)="NA"),0,1)</f>
        <v/>
      </c>
      <c r="DH119" s="48">
        <f>IF(OR(TRIM(AC119)="",TRIM(AC119)="NA;",TRIM(AC119)="NA"),0,1)</f>
        <v/>
      </c>
      <c r="DI119" s="48">
        <f>IF(OR(TRIM(AD119)="",TRIM(AD119)="NA;",TRIM(AD119)="NA"),0,1)</f>
        <v/>
      </c>
      <c r="DJ119" s="48">
        <f>TRIM(IF(DC119=1,"Mon ","")&amp;IF(DD119=1,"Tue ","")&amp;IF(DE119=1,"Wed ","")&amp;IF(DF119=1,"Thu ","")&amp;IF(DG119=1,"Fri ","")&amp;IF(DH119=1,"Sat ","")&amp;IF(DI119=1,"Sun ",""))</f>
        <v/>
      </c>
    </row>
    <row r="120">
      <c r="A120" s="48" t="inlineStr">
        <is>
          <t>S-O-00018</t>
        </is>
      </c>
      <c r="B120" s="48" t="inlineStr">
        <is>
          <t>James Levi</t>
        </is>
      </c>
      <c r="C120" s="48" t="inlineStr">
        <is>
          <t>james.levi18@example.com</t>
        </is>
      </c>
      <c r="D120" s="48" t="inlineStr">
        <is>
          <t>+61 431 044 130</t>
        </is>
      </c>
      <c r="E120" s="48" t="inlineStr">
        <is>
          <t>Lina Silva</t>
        </is>
      </c>
      <c r="F120" s="48" t="inlineStr">
        <is>
          <t>+61 492 702 350</t>
        </is>
      </c>
      <c r="G120" s="48" t="inlineStr">
        <is>
          <t>Adult Child</t>
        </is>
      </c>
      <c r="H120" s="48" t="inlineStr">
        <is>
          <t>Student</t>
        </is>
      </c>
      <c r="I120" s="49" t="n">
        <v>45439</v>
      </c>
      <c r="J120" s="48" t="inlineStr">
        <is>
          <t>ADM-ACT-UNMAT</t>
        </is>
      </c>
      <c r="K120" s="48">
        <f>IFERROR(VLOOKUP(J120,'(A) Introduction'!$B$35:$C$45,2,FALSE),"")</f>
        <v/>
      </c>
      <c r="L120" s="48" t="inlineStr">
        <is>
          <t>No</t>
        </is>
      </c>
      <c r="M120" s="48" t="inlineStr"/>
      <c r="N120" s="48" t="inlineStr"/>
      <c r="O120" s="48" t="inlineStr">
        <is>
          <t>NA</t>
        </is>
      </c>
      <c r="P120" s="48">
        <f>IF($H120="Tutor",((BQ120&lt;&gt;"")*(BR120=""))+((BW120&lt;&gt;"")*(BX120=""))+((CC120&lt;&gt;"")*(CD120=""))+((CI120&lt;&gt;"")*(CJ120=""))+((CO120&lt;&gt;"")*(CP120="")),SUMPRODUCT(--($BO$3:$BO$202=$A120),--($BR$3:$BR$202=""))+SUMPRODUCT(--($BU$3:$BU$202=$A120),--($BX$3:$BX$202=""))+SUMPRODUCT(--($CA$3:$CA$202=$A120),--($CD$3:$CD$202=""))+SUMPRODUCT(--($CG$3:$CG$202=$A120),--($CJ$3:$CJ$202=""))+SUMPRODUCT(--($CM$3:$CM$202=$A120),--($CP$3:$CP$202="")))</f>
        <v/>
      </c>
      <c r="Q120" s="48">
        <f>IF($H120="Tutor",(BQ120&lt;&gt;"")+(BW120&lt;&gt;"")+(CC120&lt;&gt;"")+(CI120&lt;&gt;"")+(CO120&lt;&gt;""),SUMPRODUCT(--($BO$3:$BO$202=$A120))+SUMPRODUCT(--($BU$3:$BU$202=$A120))+SUMPRODUCT(--($CA$3:$CA$202=$A120))+SUMPRODUCT(--($CG$3:$CG$202=$A120))+SUMPRODUCT(--($CM$3:$CM$202=$A120)))</f>
        <v/>
      </c>
      <c r="R120" s="48">
        <f>IF($H120="Tutor",TRIM(IF(AND(BQ120&lt;&gt;"",BR120=""),BP120&amp;"; ","")&amp;IF(AND(BW120&lt;&gt;"",BX120=""),BV120&amp;"; ","")&amp;IF(AND(CC120&lt;&gt;"",CD120=""),CB120&amp;"; ","")&amp;IF(AND(CI120&lt;&gt;"",CJ120=""),CH120&amp;"; ","")&amp;IF(AND(CO120&lt;&gt;"",CP120=""),CN120&amp;"; ","")),IFERROR(INDEX($A$3:$B$202,(SUMPRODUCT(($BO$3:$BO$202=$A120)*($BR$3:$BR$202="")*ROW($BO$3:$BO$202))+SUMPRODUCT(($BU$3:$BU$202=$A120)*($BX$3:$BX$202="")*ROW($BU$3:$BU$202))+SUMPRODUCT(($CA$3:$CA$202=$A120)*($CD$3:$CD$202="")*ROW($CA$3:$CA$202))+SUMPRODUCT(($CG$3:$CG$202=$A120)*($CJ$3:$CJ$202="")*ROW($CG$3:$CG$202))+SUMPRODUCT(($CM$3:$CM$202=$A120)*($CP$3:$CP$202="")*ROW($CM$3:$CM$202)))-2,2),""))</f>
        <v/>
      </c>
      <c r="S120" s="48" t="inlineStr">
        <is>
          <t>NA</t>
        </is>
      </c>
      <c r="T120" s="48" t="inlineStr"/>
      <c r="U120" s="48" t="inlineStr"/>
      <c r="V120" s="49" t="n">
        <v>45940</v>
      </c>
      <c r="W120" s="48" t="inlineStr">
        <is>
          <t>AEST (UTC+10)</t>
        </is>
      </c>
      <c r="X120" s="48" t="inlineStr">
        <is>
          <t>9am-12pm;</t>
        </is>
      </c>
      <c r="Y120" s="48" t="inlineStr">
        <is>
          <t>9am-12pm;12pm-3pm;3pm-6pm;</t>
        </is>
      </c>
      <c r="Z120" s="48" t="inlineStr">
        <is>
          <t>NA;</t>
        </is>
      </c>
      <c r="AA120" s="48" t="inlineStr">
        <is>
          <t>9am-12pm;</t>
        </is>
      </c>
      <c r="AB120" s="48" t="inlineStr">
        <is>
          <t>NA;</t>
        </is>
      </c>
      <c r="AC120" s="48" t="inlineStr">
        <is>
          <t>9am-12pm;</t>
        </is>
      </c>
      <c r="AD120" s="48" t="inlineStr">
        <is>
          <t>3pm-6pm;</t>
        </is>
      </c>
      <c r="AE120" s="48" t="inlineStr">
        <is>
          <t>Online</t>
        </is>
      </c>
      <c r="AF120" s="48" t="inlineStr">
        <is>
          <t>Multiple devices</t>
        </is>
      </c>
      <c r="AG120" s="48" t="inlineStr">
        <is>
          <t>Australia</t>
        </is>
      </c>
      <c r="AH120" s="48" t="inlineStr">
        <is>
          <t>New South Wales</t>
        </is>
      </c>
      <c r="AI120" s="48" t="inlineStr">
        <is>
          <t>Bardia</t>
        </is>
      </c>
      <c r="AJ120" s="48" t="inlineStr">
        <is>
          <t>2565</t>
        </is>
      </c>
      <c r="AK120" s="49" t="n">
        <v>32466</v>
      </c>
      <c r="AL120" s="48" t="inlineStr">
        <is>
          <t>Other</t>
        </is>
      </c>
      <c r="AM120" s="48" t="inlineStr">
        <is>
          <t>No</t>
        </is>
      </c>
      <c r="AN120" s="48" t="inlineStr">
        <is>
          <t>B1</t>
        </is>
      </c>
      <c r="AO120" s="48" t="inlineStr">
        <is>
          <t>Low</t>
        </is>
      </c>
      <c r="AP120" s="48" t="inlineStr">
        <is>
          <t>South Sudan</t>
        </is>
      </c>
      <c r="AQ120" s="48" t="inlineStr">
        <is>
          <t>NA</t>
        </is>
      </c>
      <c r="AR120" s="48" t="inlineStr">
        <is>
          <t>Burmese (C1)</t>
        </is>
      </c>
      <c r="AS120" s="48" t="inlineStr">
        <is>
          <t>NA</t>
        </is>
      </c>
      <c r="AT120" s="48" t="inlineStr">
        <is>
          <t>Childcare &amp; Aged Care</t>
        </is>
      </c>
      <c r="AU120" s="48" t="inlineStr">
        <is>
          <t>Student</t>
        </is>
      </c>
      <c r="AV120" s="48" t="inlineStr">
        <is>
          <t>Counselling</t>
        </is>
      </c>
      <c r="AW120" s="48" t="inlineStr">
        <is>
          <t>Art; Photography; Travel</t>
        </is>
      </c>
      <c r="AX120" s="48" t="inlineStr">
        <is>
          <t>Refugee</t>
        </is>
      </c>
      <c r="AY120" s="48" t="inlineStr">
        <is>
          <t>No</t>
        </is>
      </c>
      <c r="AZ120" s="48" t="inlineStr">
        <is>
          <t>Yes</t>
        </is>
      </c>
      <c r="BA120" s="48" t="inlineStr">
        <is>
          <t>NA</t>
        </is>
      </c>
      <c r="BB120" s="48" t="inlineStr">
        <is>
          <t>NA</t>
        </is>
      </c>
      <c r="BC120" s="48" t="inlineStr">
        <is>
          <t>NA</t>
        </is>
      </c>
      <c r="BD120" s="48" t="inlineStr">
        <is>
          <t>NA</t>
        </is>
      </c>
      <c r="BE120" s="48" t="inlineStr"/>
      <c r="BF120" s="48" t="inlineStr"/>
      <c r="BG120" s="48" t="inlineStr">
        <is>
          <t>NA</t>
        </is>
      </c>
      <c r="BH120" s="48" t="inlineStr">
        <is>
          <t>NA - Student</t>
        </is>
      </c>
      <c r="BI120" s="48" t="inlineStr">
        <is>
          <t>University of Queensland (Including the Refugee Tutoring Club)</t>
        </is>
      </c>
      <c r="BJ120" s="48" t="inlineStr">
        <is>
          <t>THET Moh Moh</t>
        </is>
      </c>
      <c r="BK120" s="48" t="inlineStr">
        <is>
          <t>SHANAHAN Jack</t>
        </is>
      </c>
      <c r="BL120" s="48" t="inlineStr">
        <is>
          <t>Synthetic test record.</t>
        </is>
      </c>
      <c r="BM120" s="48" t="inlineStr"/>
      <c r="BN120" s="48">
        <f>TRIM(IF(AND($H120="Student",$J120="ADM-ACT-MAT-CNE"),"Invalid: Student cannot be CNE. ","")&amp;IF(AND($H120="Student",ISNUMBER($O120)),"Check: capacity set for a Student. ","")&amp;IF(AND(LEFT($J120,11)="ADM-ACT-MAT",$P120=0),"Check: matched status but 0 active pairings. ","")&amp;IF(AND($H120="Tutor",ISNUMBER($O120),$P120&gt;$O120),"Check: pairings exceed capacity. ","")&amp;IF(AND($BH120="Everyone",NOT(AND($BD120="Yes",$BG120="Yes"))),"Check: approved to tutor children but WWCC not provided/confirmed. ","")&amp;IF(AND($P120&gt;0,NOT(AND(OR(LEFT($AY120,3)="Yes",LEFT($AY120,2)="NA"),OR(LEFT($AZ120,3)="Yes",LEFT($AZ120,2)="NA")))),"Matched but vetting incomplete (interview/reference). ","")&amp;IF(COUNTIF($B$3:$B$600,$B120)&gt;1,"Duplicate participant name. ",""))</f>
        <v/>
      </c>
      <c r="BO120" s="48" t="inlineStr"/>
      <c r="BP120" s="48" t="inlineStr"/>
      <c r="BQ120" s="48" t="inlineStr"/>
      <c r="BR120" s="48" t="inlineStr"/>
      <c r="BS120" s="48" t="inlineStr"/>
      <c r="BT120" s="48" t="inlineStr"/>
      <c r="BU120" s="48" t="inlineStr"/>
      <c r="BV120" s="48" t="inlineStr"/>
      <c r="BW120" s="48" t="inlineStr"/>
      <c r="BX120" s="48" t="inlineStr"/>
      <c r="BY120" s="48" t="inlineStr"/>
      <c r="BZ120" s="48" t="inlineStr"/>
      <c r="CA120" s="48" t="inlineStr"/>
      <c r="CB120" s="48" t="inlineStr"/>
      <c r="CC120" s="48" t="inlineStr"/>
      <c r="CD120" s="48" t="inlineStr"/>
      <c r="CE120" s="48" t="inlineStr"/>
      <c r="CF120" s="48" t="inlineStr"/>
      <c r="CG120" s="48" t="inlineStr"/>
      <c r="CH120" s="48" t="inlineStr"/>
      <c r="CI120" s="48" t="inlineStr"/>
      <c r="CJ120" s="48" t="inlineStr"/>
      <c r="CK120" s="48" t="inlineStr"/>
      <c r="CL120" s="48" t="inlineStr"/>
      <c r="CM120" s="48" t="inlineStr"/>
      <c r="CN120" s="48" t="inlineStr"/>
      <c r="CO120" s="48" t="inlineStr"/>
      <c r="CP120" s="48" t="inlineStr"/>
      <c r="CQ120" s="48" t="inlineStr"/>
      <c r="CR120" s="48" t="inlineStr"/>
      <c r="CS120" s="48">
        <f>IF(LEFT($J120,3)="ERR",0,1)</f>
        <v/>
      </c>
      <c r="CT120" s="48">
        <f>IF(LEFT($J120,3)="ADM",1,0)</f>
        <v/>
      </c>
      <c r="CU120" s="48">
        <f>IF(OR($J120="ADM-ACT-MAT-CNE",$J120="ADM-ACT-MAT-CE",$J120="ADM-INACT-M&amp;T"),1,0)</f>
        <v/>
      </c>
      <c r="CV120" s="48">
        <f>IF(AND(CU120=1,ISNUMBER(M120),ISNUMBER(I120)),M120-I120,"")</f>
        <v/>
      </c>
      <c r="CW120" s="48">
        <f>IF(ISNUMBER(I120),TODAY()-I120,"")</f>
        <v/>
      </c>
      <c r="CX120" s="48">
        <f>IF(ISNUMBER(I120),DATE(YEAR(I120),MONTH(I120),1),"")</f>
        <v/>
      </c>
      <c r="CY120" s="48">
        <f>IFERROR(DATEDIF(AK120,TODAY(),"y"),"")</f>
        <v/>
      </c>
      <c r="CZ120" s="48">
        <f>IF(CY120="","",IF(CY120&lt;28,"18-27",IF(CY120&lt;38,"28-37",IF(CY120&lt;48,"38-47",IF(CY120&lt;58,"48-57",IF(CY120&lt;68,"58-67",IF(CY120&lt;78,"68-77","78+")))))) </f>
        <v/>
      </c>
      <c r="DA120" s="48">
        <f>IF(AND(BQ120&lt;&gt;"",BR120=""),N(BS120),0)+IF(AND(BW120&lt;&gt;"",BX120=""),N(BY120),0)+IF(AND(CC120&lt;&gt;"",CD120=""),N(CE120),0)+IF(AND(CI120&lt;&gt;"",CJ120=""),N(CK120),0)+IF(AND(CO120&lt;&gt;"",CP120=""),N(CQ120),0)</f>
        <v/>
      </c>
      <c r="DB120" s="48">
        <f>ROUND(IF(BQ120&lt;&gt;"",N(BS120)*MAX(0,((IF(BR120="",TODAY(),BR120))-BQ120)/7),0)+IF(BW120&lt;&gt;"",N(BY120)*MAX(0,((IF(BX120="",TODAY(),BX120))-BW120)/7),0)+IF(CC120&lt;&gt;"",N(CE120)*MAX(0,((IF(CD120="",TODAY(),CD120))-CC120)/7),0)+IF(CI120&lt;&gt;"",N(CK120)*MAX(0,((IF(CJ120="",TODAY(),CJ120))-CI120)/7),0)+IF(CO120&lt;&gt;"",N(CQ120)*MAX(0,((IF(CP120="",TODAY(),CP120))-CO120)/7),0),1)</f>
        <v/>
      </c>
      <c r="DC120" s="48">
        <f>IF(OR(TRIM(X120)="",TRIM(X120)="NA;",TRIM(X120)="NA"),0,1)</f>
        <v/>
      </c>
      <c r="DD120" s="48">
        <f>IF(OR(TRIM(Y120)="",TRIM(Y120)="NA;",TRIM(Y120)="NA"),0,1)</f>
        <v/>
      </c>
      <c r="DE120" s="48">
        <f>IF(OR(TRIM(Z120)="",TRIM(Z120)="NA;",TRIM(Z120)="NA"),0,1)</f>
        <v/>
      </c>
      <c r="DF120" s="48">
        <f>IF(OR(TRIM(AA120)="",TRIM(AA120)="NA;",TRIM(AA120)="NA"),0,1)</f>
        <v/>
      </c>
      <c r="DG120" s="48">
        <f>IF(OR(TRIM(AB120)="",TRIM(AB120)="NA;",TRIM(AB120)="NA"),0,1)</f>
        <v/>
      </c>
      <c r="DH120" s="48">
        <f>IF(OR(TRIM(AC120)="",TRIM(AC120)="NA;",TRIM(AC120)="NA"),0,1)</f>
        <v/>
      </c>
      <c r="DI120" s="48">
        <f>IF(OR(TRIM(AD120)="",TRIM(AD120)="NA;",TRIM(AD120)="NA"),0,1)</f>
        <v/>
      </c>
      <c r="DJ120" s="48">
        <f>TRIM(IF(DC120=1,"Mon ","")&amp;IF(DD120=1,"Tue ","")&amp;IF(DE120=1,"Wed ","")&amp;IF(DF120=1,"Thu ","")&amp;IF(DG120=1,"Fri ","")&amp;IF(DH120=1,"Sat ","")&amp;IF(DI120=1,"Sun ",""))</f>
        <v/>
      </c>
    </row>
    <row r="121">
      <c r="A121" s="48" t="inlineStr">
        <is>
          <t>S-O-00019</t>
        </is>
      </c>
      <c r="B121" s="48" t="inlineStr">
        <is>
          <t>Sarah Wright</t>
        </is>
      </c>
      <c r="C121" s="48" t="inlineStr">
        <is>
          <t>sarah.wright19@example.com</t>
        </is>
      </c>
      <c r="D121" s="48" t="inlineStr">
        <is>
          <t>+61 429 387 394</t>
        </is>
      </c>
      <c r="E121" s="48" t="inlineStr">
        <is>
          <t>Sara Wright</t>
        </is>
      </c>
      <c r="F121" s="48" t="inlineStr">
        <is>
          <t>+61 494 929 779</t>
        </is>
      </c>
      <c r="G121" s="48" t="inlineStr">
        <is>
          <t>Caseworker</t>
        </is>
      </c>
      <c r="H121" s="48" t="inlineStr">
        <is>
          <t>Student</t>
        </is>
      </c>
      <c r="I121" s="49" t="n">
        <v>45442</v>
      </c>
      <c r="J121" s="48" t="inlineStr">
        <is>
          <t>ADM-ACT-MAT-CE</t>
        </is>
      </c>
      <c r="K121" s="48">
        <f>IFERROR(VLOOKUP(J121,'(A) Introduction'!$B$35:$C$45,2,FALSE),"")</f>
        <v/>
      </c>
      <c r="L121" s="48" t="inlineStr">
        <is>
          <t>No</t>
        </is>
      </c>
      <c r="M121" s="49" t="n">
        <v>45545</v>
      </c>
      <c r="N121" s="48" t="inlineStr"/>
      <c r="O121" s="48" t="inlineStr">
        <is>
          <t>NA</t>
        </is>
      </c>
      <c r="P121" s="48">
        <f>IF($H121="Tutor",((BQ121&lt;&gt;"")*(BR121=""))+((BW121&lt;&gt;"")*(BX121=""))+((CC121&lt;&gt;"")*(CD121=""))+((CI121&lt;&gt;"")*(CJ121=""))+((CO121&lt;&gt;"")*(CP121="")),SUMPRODUCT(--($BO$3:$BO$202=$A121),--($BR$3:$BR$202=""))+SUMPRODUCT(--($BU$3:$BU$202=$A121),--($BX$3:$BX$202=""))+SUMPRODUCT(--($CA$3:$CA$202=$A121),--($CD$3:$CD$202=""))+SUMPRODUCT(--($CG$3:$CG$202=$A121),--($CJ$3:$CJ$202=""))+SUMPRODUCT(--($CM$3:$CM$202=$A121),--($CP$3:$CP$202="")))</f>
        <v/>
      </c>
      <c r="Q121" s="48">
        <f>IF($H121="Tutor",(BQ121&lt;&gt;"")+(BW121&lt;&gt;"")+(CC121&lt;&gt;"")+(CI121&lt;&gt;"")+(CO121&lt;&gt;""),SUMPRODUCT(--($BO$3:$BO$202=$A121))+SUMPRODUCT(--($BU$3:$BU$202=$A121))+SUMPRODUCT(--($CA$3:$CA$202=$A121))+SUMPRODUCT(--($CG$3:$CG$202=$A121))+SUMPRODUCT(--($CM$3:$CM$202=$A121)))</f>
        <v/>
      </c>
      <c r="R121" s="48">
        <f>IF($H121="Tutor",TRIM(IF(AND(BQ121&lt;&gt;"",BR121=""),BP121&amp;"; ","")&amp;IF(AND(BW121&lt;&gt;"",BX121=""),BV121&amp;"; ","")&amp;IF(AND(CC121&lt;&gt;"",CD121=""),CB121&amp;"; ","")&amp;IF(AND(CI121&lt;&gt;"",CJ121=""),CH121&amp;"; ","")&amp;IF(AND(CO121&lt;&gt;"",CP121=""),CN121&amp;"; ","")),IFERROR(INDEX($A$3:$B$202,(SUMPRODUCT(($BO$3:$BO$202=$A121)*($BR$3:$BR$202="")*ROW($BO$3:$BO$202))+SUMPRODUCT(($BU$3:$BU$202=$A121)*($BX$3:$BX$202="")*ROW($BU$3:$BU$202))+SUMPRODUCT(($CA$3:$CA$202=$A121)*($CD$3:$CD$202="")*ROW($CA$3:$CA$202))+SUMPRODUCT(($CG$3:$CG$202=$A121)*($CJ$3:$CJ$202="")*ROW($CG$3:$CG$202))+SUMPRODUCT(($CM$3:$CM$202=$A121)*($CP$3:$CP$202="")*ROW($CM$3:$CM$202)))-2,2),""))</f>
        <v/>
      </c>
      <c r="S121" s="48" t="inlineStr">
        <is>
          <t>Provided</t>
        </is>
      </c>
      <c r="T121" s="48" t="inlineStr"/>
      <c r="U121" s="48" t="inlineStr"/>
      <c r="V121" s="49" t="n">
        <v>45752</v>
      </c>
      <c r="W121" s="48" t="inlineStr">
        <is>
          <t>AEST (UTC+10)</t>
        </is>
      </c>
      <c r="X121" s="48" t="inlineStr">
        <is>
          <t>12pm-3pm;</t>
        </is>
      </c>
      <c r="Y121" s="48" t="inlineStr">
        <is>
          <t>9am-12pm;12pm-3pm;3pm-6pm;</t>
        </is>
      </c>
      <c r="Z121" s="48" t="inlineStr">
        <is>
          <t>9am-12pm;12pm-3pm;3pm-6pm;</t>
        </is>
      </c>
      <c r="AA121" s="48" t="inlineStr">
        <is>
          <t>12pm-3pm;6pm-9pm;</t>
        </is>
      </c>
      <c r="AB121" s="48" t="inlineStr">
        <is>
          <t>9am-12pm;</t>
        </is>
      </c>
      <c r="AC121" s="48" t="inlineStr">
        <is>
          <t>6pm-9pm;</t>
        </is>
      </c>
      <c r="AD121" s="48" t="inlineStr">
        <is>
          <t>9am-12pm;</t>
        </is>
      </c>
      <c r="AE121" s="48" t="inlineStr">
        <is>
          <t>In-Person</t>
        </is>
      </c>
      <c r="AF121" s="48" t="inlineStr">
        <is>
          <t>Computer</t>
        </is>
      </c>
      <c r="AG121" s="48" t="inlineStr">
        <is>
          <t>Australia</t>
        </is>
      </c>
      <c r="AH121" s="48" t="inlineStr">
        <is>
          <t>New South Wales</t>
        </is>
      </c>
      <c r="AI121" s="48" t="inlineStr">
        <is>
          <t>Parramatta</t>
        </is>
      </c>
      <c r="AJ121" s="48" t="inlineStr">
        <is>
          <t>2150</t>
        </is>
      </c>
      <c r="AK121" s="49" t="n">
        <v>37028</v>
      </c>
      <c r="AL121" s="48" t="inlineStr">
        <is>
          <t>Other</t>
        </is>
      </c>
      <c r="AM121" s="48" t="inlineStr">
        <is>
          <t>No</t>
        </is>
      </c>
      <c r="AN121" s="48" t="inlineStr">
        <is>
          <t>A1</t>
        </is>
      </c>
      <c r="AO121" s="48" t="inlineStr">
        <is>
          <t>Outstanding</t>
        </is>
      </c>
      <c r="AP121" s="48" t="inlineStr">
        <is>
          <t>Bangladesh</t>
        </is>
      </c>
      <c r="AQ121" s="48" t="inlineStr">
        <is>
          <t>NA</t>
        </is>
      </c>
      <c r="AR121" s="48" t="inlineStr">
        <is>
          <t>Somali (C1)</t>
        </is>
      </c>
      <c r="AS121" s="48" t="inlineStr">
        <is>
          <t>Muslim</t>
        </is>
      </c>
      <c r="AT121" s="48" t="inlineStr">
        <is>
          <t>Other / Unspecified</t>
        </is>
      </c>
      <c r="AU121" s="48" t="inlineStr">
        <is>
          <t>Cleaner</t>
        </is>
      </c>
      <c r="AV121" s="48" t="inlineStr">
        <is>
          <t>Construction</t>
        </is>
      </c>
      <c r="AW121" s="48" t="inlineStr">
        <is>
          <t>Art; Photography; Travel</t>
        </is>
      </c>
      <c r="AX121" s="48" t="inlineStr">
        <is>
          <t>Asylum Seeker</t>
        </is>
      </c>
      <c r="AY121" s="48" t="inlineStr">
        <is>
          <t>Yes</t>
        </is>
      </c>
      <c r="AZ121" s="48" t="inlineStr">
        <is>
          <t>NA - Partner Organisation Verified</t>
        </is>
      </c>
      <c r="BA121" s="48" t="inlineStr">
        <is>
          <t>NA</t>
        </is>
      </c>
      <c r="BB121" s="48" t="inlineStr">
        <is>
          <t>NA</t>
        </is>
      </c>
      <c r="BC121" s="48" t="inlineStr">
        <is>
          <t>NA</t>
        </is>
      </c>
      <c r="BD121" s="48" t="inlineStr">
        <is>
          <t>NA</t>
        </is>
      </c>
      <c r="BE121" s="48" t="inlineStr"/>
      <c r="BF121" s="48" t="inlineStr"/>
      <c r="BG121" s="48" t="inlineStr">
        <is>
          <t>NA</t>
        </is>
      </c>
      <c r="BH121" s="48" t="inlineStr">
        <is>
          <t>NA - Student</t>
        </is>
      </c>
      <c r="BI121" s="48" t="inlineStr">
        <is>
          <t>Kaldor Centre for International Refugee Law</t>
        </is>
      </c>
      <c r="BJ121" s="48" t="inlineStr">
        <is>
          <t>NUICH Curtis</t>
        </is>
      </c>
      <c r="BK121" s="48" t="inlineStr">
        <is>
          <t>MCCRORIE John</t>
        </is>
      </c>
      <c r="BL121" s="48" t="inlineStr">
        <is>
          <t>Synthetic test record.</t>
        </is>
      </c>
      <c r="BM121" s="48" t="inlineStr"/>
      <c r="BN121" s="48">
        <f>TRIM(IF(AND($H121="Student",$J121="ADM-ACT-MAT-CNE"),"Invalid: Student cannot be CNE. ","")&amp;IF(AND($H121="Student",ISNUMBER($O121)),"Check: capacity set for a Student. ","")&amp;IF(AND(LEFT($J121,11)="ADM-ACT-MAT",$P121=0),"Check: matched status but 0 active pairings. ","")&amp;IF(AND($H121="Tutor",ISNUMBER($O121),$P121&gt;$O121),"Check: pairings exceed capacity. ","")&amp;IF(AND($BH121="Everyone",NOT(AND($BD121="Yes",$BG121="Yes"))),"Check: approved to tutor children but WWCC not provided/confirmed. ","")&amp;IF(AND($P121&gt;0,NOT(AND(OR(LEFT($AY121,3)="Yes",LEFT($AY121,2)="NA"),OR(LEFT($AZ121,3)="Yes",LEFT($AZ121,2)="NA")))),"Matched but vetting incomplete (interview/reference). ","")&amp;IF(COUNTIF($B$3:$B$600,$B121)&gt;1,"Duplicate participant name. ",""))</f>
        <v/>
      </c>
      <c r="BO121" s="48" t="inlineStr"/>
      <c r="BP121" s="48" t="inlineStr"/>
      <c r="BQ121" s="48" t="inlineStr"/>
      <c r="BR121" s="48" t="inlineStr"/>
      <c r="BS121" s="48" t="inlineStr"/>
      <c r="BT121" s="48" t="inlineStr"/>
      <c r="BU121" s="48" t="inlineStr"/>
      <c r="BV121" s="48" t="inlineStr"/>
      <c r="BW121" s="48" t="inlineStr"/>
      <c r="BX121" s="48" t="inlineStr"/>
      <c r="BY121" s="48" t="inlineStr"/>
      <c r="BZ121" s="48" t="inlineStr"/>
      <c r="CA121" s="48" t="inlineStr"/>
      <c r="CB121" s="48" t="inlineStr"/>
      <c r="CC121" s="48" t="inlineStr"/>
      <c r="CD121" s="48" t="inlineStr"/>
      <c r="CE121" s="48" t="inlineStr"/>
      <c r="CF121" s="48" t="inlineStr"/>
      <c r="CG121" s="48" t="inlineStr"/>
      <c r="CH121" s="48" t="inlineStr"/>
      <c r="CI121" s="48" t="inlineStr"/>
      <c r="CJ121" s="48" t="inlineStr"/>
      <c r="CK121" s="48" t="inlineStr"/>
      <c r="CL121" s="48" t="inlineStr"/>
      <c r="CM121" s="48" t="inlineStr"/>
      <c r="CN121" s="48" t="inlineStr"/>
      <c r="CO121" s="48" t="inlineStr"/>
      <c r="CP121" s="48" t="inlineStr"/>
      <c r="CQ121" s="48" t="inlineStr"/>
      <c r="CR121" s="48" t="inlineStr"/>
      <c r="CS121" s="48">
        <f>IF(LEFT($J121,3)="ERR",0,1)</f>
        <v/>
      </c>
      <c r="CT121" s="48">
        <f>IF(LEFT($J121,3)="ADM",1,0)</f>
        <v/>
      </c>
      <c r="CU121" s="48">
        <f>IF(OR($J121="ADM-ACT-MAT-CNE",$J121="ADM-ACT-MAT-CE",$J121="ADM-INACT-M&amp;T"),1,0)</f>
        <v/>
      </c>
      <c r="CV121" s="48">
        <f>IF(AND(CU121=1,ISNUMBER(M121),ISNUMBER(I121)),M121-I121,"")</f>
        <v/>
      </c>
      <c r="CW121" s="48">
        <f>IF(ISNUMBER(I121),TODAY()-I121,"")</f>
        <v/>
      </c>
      <c r="CX121" s="48">
        <f>IF(ISNUMBER(I121),DATE(YEAR(I121),MONTH(I121),1),"")</f>
        <v/>
      </c>
      <c r="CY121" s="48">
        <f>IFERROR(DATEDIF(AK121,TODAY(),"y"),"")</f>
        <v/>
      </c>
      <c r="CZ121" s="48">
        <f>IF(CY121="","",IF(CY121&lt;28,"18-27",IF(CY121&lt;38,"28-37",IF(CY121&lt;48,"38-47",IF(CY121&lt;58,"48-57",IF(CY121&lt;68,"58-67",IF(CY121&lt;78,"68-77","78+")))))) </f>
        <v/>
      </c>
      <c r="DA121" s="48">
        <f>IF(AND(BQ121&lt;&gt;"",BR121=""),N(BS121),0)+IF(AND(BW121&lt;&gt;"",BX121=""),N(BY121),0)+IF(AND(CC121&lt;&gt;"",CD121=""),N(CE121),0)+IF(AND(CI121&lt;&gt;"",CJ121=""),N(CK121),0)+IF(AND(CO121&lt;&gt;"",CP121=""),N(CQ121),0)</f>
        <v/>
      </c>
      <c r="DB121" s="48">
        <f>ROUND(IF(BQ121&lt;&gt;"",N(BS121)*MAX(0,((IF(BR121="",TODAY(),BR121))-BQ121)/7),0)+IF(BW121&lt;&gt;"",N(BY121)*MAX(0,((IF(BX121="",TODAY(),BX121))-BW121)/7),0)+IF(CC121&lt;&gt;"",N(CE121)*MAX(0,((IF(CD121="",TODAY(),CD121))-CC121)/7),0)+IF(CI121&lt;&gt;"",N(CK121)*MAX(0,((IF(CJ121="",TODAY(),CJ121))-CI121)/7),0)+IF(CO121&lt;&gt;"",N(CQ121)*MAX(0,((IF(CP121="",TODAY(),CP121))-CO121)/7),0),1)</f>
        <v/>
      </c>
      <c r="DC121" s="48">
        <f>IF(OR(TRIM(X121)="",TRIM(X121)="NA;",TRIM(X121)="NA"),0,1)</f>
        <v/>
      </c>
      <c r="DD121" s="48">
        <f>IF(OR(TRIM(Y121)="",TRIM(Y121)="NA;",TRIM(Y121)="NA"),0,1)</f>
        <v/>
      </c>
      <c r="DE121" s="48">
        <f>IF(OR(TRIM(Z121)="",TRIM(Z121)="NA;",TRIM(Z121)="NA"),0,1)</f>
        <v/>
      </c>
      <c r="DF121" s="48">
        <f>IF(OR(TRIM(AA121)="",TRIM(AA121)="NA;",TRIM(AA121)="NA"),0,1)</f>
        <v/>
      </c>
      <c r="DG121" s="48">
        <f>IF(OR(TRIM(AB121)="",TRIM(AB121)="NA;",TRIM(AB121)="NA"),0,1)</f>
        <v/>
      </c>
      <c r="DH121" s="48">
        <f>IF(OR(TRIM(AC121)="",TRIM(AC121)="NA;",TRIM(AC121)="NA"),0,1)</f>
        <v/>
      </c>
      <c r="DI121" s="48">
        <f>IF(OR(TRIM(AD121)="",TRIM(AD121)="NA;",TRIM(AD121)="NA"),0,1)</f>
        <v/>
      </c>
      <c r="DJ121" s="48">
        <f>TRIM(IF(DC121=1,"Mon ","")&amp;IF(DD121=1,"Tue ","")&amp;IF(DE121=1,"Wed ","")&amp;IF(DF121=1,"Thu ","")&amp;IF(DG121=1,"Fri ","")&amp;IF(DH121=1,"Sat ","")&amp;IF(DI121=1,"Sun ",""))</f>
        <v/>
      </c>
    </row>
    <row r="122">
      <c r="A122" s="48" t="inlineStr">
        <is>
          <t>S-O-00020</t>
        </is>
      </c>
      <c r="B122" s="48" t="inlineStr">
        <is>
          <t>Grace Nguyen</t>
        </is>
      </c>
      <c r="C122" s="48" t="inlineStr">
        <is>
          <t>grace.nguyen20@example.com</t>
        </is>
      </c>
      <c r="D122" s="48" t="inlineStr">
        <is>
          <t>+61 417 260 488</t>
        </is>
      </c>
      <c r="E122" s="48" t="inlineStr">
        <is>
          <t>Daniel Young</t>
        </is>
      </c>
      <c r="F122" s="48" t="inlineStr">
        <is>
          <t>+61 461 183 379</t>
        </is>
      </c>
      <c r="G122" s="48" t="inlineStr">
        <is>
          <t>Friend</t>
        </is>
      </c>
      <c r="H122" s="48" t="inlineStr">
        <is>
          <t>Student</t>
        </is>
      </c>
      <c r="I122" s="49" t="n">
        <v>45452</v>
      </c>
      <c r="J122" s="48" t="inlineStr">
        <is>
          <t>ADM-ACT-UNMAT</t>
        </is>
      </c>
      <c r="K122" s="48">
        <f>IFERROR(VLOOKUP(J122,'(A) Introduction'!$B$35:$C$45,2,FALSE),"")</f>
        <v/>
      </c>
      <c r="L122" s="48" t="inlineStr">
        <is>
          <t>No</t>
        </is>
      </c>
      <c r="M122" s="48" t="inlineStr"/>
      <c r="N122" s="48" t="inlineStr"/>
      <c r="O122" s="48" t="inlineStr">
        <is>
          <t>NA</t>
        </is>
      </c>
      <c r="P122" s="48">
        <f>IF($H122="Tutor",((BQ122&lt;&gt;"")*(BR122=""))+((BW122&lt;&gt;"")*(BX122=""))+((CC122&lt;&gt;"")*(CD122=""))+((CI122&lt;&gt;"")*(CJ122=""))+((CO122&lt;&gt;"")*(CP122="")),SUMPRODUCT(--($BO$3:$BO$202=$A122),--($BR$3:$BR$202=""))+SUMPRODUCT(--($BU$3:$BU$202=$A122),--($BX$3:$BX$202=""))+SUMPRODUCT(--($CA$3:$CA$202=$A122),--($CD$3:$CD$202=""))+SUMPRODUCT(--($CG$3:$CG$202=$A122),--($CJ$3:$CJ$202=""))+SUMPRODUCT(--($CM$3:$CM$202=$A122),--($CP$3:$CP$202="")))</f>
        <v/>
      </c>
      <c r="Q122" s="48">
        <f>IF($H122="Tutor",(BQ122&lt;&gt;"")+(BW122&lt;&gt;"")+(CC122&lt;&gt;"")+(CI122&lt;&gt;"")+(CO122&lt;&gt;""),SUMPRODUCT(--($BO$3:$BO$202=$A122))+SUMPRODUCT(--($BU$3:$BU$202=$A122))+SUMPRODUCT(--($CA$3:$CA$202=$A122))+SUMPRODUCT(--($CG$3:$CG$202=$A122))+SUMPRODUCT(--($CM$3:$CM$202=$A122)))</f>
        <v/>
      </c>
      <c r="R122" s="48">
        <f>IF($H122="Tutor",TRIM(IF(AND(BQ122&lt;&gt;"",BR122=""),BP122&amp;"; ","")&amp;IF(AND(BW122&lt;&gt;"",BX122=""),BV122&amp;"; ","")&amp;IF(AND(CC122&lt;&gt;"",CD122=""),CB122&amp;"; ","")&amp;IF(AND(CI122&lt;&gt;"",CJ122=""),CH122&amp;"; ","")&amp;IF(AND(CO122&lt;&gt;"",CP122=""),CN122&amp;"; ","")),IFERROR(INDEX($A$3:$B$202,(SUMPRODUCT(($BO$3:$BO$202=$A122)*($BR$3:$BR$202="")*ROW($BO$3:$BO$202))+SUMPRODUCT(($BU$3:$BU$202=$A122)*($BX$3:$BX$202="")*ROW($BU$3:$BU$202))+SUMPRODUCT(($CA$3:$CA$202=$A122)*($CD$3:$CD$202="")*ROW($CA$3:$CA$202))+SUMPRODUCT(($CG$3:$CG$202=$A122)*($CJ$3:$CJ$202="")*ROW($CG$3:$CG$202))+SUMPRODUCT(($CM$3:$CM$202=$A122)*($CP$3:$CP$202="")*ROW($CM$3:$CM$202)))-2,2),""))</f>
        <v/>
      </c>
      <c r="S122" s="48" t="inlineStr">
        <is>
          <t>Provided</t>
        </is>
      </c>
      <c r="T122" s="48" t="inlineStr"/>
      <c r="U122" s="48" t="inlineStr"/>
      <c r="V122" s="49" t="n">
        <v>46129</v>
      </c>
      <c r="W122" s="48" t="inlineStr">
        <is>
          <t>AEST (UTC+10)</t>
        </is>
      </c>
      <c r="X122" s="48" t="inlineStr">
        <is>
          <t>9am-12pm;12pm-3pm;3pm-6pm;</t>
        </is>
      </c>
      <c r="Y122" s="48" t="inlineStr">
        <is>
          <t>12pm-3pm;6pm-9pm;</t>
        </is>
      </c>
      <c r="Z122" s="48" t="inlineStr">
        <is>
          <t>3pm-6pm;</t>
        </is>
      </c>
      <c r="AA122" s="48" t="inlineStr">
        <is>
          <t>12pm-3pm;</t>
        </is>
      </c>
      <c r="AB122" s="48" t="inlineStr">
        <is>
          <t>NA;</t>
        </is>
      </c>
      <c r="AC122" s="48" t="inlineStr">
        <is>
          <t>NA;</t>
        </is>
      </c>
      <c r="AD122" s="48" t="inlineStr">
        <is>
          <t>9am-12pm;12pm-3pm;3pm-6pm;</t>
        </is>
      </c>
      <c r="AE122" s="48" t="inlineStr">
        <is>
          <t>Online</t>
        </is>
      </c>
      <c r="AF122" s="48" t="inlineStr">
        <is>
          <t>Computer</t>
        </is>
      </c>
      <c r="AG122" s="48" t="inlineStr">
        <is>
          <t>Australia</t>
        </is>
      </c>
      <c r="AH122" s="48" t="inlineStr">
        <is>
          <t>New South Wales</t>
        </is>
      </c>
      <c r="AI122" s="48" t="inlineStr">
        <is>
          <t>Bankstown</t>
        </is>
      </c>
      <c r="AJ122" s="48" t="inlineStr">
        <is>
          <t>2200</t>
        </is>
      </c>
      <c r="AK122" s="49" t="n">
        <v>28791</v>
      </c>
      <c r="AL122" s="48" t="inlineStr">
        <is>
          <t>Other</t>
        </is>
      </c>
      <c r="AM122" s="48" t="inlineStr">
        <is>
          <t>No</t>
        </is>
      </c>
      <c r="AN122" s="48" t="inlineStr">
        <is>
          <t>B1</t>
        </is>
      </c>
      <c r="AO122" s="48" t="inlineStr">
        <is>
          <t>Outstanding</t>
        </is>
      </c>
      <c r="AP122" s="48" t="inlineStr">
        <is>
          <t>Palestine; South Sudan</t>
        </is>
      </c>
      <c r="AQ122" s="48" t="inlineStr">
        <is>
          <t>NA</t>
        </is>
      </c>
      <c r="AR122" s="48" t="inlineStr">
        <is>
          <t>Pashto (B2)</t>
        </is>
      </c>
      <c r="AS122" s="48" t="inlineStr">
        <is>
          <t>None</t>
        </is>
      </c>
      <c r="AT122" s="48" t="inlineStr">
        <is>
          <t>Health &amp; Medicine</t>
        </is>
      </c>
      <c r="AU122" s="48" t="inlineStr">
        <is>
          <t>Retail</t>
        </is>
      </c>
      <c r="AV122" s="48" t="inlineStr">
        <is>
          <t>Medicine</t>
        </is>
      </c>
      <c r="AW122" s="48" t="inlineStr">
        <is>
          <t>Football; Cooking; Family</t>
        </is>
      </c>
      <c r="AX122" s="48" t="inlineStr">
        <is>
          <t>Asylum Seeker</t>
        </is>
      </c>
      <c r="AY122" s="48" t="inlineStr">
        <is>
          <t>No</t>
        </is>
      </c>
      <c r="AZ122" s="48" t="inlineStr">
        <is>
          <t>No</t>
        </is>
      </c>
      <c r="BA122" s="48" t="inlineStr">
        <is>
          <t>NA</t>
        </is>
      </c>
      <c r="BB122" s="48" t="inlineStr">
        <is>
          <t>NA</t>
        </is>
      </c>
      <c r="BC122" s="48" t="inlineStr">
        <is>
          <t>NA</t>
        </is>
      </c>
      <c r="BD122" s="48" t="inlineStr">
        <is>
          <t>NA</t>
        </is>
      </c>
      <c r="BE122" s="48" t="inlineStr"/>
      <c r="BF122" s="48" t="inlineStr"/>
      <c r="BG122" s="48" t="inlineStr">
        <is>
          <t>NA</t>
        </is>
      </c>
      <c r="BH122" s="48" t="inlineStr">
        <is>
          <t>NA - Student</t>
        </is>
      </c>
      <c r="BI122" s="48" t="inlineStr">
        <is>
          <t>Refugee Education Australia</t>
        </is>
      </c>
      <c r="BJ122" s="48" t="inlineStr">
        <is>
          <t>HERVIR Oliver</t>
        </is>
      </c>
      <c r="BK122" s="48" t="inlineStr">
        <is>
          <t>MCCRORIE John</t>
        </is>
      </c>
      <c r="BL122" s="48" t="inlineStr">
        <is>
          <t>Synthetic test record.</t>
        </is>
      </c>
      <c r="BM122" s="48" t="inlineStr"/>
      <c r="BN122" s="48">
        <f>TRIM(IF(AND($H122="Student",$J122="ADM-ACT-MAT-CNE"),"Invalid: Student cannot be CNE. ","")&amp;IF(AND($H122="Student",ISNUMBER($O122)),"Check: capacity set for a Student. ","")&amp;IF(AND(LEFT($J122,11)="ADM-ACT-MAT",$P122=0),"Check: matched status but 0 active pairings. ","")&amp;IF(AND($H122="Tutor",ISNUMBER($O122),$P122&gt;$O122),"Check: pairings exceed capacity. ","")&amp;IF(AND($BH122="Everyone",NOT(AND($BD122="Yes",$BG122="Yes"))),"Check: approved to tutor children but WWCC not provided/confirmed. ","")&amp;IF(AND($P122&gt;0,NOT(AND(OR(LEFT($AY122,3)="Yes",LEFT($AY122,2)="NA"),OR(LEFT($AZ122,3)="Yes",LEFT($AZ122,2)="NA")))),"Matched but vetting incomplete (interview/reference). ","")&amp;IF(COUNTIF($B$3:$B$600,$B122)&gt;1,"Duplicate participant name. ",""))</f>
        <v/>
      </c>
      <c r="BO122" s="48" t="inlineStr"/>
      <c r="BP122" s="48" t="inlineStr"/>
      <c r="BQ122" s="48" t="inlineStr"/>
      <c r="BR122" s="48" t="inlineStr"/>
      <c r="BS122" s="48" t="inlineStr"/>
      <c r="BT122" s="48" t="inlineStr"/>
      <c r="BU122" s="48" t="inlineStr"/>
      <c r="BV122" s="48" t="inlineStr"/>
      <c r="BW122" s="48" t="inlineStr"/>
      <c r="BX122" s="48" t="inlineStr"/>
      <c r="BY122" s="48" t="inlineStr"/>
      <c r="BZ122" s="48" t="inlineStr"/>
      <c r="CA122" s="48" t="inlineStr"/>
      <c r="CB122" s="48" t="inlineStr"/>
      <c r="CC122" s="48" t="inlineStr"/>
      <c r="CD122" s="48" t="inlineStr"/>
      <c r="CE122" s="48" t="inlineStr"/>
      <c r="CF122" s="48" t="inlineStr"/>
      <c r="CG122" s="48" t="inlineStr"/>
      <c r="CH122" s="48" t="inlineStr"/>
      <c r="CI122" s="48" t="inlineStr"/>
      <c r="CJ122" s="48" t="inlineStr"/>
      <c r="CK122" s="48" t="inlineStr"/>
      <c r="CL122" s="48" t="inlineStr"/>
      <c r="CM122" s="48" t="inlineStr"/>
      <c r="CN122" s="48" t="inlineStr"/>
      <c r="CO122" s="48" t="inlineStr"/>
      <c r="CP122" s="48" t="inlineStr"/>
      <c r="CQ122" s="48" t="inlineStr"/>
      <c r="CR122" s="48" t="inlineStr"/>
      <c r="CS122" s="48">
        <f>IF(LEFT($J122,3)="ERR",0,1)</f>
        <v/>
      </c>
      <c r="CT122" s="48">
        <f>IF(LEFT($J122,3)="ADM",1,0)</f>
        <v/>
      </c>
      <c r="CU122" s="48">
        <f>IF(OR($J122="ADM-ACT-MAT-CNE",$J122="ADM-ACT-MAT-CE",$J122="ADM-INACT-M&amp;T"),1,0)</f>
        <v/>
      </c>
      <c r="CV122" s="48">
        <f>IF(AND(CU122=1,ISNUMBER(M122),ISNUMBER(I122)),M122-I122,"")</f>
        <v/>
      </c>
      <c r="CW122" s="48">
        <f>IF(ISNUMBER(I122),TODAY()-I122,"")</f>
        <v/>
      </c>
      <c r="CX122" s="48">
        <f>IF(ISNUMBER(I122),DATE(YEAR(I122),MONTH(I122),1),"")</f>
        <v/>
      </c>
      <c r="CY122" s="48">
        <f>IFERROR(DATEDIF(AK122,TODAY(),"y"),"")</f>
        <v/>
      </c>
      <c r="CZ122" s="48">
        <f>IF(CY122="","",IF(CY122&lt;28,"18-27",IF(CY122&lt;38,"28-37",IF(CY122&lt;48,"38-47",IF(CY122&lt;58,"48-57",IF(CY122&lt;68,"58-67",IF(CY122&lt;78,"68-77","78+")))))) </f>
        <v/>
      </c>
      <c r="DA122" s="48">
        <f>IF(AND(BQ122&lt;&gt;"",BR122=""),N(BS122),0)+IF(AND(BW122&lt;&gt;"",BX122=""),N(BY122),0)+IF(AND(CC122&lt;&gt;"",CD122=""),N(CE122),0)+IF(AND(CI122&lt;&gt;"",CJ122=""),N(CK122),0)+IF(AND(CO122&lt;&gt;"",CP122=""),N(CQ122),0)</f>
        <v/>
      </c>
      <c r="DB122" s="48">
        <f>ROUND(IF(BQ122&lt;&gt;"",N(BS122)*MAX(0,((IF(BR122="",TODAY(),BR122))-BQ122)/7),0)+IF(BW122&lt;&gt;"",N(BY122)*MAX(0,((IF(BX122="",TODAY(),BX122))-BW122)/7),0)+IF(CC122&lt;&gt;"",N(CE122)*MAX(0,((IF(CD122="",TODAY(),CD122))-CC122)/7),0)+IF(CI122&lt;&gt;"",N(CK122)*MAX(0,((IF(CJ122="",TODAY(),CJ122))-CI122)/7),0)+IF(CO122&lt;&gt;"",N(CQ122)*MAX(0,((IF(CP122="",TODAY(),CP122))-CO122)/7),0),1)</f>
        <v/>
      </c>
      <c r="DC122" s="48">
        <f>IF(OR(TRIM(X122)="",TRIM(X122)="NA;",TRIM(X122)="NA"),0,1)</f>
        <v/>
      </c>
      <c r="DD122" s="48">
        <f>IF(OR(TRIM(Y122)="",TRIM(Y122)="NA;",TRIM(Y122)="NA"),0,1)</f>
        <v/>
      </c>
      <c r="DE122" s="48">
        <f>IF(OR(TRIM(Z122)="",TRIM(Z122)="NA;",TRIM(Z122)="NA"),0,1)</f>
        <v/>
      </c>
      <c r="DF122" s="48">
        <f>IF(OR(TRIM(AA122)="",TRIM(AA122)="NA;",TRIM(AA122)="NA"),0,1)</f>
        <v/>
      </c>
      <c r="DG122" s="48">
        <f>IF(OR(TRIM(AB122)="",TRIM(AB122)="NA;",TRIM(AB122)="NA"),0,1)</f>
        <v/>
      </c>
      <c r="DH122" s="48">
        <f>IF(OR(TRIM(AC122)="",TRIM(AC122)="NA;",TRIM(AC122)="NA"),0,1)</f>
        <v/>
      </c>
      <c r="DI122" s="48">
        <f>IF(OR(TRIM(AD122)="",TRIM(AD122)="NA;",TRIM(AD122)="NA"),0,1)</f>
        <v/>
      </c>
      <c r="DJ122" s="48">
        <f>TRIM(IF(DC122=1,"Mon ","")&amp;IF(DD122=1,"Tue ","")&amp;IF(DE122=1,"Wed ","")&amp;IF(DF122=1,"Thu ","")&amp;IF(DG122=1,"Fri ","")&amp;IF(DH122=1,"Sat ","")&amp;IF(DI122=1,"Sun ",""))</f>
        <v/>
      </c>
    </row>
    <row r="123">
      <c r="A123" s="48" t="inlineStr">
        <is>
          <t>S-O-00021</t>
        </is>
      </c>
      <c r="B123" s="48" t="inlineStr">
        <is>
          <t>Daniel Taylor</t>
        </is>
      </c>
      <c r="C123" s="48" t="inlineStr">
        <is>
          <t>daniel.taylor21@example.com</t>
        </is>
      </c>
      <c r="D123" s="48" t="inlineStr">
        <is>
          <t>+61 439 591 352</t>
        </is>
      </c>
      <c r="E123" s="48" t="inlineStr">
        <is>
          <t>Chloe Slaytor</t>
        </is>
      </c>
      <c r="F123" s="48" t="inlineStr">
        <is>
          <t>+61 451 628 671</t>
        </is>
      </c>
      <c r="G123" s="48" t="inlineStr">
        <is>
          <t>Friend</t>
        </is>
      </c>
      <c r="H123" s="48" t="inlineStr">
        <is>
          <t>Student</t>
        </is>
      </c>
      <c r="I123" s="49" t="n">
        <v>45453</v>
      </c>
      <c r="J123" s="48" t="inlineStr">
        <is>
          <t>ADM-ACT-MAT-CE</t>
        </is>
      </c>
      <c r="K123" s="48">
        <f>IFERROR(VLOOKUP(J123,'(A) Introduction'!$B$35:$C$45,2,FALSE),"")</f>
        <v/>
      </c>
      <c r="L123" s="48" t="inlineStr">
        <is>
          <t>No</t>
        </is>
      </c>
      <c r="M123" s="49" t="n">
        <v>45494</v>
      </c>
      <c r="N123" s="48" t="inlineStr"/>
      <c r="O123" s="48" t="inlineStr">
        <is>
          <t>NA</t>
        </is>
      </c>
      <c r="P123" s="48">
        <f>IF($H123="Tutor",((BQ123&lt;&gt;"")*(BR123=""))+((BW123&lt;&gt;"")*(BX123=""))+((CC123&lt;&gt;"")*(CD123=""))+((CI123&lt;&gt;"")*(CJ123=""))+((CO123&lt;&gt;"")*(CP123="")),SUMPRODUCT(--($BO$3:$BO$202=$A123),--($BR$3:$BR$202=""))+SUMPRODUCT(--($BU$3:$BU$202=$A123),--($BX$3:$BX$202=""))+SUMPRODUCT(--($CA$3:$CA$202=$A123),--($CD$3:$CD$202=""))+SUMPRODUCT(--($CG$3:$CG$202=$A123),--($CJ$3:$CJ$202=""))+SUMPRODUCT(--($CM$3:$CM$202=$A123),--($CP$3:$CP$202="")))</f>
        <v/>
      </c>
      <c r="Q123" s="48">
        <f>IF($H123="Tutor",(BQ123&lt;&gt;"")+(BW123&lt;&gt;"")+(CC123&lt;&gt;"")+(CI123&lt;&gt;"")+(CO123&lt;&gt;""),SUMPRODUCT(--($BO$3:$BO$202=$A123))+SUMPRODUCT(--($BU$3:$BU$202=$A123))+SUMPRODUCT(--($CA$3:$CA$202=$A123))+SUMPRODUCT(--($CG$3:$CG$202=$A123))+SUMPRODUCT(--($CM$3:$CM$202=$A123)))</f>
        <v/>
      </c>
      <c r="R123" s="48">
        <f>IF($H123="Tutor",TRIM(IF(AND(BQ123&lt;&gt;"",BR123=""),BP123&amp;"; ","")&amp;IF(AND(BW123&lt;&gt;"",BX123=""),BV123&amp;"; ","")&amp;IF(AND(CC123&lt;&gt;"",CD123=""),CB123&amp;"; ","")&amp;IF(AND(CI123&lt;&gt;"",CJ123=""),CH123&amp;"; ","")&amp;IF(AND(CO123&lt;&gt;"",CP123=""),CN123&amp;"; ","")),IFERROR(INDEX($A$3:$B$202,(SUMPRODUCT(($BO$3:$BO$202=$A123)*($BR$3:$BR$202="")*ROW($BO$3:$BO$202))+SUMPRODUCT(($BU$3:$BU$202=$A123)*($BX$3:$BX$202="")*ROW($BU$3:$BU$202))+SUMPRODUCT(($CA$3:$CA$202=$A123)*($CD$3:$CD$202="")*ROW($CA$3:$CA$202))+SUMPRODUCT(($CG$3:$CG$202=$A123)*($CJ$3:$CJ$202="")*ROW($CG$3:$CG$202))+SUMPRODUCT(($CM$3:$CM$202=$A123)*($CP$3:$CP$202="")*ROW($CM$3:$CM$202)))-2,2),""))</f>
        <v/>
      </c>
      <c r="S123" s="48" t="inlineStr">
        <is>
          <t>NA</t>
        </is>
      </c>
      <c r="T123" s="48" t="inlineStr"/>
      <c r="U123" s="48" t="inlineStr"/>
      <c r="V123" s="49" t="n">
        <v>46049</v>
      </c>
      <c r="W123" s="48" t="inlineStr">
        <is>
          <t>AEST (UTC+10)</t>
        </is>
      </c>
      <c r="X123" s="48" t="inlineStr">
        <is>
          <t>6pm-9pm;</t>
        </is>
      </c>
      <c r="Y123" s="48" t="inlineStr">
        <is>
          <t>12pm-3pm;</t>
        </is>
      </c>
      <c r="Z123" s="48" t="inlineStr">
        <is>
          <t>6pm-9pm;</t>
        </is>
      </c>
      <c r="AA123" s="48" t="inlineStr">
        <is>
          <t>9am-12pm;</t>
        </is>
      </c>
      <c r="AB123" s="48" t="inlineStr">
        <is>
          <t>6pm-9pm;</t>
        </is>
      </c>
      <c r="AC123" s="48" t="inlineStr">
        <is>
          <t>12pm-3pm;</t>
        </is>
      </c>
      <c r="AD123" s="48" t="inlineStr">
        <is>
          <t>9am-12pm;12pm-3pm;3pm-6pm;</t>
        </is>
      </c>
      <c r="AE123" s="48" t="inlineStr">
        <is>
          <t>In-Person</t>
        </is>
      </c>
      <c r="AF123" s="48" t="inlineStr">
        <is>
          <t>Tablet</t>
        </is>
      </c>
      <c r="AG123" s="48" t="inlineStr">
        <is>
          <t>Australia</t>
        </is>
      </c>
      <c r="AH123" s="48" t="inlineStr">
        <is>
          <t>New South Wales</t>
        </is>
      </c>
      <c r="AI123" s="48" t="inlineStr">
        <is>
          <t>Doonside</t>
        </is>
      </c>
      <c r="AJ123" s="48" t="inlineStr">
        <is>
          <t>2767</t>
        </is>
      </c>
      <c r="AK123" s="49" t="n">
        <v>35768</v>
      </c>
      <c r="AL123" s="48" t="inlineStr">
        <is>
          <t>Other</t>
        </is>
      </c>
      <c r="AM123" s="48" t="inlineStr">
        <is>
          <t>No</t>
        </is>
      </c>
      <c r="AN123" s="48" t="inlineStr">
        <is>
          <t>A2</t>
        </is>
      </c>
      <c r="AO123" s="48" t="inlineStr">
        <is>
          <t>Outstanding</t>
        </is>
      </c>
      <c r="AP123" s="48" t="inlineStr">
        <is>
          <t>Iraq</t>
        </is>
      </c>
      <c r="AQ123" s="48" t="inlineStr">
        <is>
          <t>NA</t>
        </is>
      </c>
      <c r="AR123" s="48" t="inlineStr">
        <is>
          <t>Spanish (C1)</t>
        </is>
      </c>
      <c r="AS123" s="48" t="inlineStr">
        <is>
          <t>NA</t>
        </is>
      </c>
      <c r="AT123" s="48" t="inlineStr">
        <is>
          <t>Social &amp; Community Services</t>
        </is>
      </c>
      <c r="AU123" s="48" t="inlineStr">
        <is>
          <t>Cleaner</t>
        </is>
      </c>
      <c r="AV123" s="48" t="inlineStr">
        <is>
          <t>Engineering</t>
        </is>
      </c>
      <c r="AW123" s="48" t="inlineStr">
        <is>
          <t>Cooking; Reading; Music</t>
        </is>
      </c>
      <c r="AX123" s="48" t="inlineStr">
        <is>
          <t>Asylum Seeker</t>
        </is>
      </c>
      <c r="AY123" s="48" t="inlineStr">
        <is>
          <t>Yes</t>
        </is>
      </c>
      <c r="AZ123" s="48" t="inlineStr">
        <is>
          <t>No</t>
        </is>
      </c>
      <c r="BA123" s="48" t="inlineStr">
        <is>
          <t>NA</t>
        </is>
      </c>
      <c r="BB123" s="48" t="inlineStr">
        <is>
          <t>NA</t>
        </is>
      </c>
      <c r="BC123" s="48" t="inlineStr">
        <is>
          <t>NA</t>
        </is>
      </c>
      <c r="BD123" s="48" t="inlineStr">
        <is>
          <t>NA</t>
        </is>
      </c>
      <c r="BE123" s="48" t="inlineStr"/>
      <c r="BF123" s="48" t="inlineStr"/>
      <c r="BG123" s="48" t="inlineStr">
        <is>
          <t>NA</t>
        </is>
      </c>
      <c r="BH123" s="48" t="inlineStr">
        <is>
          <t>NA - Student</t>
        </is>
      </c>
      <c r="BI123" s="48" t="inlineStr">
        <is>
          <t>Ayelet</t>
        </is>
      </c>
      <c r="BJ123" s="48" t="inlineStr">
        <is>
          <t>SINGH Veera</t>
        </is>
      </c>
      <c r="BK123" s="48" t="inlineStr">
        <is>
          <t>AGARWAL Akanksha</t>
        </is>
      </c>
      <c r="BL123" s="48" t="inlineStr">
        <is>
          <t>Synthetic test record.</t>
        </is>
      </c>
      <c r="BM123" s="48" t="inlineStr"/>
      <c r="BN123" s="48">
        <f>TRIM(IF(AND($H123="Student",$J123="ADM-ACT-MAT-CNE"),"Invalid: Student cannot be CNE. ","")&amp;IF(AND($H123="Student",ISNUMBER($O123)),"Check: capacity set for a Student. ","")&amp;IF(AND(LEFT($J123,11)="ADM-ACT-MAT",$P123=0),"Check: matched status but 0 active pairings. ","")&amp;IF(AND($H123="Tutor",ISNUMBER($O123),$P123&gt;$O123),"Check: pairings exceed capacity. ","")&amp;IF(AND($BH123="Everyone",NOT(AND($BD123="Yes",$BG123="Yes"))),"Check: approved to tutor children but WWCC not provided/confirmed. ","")&amp;IF(AND($P123&gt;0,NOT(AND(OR(LEFT($AY123,3)="Yes",LEFT($AY123,2)="NA"),OR(LEFT($AZ123,3)="Yes",LEFT($AZ123,2)="NA")))),"Matched but vetting incomplete (interview/reference). ","")&amp;IF(COUNTIF($B$3:$B$600,$B123)&gt;1,"Duplicate participant name. ",""))</f>
        <v/>
      </c>
      <c r="BO123" s="48" t="inlineStr"/>
      <c r="BP123" s="48" t="inlineStr"/>
      <c r="BQ123" s="48" t="inlineStr"/>
      <c r="BR123" s="48" t="inlineStr"/>
      <c r="BS123" s="48" t="inlineStr"/>
      <c r="BT123" s="48" t="inlineStr"/>
      <c r="BU123" s="48" t="inlineStr"/>
      <c r="BV123" s="48" t="inlineStr"/>
      <c r="BW123" s="48" t="inlineStr"/>
      <c r="BX123" s="48" t="inlineStr"/>
      <c r="BY123" s="48" t="inlineStr"/>
      <c r="BZ123" s="48" t="inlineStr"/>
      <c r="CA123" s="48" t="inlineStr"/>
      <c r="CB123" s="48" t="inlineStr"/>
      <c r="CC123" s="48" t="inlineStr"/>
      <c r="CD123" s="48" t="inlineStr"/>
      <c r="CE123" s="48" t="inlineStr"/>
      <c r="CF123" s="48" t="inlineStr"/>
      <c r="CG123" s="48" t="inlineStr"/>
      <c r="CH123" s="48" t="inlineStr"/>
      <c r="CI123" s="48" t="inlineStr"/>
      <c r="CJ123" s="48" t="inlineStr"/>
      <c r="CK123" s="48" t="inlineStr"/>
      <c r="CL123" s="48" t="inlineStr"/>
      <c r="CM123" s="48" t="inlineStr"/>
      <c r="CN123" s="48" t="inlineStr"/>
      <c r="CO123" s="48" t="inlineStr"/>
      <c r="CP123" s="48" t="inlineStr"/>
      <c r="CQ123" s="48" t="inlineStr"/>
      <c r="CR123" s="48" t="inlineStr"/>
      <c r="CS123" s="48">
        <f>IF(LEFT($J123,3)="ERR",0,1)</f>
        <v/>
      </c>
      <c r="CT123" s="48">
        <f>IF(LEFT($J123,3)="ADM",1,0)</f>
        <v/>
      </c>
      <c r="CU123" s="48">
        <f>IF(OR($J123="ADM-ACT-MAT-CNE",$J123="ADM-ACT-MAT-CE",$J123="ADM-INACT-M&amp;T"),1,0)</f>
        <v/>
      </c>
      <c r="CV123" s="48">
        <f>IF(AND(CU123=1,ISNUMBER(M123),ISNUMBER(I123)),M123-I123,"")</f>
        <v/>
      </c>
      <c r="CW123" s="48">
        <f>IF(ISNUMBER(I123),TODAY()-I123,"")</f>
        <v/>
      </c>
      <c r="CX123" s="48">
        <f>IF(ISNUMBER(I123),DATE(YEAR(I123),MONTH(I123),1),"")</f>
        <v/>
      </c>
      <c r="CY123" s="48">
        <f>IFERROR(DATEDIF(AK123,TODAY(),"y"),"")</f>
        <v/>
      </c>
      <c r="CZ123" s="48">
        <f>IF(CY123="","",IF(CY123&lt;28,"18-27",IF(CY123&lt;38,"28-37",IF(CY123&lt;48,"38-47",IF(CY123&lt;58,"48-57",IF(CY123&lt;68,"58-67",IF(CY123&lt;78,"68-77","78+")))))) </f>
        <v/>
      </c>
      <c r="DA123" s="48">
        <f>IF(AND(BQ123&lt;&gt;"",BR123=""),N(BS123),0)+IF(AND(BW123&lt;&gt;"",BX123=""),N(BY123),0)+IF(AND(CC123&lt;&gt;"",CD123=""),N(CE123),0)+IF(AND(CI123&lt;&gt;"",CJ123=""),N(CK123),0)+IF(AND(CO123&lt;&gt;"",CP123=""),N(CQ123),0)</f>
        <v/>
      </c>
      <c r="DB123" s="48">
        <f>ROUND(IF(BQ123&lt;&gt;"",N(BS123)*MAX(0,((IF(BR123="",TODAY(),BR123))-BQ123)/7),0)+IF(BW123&lt;&gt;"",N(BY123)*MAX(0,((IF(BX123="",TODAY(),BX123))-BW123)/7),0)+IF(CC123&lt;&gt;"",N(CE123)*MAX(0,((IF(CD123="",TODAY(),CD123))-CC123)/7),0)+IF(CI123&lt;&gt;"",N(CK123)*MAX(0,((IF(CJ123="",TODAY(),CJ123))-CI123)/7),0)+IF(CO123&lt;&gt;"",N(CQ123)*MAX(0,((IF(CP123="",TODAY(),CP123))-CO123)/7),0),1)</f>
        <v/>
      </c>
      <c r="DC123" s="48">
        <f>IF(OR(TRIM(X123)="",TRIM(X123)="NA;",TRIM(X123)="NA"),0,1)</f>
        <v/>
      </c>
      <c r="DD123" s="48">
        <f>IF(OR(TRIM(Y123)="",TRIM(Y123)="NA;",TRIM(Y123)="NA"),0,1)</f>
        <v/>
      </c>
      <c r="DE123" s="48">
        <f>IF(OR(TRIM(Z123)="",TRIM(Z123)="NA;",TRIM(Z123)="NA"),0,1)</f>
        <v/>
      </c>
      <c r="DF123" s="48">
        <f>IF(OR(TRIM(AA123)="",TRIM(AA123)="NA;",TRIM(AA123)="NA"),0,1)</f>
        <v/>
      </c>
      <c r="DG123" s="48">
        <f>IF(OR(TRIM(AB123)="",TRIM(AB123)="NA;",TRIM(AB123)="NA"),0,1)</f>
        <v/>
      </c>
      <c r="DH123" s="48">
        <f>IF(OR(TRIM(AC123)="",TRIM(AC123)="NA;",TRIM(AC123)="NA"),0,1)</f>
        <v/>
      </c>
      <c r="DI123" s="48">
        <f>IF(OR(TRIM(AD123)="",TRIM(AD123)="NA;",TRIM(AD123)="NA"),0,1)</f>
        <v/>
      </c>
      <c r="DJ123" s="48">
        <f>TRIM(IF(DC123=1,"Mon ","")&amp;IF(DD123=1,"Tue ","")&amp;IF(DE123=1,"Wed ","")&amp;IF(DF123=1,"Thu ","")&amp;IF(DG123=1,"Fri ","")&amp;IF(DH123=1,"Sat ","")&amp;IF(DI123=1,"Sun ",""))</f>
        <v/>
      </c>
    </row>
    <row r="124">
      <c r="A124" s="48" t="inlineStr">
        <is>
          <t>S-O-00022</t>
        </is>
      </c>
      <c r="B124" s="48" t="inlineStr">
        <is>
          <t>Anya Green</t>
        </is>
      </c>
      <c r="C124" s="48" t="inlineStr">
        <is>
          <t>anya.green22@example.com</t>
        </is>
      </c>
      <c r="D124" s="48" t="inlineStr">
        <is>
          <t>+61 499 839 179</t>
        </is>
      </c>
      <c r="E124" s="48" t="inlineStr">
        <is>
          <t>Ben Hassan</t>
        </is>
      </c>
      <c r="F124" s="48" t="inlineStr">
        <is>
          <t>+61 411 562 291</t>
        </is>
      </c>
      <c r="G124" s="48" t="inlineStr">
        <is>
          <t>Caseworker</t>
        </is>
      </c>
      <c r="H124" s="48" t="inlineStr">
        <is>
          <t>Student</t>
        </is>
      </c>
      <c r="I124" s="49" t="n">
        <v>45457</v>
      </c>
      <c r="J124" s="48" t="inlineStr">
        <is>
          <t>ADM-ACT-MAT-CE</t>
        </is>
      </c>
      <c r="K124" s="48">
        <f>IFERROR(VLOOKUP(J124,'(A) Introduction'!$B$35:$C$45,2,FALSE),"")</f>
        <v/>
      </c>
      <c r="L124" s="48" t="inlineStr">
        <is>
          <t>No</t>
        </is>
      </c>
      <c r="M124" s="49" t="n">
        <v>45484</v>
      </c>
      <c r="N124" s="48" t="inlineStr"/>
      <c r="O124" s="48" t="inlineStr">
        <is>
          <t>NA</t>
        </is>
      </c>
      <c r="P124" s="48">
        <f>IF($H124="Tutor",((BQ124&lt;&gt;"")*(BR124=""))+((BW124&lt;&gt;"")*(BX124=""))+((CC124&lt;&gt;"")*(CD124=""))+((CI124&lt;&gt;"")*(CJ124=""))+((CO124&lt;&gt;"")*(CP124="")),SUMPRODUCT(--($BO$3:$BO$202=$A124),--($BR$3:$BR$202=""))+SUMPRODUCT(--($BU$3:$BU$202=$A124),--($BX$3:$BX$202=""))+SUMPRODUCT(--($CA$3:$CA$202=$A124),--($CD$3:$CD$202=""))+SUMPRODUCT(--($CG$3:$CG$202=$A124),--($CJ$3:$CJ$202=""))+SUMPRODUCT(--($CM$3:$CM$202=$A124),--($CP$3:$CP$202="")))</f>
        <v/>
      </c>
      <c r="Q124" s="48">
        <f>IF($H124="Tutor",(BQ124&lt;&gt;"")+(BW124&lt;&gt;"")+(CC124&lt;&gt;"")+(CI124&lt;&gt;"")+(CO124&lt;&gt;""),SUMPRODUCT(--($BO$3:$BO$202=$A124))+SUMPRODUCT(--($BU$3:$BU$202=$A124))+SUMPRODUCT(--($CA$3:$CA$202=$A124))+SUMPRODUCT(--($CG$3:$CG$202=$A124))+SUMPRODUCT(--($CM$3:$CM$202=$A124)))</f>
        <v/>
      </c>
      <c r="R124" s="48">
        <f>IF($H124="Tutor",TRIM(IF(AND(BQ124&lt;&gt;"",BR124=""),BP124&amp;"; ","")&amp;IF(AND(BW124&lt;&gt;"",BX124=""),BV124&amp;"; ","")&amp;IF(AND(CC124&lt;&gt;"",CD124=""),CB124&amp;"; ","")&amp;IF(AND(CI124&lt;&gt;"",CJ124=""),CH124&amp;"; ","")&amp;IF(AND(CO124&lt;&gt;"",CP124=""),CN124&amp;"; ","")),IFERROR(INDEX($A$3:$B$202,(SUMPRODUCT(($BO$3:$BO$202=$A124)*($BR$3:$BR$202="")*ROW($BO$3:$BO$202))+SUMPRODUCT(($BU$3:$BU$202=$A124)*($BX$3:$BX$202="")*ROW($BU$3:$BU$202))+SUMPRODUCT(($CA$3:$CA$202=$A124)*($CD$3:$CD$202="")*ROW($CA$3:$CA$202))+SUMPRODUCT(($CG$3:$CG$202=$A124)*($CJ$3:$CJ$202="")*ROW($CG$3:$CG$202))+SUMPRODUCT(($CM$3:$CM$202=$A124)*($CP$3:$CP$202="")*ROW($CM$3:$CM$202)))-2,2),""))</f>
        <v/>
      </c>
      <c r="S124" s="48" t="inlineStr">
        <is>
          <t>Not Provided</t>
        </is>
      </c>
      <c r="T124" s="48" t="inlineStr"/>
      <c r="U124" s="48" t="inlineStr"/>
      <c r="V124" s="49" t="n">
        <v>45897</v>
      </c>
      <c r="W124" s="48" t="inlineStr">
        <is>
          <t>AEST (UTC+10)</t>
        </is>
      </c>
      <c r="X124" s="48" t="inlineStr">
        <is>
          <t>12pm-3pm;</t>
        </is>
      </c>
      <c r="Y124" s="48" t="inlineStr">
        <is>
          <t>9am-12pm;12pm-3pm;3pm-6pm;</t>
        </is>
      </c>
      <c r="Z124" s="48" t="inlineStr">
        <is>
          <t>3pm-6pm;</t>
        </is>
      </c>
      <c r="AA124" s="48" t="inlineStr">
        <is>
          <t>12pm-3pm;</t>
        </is>
      </c>
      <c r="AB124" s="48" t="inlineStr">
        <is>
          <t>NA;</t>
        </is>
      </c>
      <c r="AC124" s="48" t="inlineStr">
        <is>
          <t>9am-12pm;12pm-3pm;3pm-6pm;</t>
        </is>
      </c>
      <c r="AD124" s="48" t="inlineStr">
        <is>
          <t>9am-12pm;12pm-3pm;3pm-6pm;</t>
        </is>
      </c>
      <c r="AE124" s="48" t="inlineStr">
        <is>
          <t>Either</t>
        </is>
      </c>
      <c r="AF124" s="48" t="inlineStr">
        <is>
          <t>Phone</t>
        </is>
      </c>
      <c r="AG124" s="48" t="inlineStr">
        <is>
          <t>Australia</t>
        </is>
      </c>
      <c r="AH124" s="48" t="inlineStr">
        <is>
          <t>New South Wales</t>
        </is>
      </c>
      <c r="AI124" s="48" t="inlineStr">
        <is>
          <t>Epping</t>
        </is>
      </c>
      <c r="AJ124" s="48" t="inlineStr">
        <is>
          <t>2121</t>
        </is>
      </c>
      <c r="AK124" s="49" t="n">
        <v>32726</v>
      </c>
      <c r="AL124" s="48" t="inlineStr">
        <is>
          <t>Female</t>
        </is>
      </c>
      <c r="AM124" s="48" t="inlineStr">
        <is>
          <t>No</t>
        </is>
      </c>
      <c r="AN124" s="48" t="inlineStr">
        <is>
          <t>B1</t>
        </is>
      </c>
      <c r="AO124" s="48" t="inlineStr">
        <is>
          <t>Moderate</t>
        </is>
      </c>
      <c r="AP124" s="48" t="inlineStr">
        <is>
          <t>Iraq</t>
        </is>
      </c>
      <c r="AQ124" s="48" t="inlineStr">
        <is>
          <t>NA</t>
        </is>
      </c>
      <c r="AR124" s="48" t="inlineStr">
        <is>
          <t>Ukrainian (C1)</t>
        </is>
      </c>
      <c r="AS124" s="48" t="inlineStr">
        <is>
          <t>None</t>
        </is>
      </c>
      <c r="AT124" s="48" t="inlineStr">
        <is>
          <t>Other / Unspecified</t>
        </is>
      </c>
      <c r="AU124" s="48" t="inlineStr">
        <is>
          <t>Cleaner</t>
        </is>
      </c>
      <c r="AV124" s="48" t="inlineStr">
        <is>
          <t>Nursing</t>
        </is>
      </c>
      <c r="AW124" s="48" t="inlineStr">
        <is>
          <t>Reading; Politics; Music</t>
        </is>
      </c>
      <c r="AX124" s="48" t="inlineStr">
        <is>
          <t>Asylum Seeker</t>
        </is>
      </c>
      <c r="AY124" s="48" t="inlineStr">
        <is>
          <t>NA - RELT Member Verified</t>
        </is>
      </c>
      <c r="AZ124" s="48" t="inlineStr">
        <is>
          <t>Yes</t>
        </is>
      </c>
      <c r="BA124" s="48" t="inlineStr">
        <is>
          <t>NA</t>
        </is>
      </c>
      <c r="BB124" s="48" t="inlineStr">
        <is>
          <t>NA</t>
        </is>
      </c>
      <c r="BC124" s="48" t="inlineStr">
        <is>
          <t>NA</t>
        </is>
      </c>
      <c r="BD124" s="48" t="inlineStr">
        <is>
          <t>NA</t>
        </is>
      </c>
      <c r="BE124" s="48" t="inlineStr"/>
      <c r="BF124" s="48" t="inlineStr"/>
      <c r="BG124" s="48" t="inlineStr">
        <is>
          <t>NA</t>
        </is>
      </c>
      <c r="BH124" s="48" t="inlineStr">
        <is>
          <t>NA - Student</t>
        </is>
      </c>
      <c r="BI124" s="48" t="inlineStr">
        <is>
          <t>University of Sydney (including St. Paul's College)</t>
        </is>
      </c>
      <c r="BJ124" s="48" t="inlineStr">
        <is>
          <t>AGARWAL Akanksha</t>
        </is>
      </c>
      <c r="BK124" s="48" t="inlineStr">
        <is>
          <t>ZULMAN Levi</t>
        </is>
      </c>
      <c r="BL124" s="48" t="inlineStr">
        <is>
          <t>Synthetic test record.</t>
        </is>
      </c>
      <c r="BM124" s="48" t="inlineStr"/>
      <c r="BN124" s="48">
        <f>TRIM(IF(AND($H124="Student",$J124="ADM-ACT-MAT-CNE"),"Invalid: Student cannot be CNE. ","")&amp;IF(AND($H124="Student",ISNUMBER($O124)),"Check: capacity set for a Student. ","")&amp;IF(AND(LEFT($J124,11)="ADM-ACT-MAT",$P124=0),"Check: matched status but 0 active pairings. ","")&amp;IF(AND($H124="Tutor",ISNUMBER($O124),$P124&gt;$O124),"Check: pairings exceed capacity. ","")&amp;IF(AND($BH124="Everyone",NOT(AND($BD124="Yes",$BG124="Yes"))),"Check: approved to tutor children but WWCC not provided/confirmed. ","")&amp;IF(AND($P124&gt;0,NOT(AND(OR(LEFT($AY124,3)="Yes",LEFT($AY124,2)="NA"),OR(LEFT($AZ124,3)="Yes",LEFT($AZ124,2)="NA")))),"Matched but vetting incomplete (interview/reference). ","")&amp;IF(COUNTIF($B$3:$B$600,$B124)&gt;1,"Duplicate participant name. ",""))</f>
        <v/>
      </c>
      <c r="BO124" s="48" t="inlineStr"/>
      <c r="BP124" s="48" t="inlineStr"/>
      <c r="BQ124" s="48" t="inlineStr"/>
      <c r="BR124" s="48" t="inlineStr"/>
      <c r="BS124" s="48" t="inlineStr"/>
      <c r="BT124" s="48" t="inlineStr"/>
      <c r="BU124" s="48" t="inlineStr"/>
      <c r="BV124" s="48" t="inlineStr"/>
      <c r="BW124" s="48" t="inlineStr"/>
      <c r="BX124" s="48" t="inlineStr"/>
      <c r="BY124" s="48" t="inlineStr"/>
      <c r="BZ124" s="48" t="inlineStr"/>
      <c r="CA124" s="48" t="inlineStr"/>
      <c r="CB124" s="48" t="inlineStr"/>
      <c r="CC124" s="48" t="inlineStr"/>
      <c r="CD124" s="48" t="inlineStr"/>
      <c r="CE124" s="48" t="inlineStr"/>
      <c r="CF124" s="48" t="inlineStr"/>
      <c r="CG124" s="48" t="inlineStr"/>
      <c r="CH124" s="48" t="inlineStr"/>
      <c r="CI124" s="48" t="inlineStr"/>
      <c r="CJ124" s="48" t="inlineStr"/>
      <c r="CK124" s="48" t="inlineStr"/>
      <c r="CL124" s="48" t="inlineStr"/>
      <c r="CM124" s="48" t="inlineStr"/>
      <c r="CN124" s="48" t="inlineStr"/>
      <c r="CO124" s="48" t="inlineStr"/>
      <c r="CP124" s="48" t="inlineStr"/>
      <c r="CQ124" s="48" t="inlineStr"/>
      <c r="CR124" s="48" t="inlineStr"/>
      <c r="CS124" s="48">
        <f>IF(LEFT($J124,3)="ERR",0,1)</f>
        <v/>
      </c>
      <c r="CT124" s="48">
        <f>IF(LEFT($J124,3)="ADM",1,0)</f>
        <v/>
      </c>
      <c r="CU124" s="48">
        <f>IF(OR($J124="ADM-ACT-MAT-CNE",$J124="ADM-ACT-MAT-CE",$J124="ADM-INACT-M&amp;T"),1,0)</f>
        <v/>
      </c>
      <c r="CV124" s="48">
        <f>IF(AND(CU124=1,ISNUMBER(M124),ISNUMBER(I124)),M124-I124,"")</f>
        <v/>
      </c>
      <c r="CW124" s="48">
        <f>IF(ISNUMBER(I124),TODAY()-I124,"")</f>
        <v/>
      </c>
      <c r="CX124" s="48">
        <f>IF(ISNUMBER(I124),DATE(YEAR(I124),MONTH(I124),1),"")</f>
        <v/>
      </c>
      <c r="CY124" s="48">
        <f>IFERROR(DATEDIF(AK124,TODAY(),"y"),"")</f>
        <v/>
      </c>
      <c r="CZ124" s="48">
        <f>IF(CY124="","",IF(CY124&lt;28,"18-27",IF(CY124&lt;38,"28-37",IF(CY124&lt;48,"38-47",IF(CY124&lt;58,"48-57",IF(CY124&lt;68,"58-67",IF(CY124&lt;78,"68-77","78+")))))) </f>
        <v/>
      </c>
      <c r="DA124" s="48">
        <f>IF(AND(BQ124&lt;&gt;"",BR124=""),N(BS124),0)+IF(AND(BW124&lt;&gt;"",BX124=""),N(BY124),0)+IF(AND(CC124&lt;&gt;"",CD124=""),N(CE124),0)+IF(AND(CI124&lt;&gt;"",CJ124=""),N(CK124),0)+IF(AND(CO124&lt;&gt;"",CP124=""),N(CQ124),0)</f>
        <v/>
      </c>
      <c r="DB124" s="48">
        <f>ROUND(IF(BQ124&lt;&gt;"",N(BS124)*MAX(0,((IF(BR124="",TODAY(),BR124))-BQ124)/7),0)+IF(BW124&lt;&gt;"",N(BY124)*MAX(0,((IF(BX124="",TODAY(),BX124))-BW124)/7),0)+IF(CC124&lt;&gt;"",N(CE124)*MAX(0,((IF(CD124="",TODAY(),CD124))-CC124)/7),0)+IF(CI124&lt;&gt;"",N(CK124)*MAX(0,((IF(CJ124="",TODAY(),CJ124))-CI124)/7),0)+IF(CO124&lt;&gt;"",N(CQ124)*MAX(0,((IF(CP124="",TODAY(),CP124))-CO124)/7),0),1)</f>
        <v/>
      </c>
      <c r="DC124" s="48">
        <f>IF(OR(TRIM(X124)="",TRIM(X124)="NA;",TRIM(X124)="NA"),0,1)</f>
        <v/>
      </c>
      <c r="DD124" s="48">
        <f>IF(OR(TRIM(Y124)="",TRIM(Y124)="NA;",TRIM(Y124)="NA"),0,1)</f>
        <v/>
      </c>
      <c r="DE124" s="48">
        <f>IF(OR(TRIM(Z124)="",TRIM(Z124)="NA;",TRIM(Z124)="NA"),0,1)</f>
        <v/>
      </c>
      <c r="DF124" s="48">
        <f>IF(OR(TRIM(AA124)="",TRIM(AA124)="NA;",TRIM(AA124)="NA"),0,1)</f>
        <v/>
      </c>
      <c r="DG124" s="48">
        <f>IF(OR(TRIM(AB124)="",TRIM(AB124)="NA;",TRIM(AB124)="NA"),0,1)</f>
        <v/>
      </c>
      <c r="DH124" s="48">
        <f>IF(OR(TRIM(AC124)="",TRIM(AC124)="NA;",TRIM(AC124)="NA"),0,1)</f>
        <v/>
      </c>
      <c r="DI124" s="48">
        <f>IF(OR(TRIM(AD124)="",TRIM(AD124)="NA;",TRIM(AD124)="NA"),0,1)</f>
        <v/>
      </c>
      <c r="DJ124" s="48">
        <f>TRIM(IF(DC124=1,"Mon ","")&amp;IF(DD124=1,"Tue ","")&amp;IF(DE124=1,"Wed ","")&amp;IF(DF124=1,"Thu ","")&amp;IF(DG124=1,"Fri ","")&amp;IF(DH124=1,"Sat ","")&amp;IF(DI124=1,"Sun ",""))</f>
        <v/>
      </c>
    </row>
    <row r="125">
      <c r="A125" s="48" t="inlineStr">
        <is>
          <t>S-O-00023</t>
        </is>
      </c>
      <c r="B125" s="48" t="inlineStr">
        <is>
          <t>Daniel Wright</t>
        </is>
      </c>
      <c r="C125" s="48" t="inlineStr">
        <is>
          <t>daniel.wright23@example.com</t>
        </is>
      </c>
      <c r="D125" s="48" t="inlineStr">
        <is>
          <t>+61 444 986 835</t>
        </is>
      </c>
      <c r="E125" s="48" t="inlineStr">
        <is>
          <t>Peter Drobushar</t>
        </is>
      </c>
      <c r="F125" s="48" t="inlineStr">
        <is>
          <t>+61 461 119 264</t>
        </is>
      </c>
      <c r="G125" s="48" t="inlineStr">
        <is>
          <t>Spouse</t>
        </is>
      </c>
      <c r="H125" s="48" t="inlineStr">
        <is>
          <t>Student</t>
        </is>
      </c>
      <c r="I125" s="49" t="n">
        <v>45467</v>
      </c>
      <c r="J125" s="48" t="inlineStr">
        <is>
          <t>ADM-ACT-MAT-CE</t>
        </is>
      </c>
      <c r="K125" s="48">
        <f>IFERROR(VLOOKUP(J125,'(A) Introduction'!$B$35:$C$45,2,FALSE),"")</f>
        <v/>
      </c>
      <c r="L125" s="48" t="inlineStr">
        <is>
          <t>No</t>
        </is>
      </c>
      <c r="M125" s="49" t="n">
        <v>45559</v>
      </c>
      <c r="N125" s="48" t="inlineStr"/>
      <c r="O125" s="48" t="inlineStr">
        <is>
          <t>NA</t>
        </is>
      </c>
      <c r="P125" s="48">
        <f>IF($H125="Tutor",((BQ125&lt;&gt;"")*(BR125=""))+((BW125&lt;&gt;"")*(BX125=""))+((CC125&lt;&gt;"")*(CD125=""))+((CI125&lt;&gt;"")*(CJ125=""))+((CO125&lt;&gt;"")*(CP125="")),SUMPRODUCT(--($BO$3:$BO$202=$A125),--($BR$3:$BR$202=""))+SUMPRODUCT(--($BU$3:$BU$202=$A125),--($BX$3:$BX$202=""))+SUMPRODUCT(--($CA$3:$CA$202=$A125),--($CD$3:$CD$202=""))+SUMPRODUCT(--($CG$3:$CG$202=$A125),--($CJ$3:$CJ$202=""))+SUMPRODUCT(--($CM$3:$CM$202=$A125),--($CP$3:$CP$202="")))</f>
        <v/>
      </c>
      <c r="Q125" s="48">
        <f>IF($H125="Tutor",(BQ125&lt;&gt;"")+(BW125&lt;&gt;"")+(CC125&lt;&gt;"")+(CI125&lt;&gt;"")+(CO125&lt;&gt;""),SUMPRODUCT(--($BO$3:$BO$202=$A125))+SUMPRODUCT(--($BU$3:$BU$202=$A125))+SUMPRODUCT(--($CA$3:$CA$202=$A125))+SUMPRODUCT(--($CG$3:$CG$202=$A125))+SUMPRODUCT(--($CM$3:$CM$202=$A125)))</f>
        <v/>
      </c>
      <c r="R125" s="48">
        <f>IF($H125="Tutor",TRIM(IF(AND(BQ125&lt;&gt;"",BR125=""),BP125&amp;"; ","")&amp;IF(AND(BW125&lt;&gt;"",BX125=""),BV125&amp;"; ","")&amp;IF(AND(CC125&lt;&gt;"",CD125=""),CB125&amp;"; ","")&amp;IF(AND(CI125&lt;&gt;"",CJ125=""),CH125&amp;"; ","")&amp;IF(AND(CO125&lt;&gt;"",CP125=""),CN125&amp;"; ","")),IFERROR(INDEX($A$3:$B$202,(SUMPRODUCT(($BO$3:$BO$202=$A125)*($BR$3:$BR$202="")*ROW($BO$3:$BO$202))+SUMPRODUCT(($BU$3:$BU$202=$A125)*($BX$3:$BX$202="")*ROW($BU$3:$BU$202))+SUMPRODUCT(($CA$3:$CA$202=$A125)*($CD$3:$CD$202="")*ROW($CA$3:$CA$202))+SUMPRODUCT(($CG$3:$CG$202=$A125)*($CJ$3:$CJ$202="")*ROW($CG$3:$CG$202))+SUMPRODUCT(($CM$3:$CM$202=$A125)*($CP$3:$CP$202="")*ROW($CM$3:$CM$202)))-2,2),""))</f>
        <v/>
      </c>
      <c r="S125" s="48" t="inlineStr">
        <is>
          <t>Provided</t>
        </is>
      </c>
      <c r="T125" s="48" t="inlineStr"/>
      <c r="U125" s="48" t="inlineStr"/>
      <c r="V125" s="49" t="n">
        <v>45902</v>
      </c>
      <c r="W125" s="48" t="inlineStr">
        <is>
          <t>ACST (UTC+9:30)</t>
        </is>
      </c>
      <c r="X125" s="48" t="inlineStr">
        <is>
          <t>12pm-3pm;</t>
        </is>
      </c>
      <c r="Y125" s="48" t="inlineStr">
        <is>
          <t>6pm-9pm;</t>
        </is>
      </c>
      <c r="Z125" s="48" t="inlineStr">
        <is>
          <t>12pm-3pm;6pm-9pm;</t>
        </is>
      </c>
      <c r="AA125" s="48" t="inlineStr">
        <is>
          <t>NA;</t>
        </is>
      </c>
      <c r="AB125" s="48" t="inlineStr">
        <is>
          <t>3pm-6pm;</t>
        </is>
      </c>
      <c r="AC125" s="48" t="inlineStr">
        <is>
          <t>9am-12pm;</t>
        </is>
      </c>
      <c r="AD125" s="48" t="inlineStr">
        <is>
          <t>12pm-3pm;6pm-9pm;</t>
        </is>
      </c>
      <c r="AE125" s="48" t="inlineStr">
        <is>
          <t>Either</t>
        </is>
      </c>
      <c r="AF125" s="48" t="inlineStr">
        <is>
          <t>Computer</t>
        </is>
      </c>
      <c r="AG125" s="48" t="inlineStr">
        <is>
          <t>Australia</t>
        </is>
      </c>
      <c r="AH125" s="48" t="inlineStr">
        <is>
          <t>New South Wales</t>
        </is>
      </c>
      <c r="AI125" s="48" t="inlineStr">
        <is>
          <t>Liverpool</t>
        </is>
      </c>
      <c r="AJ125" s="48" t="inlineStr">
        <is>
          <t>2170</t>
        </is>
      </c>
      <c r="AK125" s="49" t="n">
        <v>31799</v>
      </c>
      <c r="AL125" s="48" t="inlineStr">
        <is>
          <t>Female</t>
        </is>
      </c>
      <c r="AM125" s="48" t="inlineStr">
        <is>
          <t>No</t>
        </is>
      </c>
      <c r="AN125" s="48" t="inlineStr">
        <is>
          <t>B1</t>
        </is>
      </c>
      <c r="AO125" s="48" t="inlineStr">
        <is>
          <t>Low</t>
        </is>
      </c>
      <c r="AP125" s="48" t="inlineStr">
        <is>
          <t>Myanmar</t>
        </is>
      </c>
      <c r="AQ125" s="48" t="inlineStr">
        <is>
          <t>NA</t>
        </is>
      </c>
      <c r="AR125" s="48" t="inlineStr">
        <is>
          <t>Pashto (B2)</t>
        </is>
      </c>
      <c r="AS125" s="48" t="inlineStr">
        <is>
          <t>None</t>
        </is>
      </c>
      <c r="AT125" s="48" t="inlineStr">
        <is>
          <t>Trades &amp; Construction</t>
        </is>
      </c>
      <c r="AU125" s="48" t="inlineStr">
        <is>
          <t>Lawyer</t>
        </is>
      </c>
      <c r="AV125" s="48" t="inlineStr">
        <is>
          <t>Medicine</t>
        </is>
      </c>
      <c r="AW125" s="48" t="inlineStr">
        <is>
          <t>Football; Cooking; Family</t>
        </is>
      </c>
      <c r="AX125" s="48" t="inlineStr">
        <is>
          <t>Asylum Seeker</t>
        </is>
      </c>
      <c r="AY125" s="48" t="inlineStr">
        <is>
          <t>Yes</t>
        </is>
      </c>
      <c r="AZ125" s="48" t="inlineStr">
        <is>
          <t>No</t>
        </is>
      </c>
      <c r="BA125" s="48" t="inlineStr">
        <is>
          <t>NA</t>
        </is>
      </c>
      <c r="BB125" s="48" t="inlineStr">
        <is>
          <t>NA</t>
        </is>
      </c>
      <c r="BC125" s="48" t="inlineStr">
        <is>
          <t>NA</t>
        </is>
      </c>
      <c r="BD125" s="48" t="inlineStr">
        <is>
          <t>NA</t>
        </is>
      </c>
      <c r="BE125" s="48" t="inlineStr"/>
      <c r="BF125" s="48" t="inlineStr"/>
      <c r="BG125" s="48" t="inlineStr">
        <is>
          <t>NA</t>
        </is>
      </c>
      <c r="BH125" s="48" t="inlineStr">
        <is>
          <t>NA - Student</t>
        </is>
      </c>
      <c r="BI125" s="48" t="inlineStr">
        <is>
          <t>STARTTS</t>
        </is>
      </c>
      <c r="BJ125" s="48" t="inlineStr">
        <is>
          <t>THET Moh Moh</t>
        </is>
      </c>
      <c r="BK125" s="48" t="inlineStr">
        <is>
          <t>NUICH Curtis</t>
        </is>
      </c>
      <c r="BL125" s="48" t="inlineStr">
        <is>
          <t>Synthetic test record.</t>
        </is>
      </c>
      <c r="BM125" s="48" t="inlineStr"/>
      <c r="BN125" s="48">
        <f>TRIM(IF(AND($H125="Student",$J125="ADM-ACT-MAT-CNE"),"Invalid: Student cannot be CNE. ","")&amp;IF(AND($H125="Student",ISNUMBER($O125)),"Check: capacity set for a Student. ","")&amp;IF(AND(LEFT($J125,11)="ADM-ACT-MAT",$P125=0),"Check: matched status but 0 active pairings. ","")&amp;IF(AND($H125="Tutor",ISNUMBER($O125),$P125&gt;$O125),"Check: pairings exceed capacity. ","")&amp;IF(AND($BH125="Everyone",NOT(AND($BD125="Yes",$BG125="Yes"))),"Check: approved to tutor children but WWCC not provided/confirmed. ","")&amp;IF(AND($P125&gt;0,NOT(AND(OR(LEFT($AY125,3)="Yes",LEFT($AY125,2)="NA"),OR(LEFT($AZ125,3)="Yes",LEFT($AZ125,2)="NA")))),"Matched but vetting incomplete (interview/reference). ","")&amp;IF(COUNTIF($B$3:$B$600,$B125)&gt;1,"Duplicate participant name. ",""))</f>
        <v/>
      </c>
      <c r="BO125" s="48" t="inlineStr"/>
      <c r="BP125" s="48" t="inlineStr"/>
      <c r="BQ125" s="48" t="inlineStr"/>
      <c r="BR125" s="48" t="inlineStr"/>
      <c r="BS125" s="48" t="inlineStr"/>
      <c r="BT125" s="48" t="inlineStr"/>
      <c r="BU125" s="48" t="inlineStr"/>
      <c r="BV125" s="48" t="inlineStr"/>
      <c r="BW125" s="48" t="inlineStr"/>
      <c r="BX125" s="48" t="inlineStr"/>
      <c r="BY125" s="48" t="inlineStr"/>
      <c r="BZ125" s="48" t="inlineStr"/>
      <c r="CA125" s="48" t="inlineStr"/>
      <c r="CB125" s="48" t="inlineStr"/>
      <c r="CC125" s="48" t="inlineStr"/>
      <c r="CD125" s="48" t="inlineStr"/>
      <c r="CE125" s="48" t="inlineStr"/>
      <c r="CF125" s="48" t="inlineStr"/>
      <c r="CG125" s="48" t="inlineStr"/>
      <c r="CH125" s="48" t="inlineStr"/>
      <c r="CI125" s="48" t="inlineStr"/>
      <c r="CJ125" s="48" t="inlineStr"/>
      <c r="CK125" s="48" t="inlineStr"/>
      <c r="CL125" s="48" t="inlineStr"/>
      <c r="CM125" s="48" t="inlineStr"/>
      <c r="CN125" s="48" t="inlineStr"/>
      <c r="CO125" s="48" t="inlineStr"/>
      <c r="CP125" s="48" t="inlineStr"/>
      <c r="CQ125" s="48" t="inlineStr"/>
      <c r="CR125" s="48" t="inlineStr"/>
      <c r="CS125" s="48">
        <f>IF(LEFT($J125,3)="ERR",0,1)</f>
        <v/>
      </c>
      <c r="CT125" s="48">
        <f>IF(LEFT($J125,3)="ADM",1,0)</f>
        <v/>
      </c>
      <c r="CU125" s="48">
        <f>IF(OR($J125="ADM-ACT-MAT-CNE",$J125="ADM-ACT-MAT-CE",$J125="ADM-INACT-M&amp;T"),1,0)</f>
        <v/>
      </c>
      <c r="CV125" s="48">
        <f>IF(AND(CU125=1,ISNUMBER(M125),ISNUMBER(I125)),M125-I125,"")</f>
        <v/>
      </c>
      <c r="CW125" s="48">
        <f>IF(ISNUMBER(I125),TODAY()-I125,"")</f>
        <v/>
      </c>
      <c r="CX125" s="48">
        <f>IF(ISNUMBER(I125),DATE(YEAR(I125),MONTH(I125),1),"")</f>
        <v/>
      </c>
      <c r="CY125" s="48">
        <f>IFERROR(DATEDIF(AK125,TODAY(),"y"),"")</f>
        <v/>
      </c>
      <c r="CZ125" s="48">
        <f>IF(CY125="","",IF(CY125&lt;28,"18-27",IF(CY125&lt;38,"28-37",IF(CY125&lt;48,"38-47",IF(CY125&lt;58,"48-57",IF(CY125&lt;68,"58-67",IF(CY125&lt;78,"68-77","78+")))))) </f>
        <v/>
      </c>
      <c r="DA125" s="48">
        <f>IF(AND(BQ125&lt;&gt;"",BR125=""),N(BS125),0)+IF(AND(BW125&lt;&gt;"",BX125=""),N(BY125),0)+IF(AND(CC125&lt;&gt;"",CD125=""),N(CE125),0)+IF(AND(CI125&lt;&gt;"",CJ125=""),N(CK125),0)+IF(AND(CO125&lt;&gt;"",CP125=""),N(CQ125),0)</f>
        <v/>
      </c>
      <c r="DB125" s="48">
        <f>ROUND(IF(BQ125&lt;&gt;"",N(BS125)*MAX(0,((IF(BR125="",TODAY(),BR125))-BQ125)/7),0)+IF(BW125&lt;&gt;"",N(BY125)*MAX(0,((IF(BX125="",TODAY(),BX125))-BW125)/7),0)+IF(CC125&lt;&gt;"",N(CE125)*MAX(0,((IF(CD125="",TODAY(),CD125))-CC125)/7),0)+IF(CI125&lt;&gt;"",N(CK125)*MAX(0,((IF(CJ125="",TODAY(),CJ125))-CI125)/7),0)+IF(CO125&lt;&gt;"",N(CQ125)*MAX(0,((IF(CP125="",TODAY(),CP125))-CO125)/7),0),1)</f>
        <v/>
      </c>
      <c r="DC125" s="48">
        <f>IF(OR(TRIM(X125)="",TRIM(X125)="NA;",TRIM(X125)="NA"),0,1)</f>
        <v/>
      </c>
      <c r="DD125" s="48">
        <f>IF(OR(TRIM(Y125)="",TRIM(Y125)="NA;",TRIM(Y125)="NA"),0,1)</f>
        <v/>
      </c>
      <c r="DE125" s="48">
        <f>IF(OR(TRIM(Z125)="",TRIM(Z125)="NA;",TRIM(Z125)="NA"),0,1)</f>
        <v/>
      </c>
      <c r="DF125" s="48">
        <f>IF(OR(TRIM(AA125)="",TRIM(AA125)="NA;",TRIM(AA125)="NA"),0,1)</f>
        <v/>
      </c>
      <c r="DG125" s="48">
        <f>IF(OR(TRIM(AB125)="",TRIM(AB125)="NA;",TRIM(AB125)="NA"),0,1)</f>
        <v/>
      </c>
      <c r="DH125" s="48">
        <f>IF(OR(TRIM(AC125)="",TRIM(AC125)="NA;",TRIM(AC125)="NA"),0,1)</f>
        <v/>
      </c>
      <c r="DI125" s="48">
        <f>IF(OR(TRIM(AD125)="",TRIM(AD125)="NA;",TRIM(AD125)="NA"),0,1)</f>
        <v/>
      </c>
      <c r="DJ125" s="48">
        <f>TRIM(IF(DC125=1,"Mon ","")&amp;IF(DD125=1,"Tue ","")&amp;IF(DE125=1,"Wed ","")&amp;IF(DF125=1,"Thu ","")&amp;IF(DG125=1,"Fri ","")&amp;IF(DH125=1,"Sat ","")&amp;IF(DI125=1,"Sun ",""))</f>
        <v/>
      </c>
    </row>
    <row r="126">
      <c r="A126" s="48" t="inlineStr">
        <is>
          <t>S-O-00024</t>
        </is>
      </c>
      <c r="B126" s="48" t="inlineStr">
        <is>
          <t>Tariq Lopez</t>
        </is>
      </c>
      <c r="C126" s="48" t="inlineStr">
        <is>
          <t>tariq.lopez24@example.com</t>
        </is>
      </c>
      <c r="D126" s="48" t="inlineStr">
        <is>
          <t>+61 440 422 978</t>
        </is>
      </c>
      <c r="E126" s="48" t="inlineStr">
        <is>
          <t>Tom Yang</t>
        </is>
      </c>
      <c r="F126" s="48" t="inlineStr">
        <is>
          <t>+61 419 797 109</t>
        </is>
      </c>
      <c r="G126" s="48" t="inlineStr">
        <is>
          <t>Spouse</t>
        </is>
      </c>
      <c r="H126" s="48" t="inlineStr">
        <is>
          <t>Student</t>
        </is>
      </c>
      <c r="I126" s="49" t="n">
        <v>45467</v>
      </c>
      <c r="J126" s="48" t="inlineStr">
        <is>
          <t>NADM-UNP</t>
        </is>
      </c>
      <c r="K126" s="48">
        <f>IFERROR(VLOOKUP(J126,'(A) Introduction'!$B$35:$C$45,2,FALSE),"")</f>
        <v/>
      </c>
      <c r="L126" s="48" t="inlineStr">
        <is>
          <t>No</t>
        </is>
      </c>
      <c r="M126" s="48" t="inlineStr"/>
      <c r="N126" s="48" t="inlineStr"/>
      <c r="O126" s="48" t="inlineStr">
        <is>
          <t>NA</t>
        </is>
      </c>
      <c r="P126" s="48">
        <f>IF($H126="Tutor",((BQ126&lt;&gt;"")*(BR126=""))+((BW126&lt;&gt;"")*(BX126=""))+((CC126&lt;&gt;"")*(CD126=""))+((CI126&lt;&gt;"")*(CJ126=""))+((CO126&lt;&gt;"")*(CP126="")),SUMPRODUCT(--($BO$3:$BO$202=$A126),--($BR$3:$BR$202=""))+SUMPRODUCT(--($BU$3:$BU$202=$A126),--($BX$3:$BX$202=""))+SUMPRODUCT(--($CA$3:$CA$202=$A126),--($CD$3:$CD$202=""))+SUMPRODUCT(--($CG$3:$CG$202=$A126),--($CJ$3:$CJ$202=""))+SUMPRODUCT(--($CM$3:$CM$202=$A126),--($CP$3:$CP$202="")))</f>
        <v/>
      </c>
      <c r="Q126" s="48">
        <f>IF($H126="Tutor",(BQ126&lt;&gt;"")+(BW126&lt;&gt;"")+(CC126&lt;&gt;"")+(CI126&lt;&gt;"")+(CO126&lt;&gt;""),SUMPRODUCT(--($BO$3:$BO$202=$A126))+SUMPRODUCT(--($BU$3:$BU$202=$A126))+SUMPRODUCT(--($CA$3:$CA$202=$A126))+SUMPRODUCT(--($CG$3:$CG$202=$A126))+SUMPRODUCT(--($CM$3:$CM$202=$A126)))</f>
        <v/>
      </c>
      <c r="R126" s="48">
        <f>IF($H126="Tutor",TRIM(IF(AND(BQ126&lt;&gt;"",BR126=""),BP126&amp;"; ","")&amp;IF(AND(BW126&lt;&gt;"",BX126=""),BV126&amp;"; ","")&amp;IF(AND(CC126&lt;&gt;"",CD126=""),CB126&amp;"; ","")&amp;IF(AND(CI126&lt;&gt;"",CJ126=""),CH126&amp;"; ","")&amp;IF(AND(CO126&lt;&gt;"",CP126=""),CN126&amp;"; ","")),IFERROR(INDEX($A$3:$B$202,(SUMPRODUCT(($BO$3:$BO$202=$A126)*($BR$3:$BR$202="")*ROW($BO$3:$BO$202))+SUMPRODUCT(($BU$3:$BU$202=$A126)*($BX$3:$BX$202="")*ROW($BU$3:$BU$202))+SUMPRODUCT(($CA$3:$CA$202=$A126)*($CD$3:$CD$202="")*ROW($CA$3:$CA$202))+SUMPRODUCT(($CG$3:$CG$202=$A126)*($CJ$3:$CJ$202="")*ROW($CG$3:$CG$202))+SUMPRODUCT(($CM$3:$CM$202=$A126)*($CP$3:$CP$202="")*ROW($CM$3:$CM$202)))-2,2),""))</f>
        <v/>
      </c>
      <c r="S126" s="48" t="inlineStr">
        <is>
          <t>NA</t>
        </is>
      </c>
      <c r="T126" s="48" t="inlineStr"/>
      <c r="U126" s="48" t="inlineStr"/>
      <c r="V126" s="48" t="inlineStr"/>
      <c r="W126" s="48" t="inlineStr">
        <is>
          <t>ACST (UTC+9:30)</t>
        </is>
      </c>
      <c r="X126" s="48" t="inlineStr">
        <is>
          <t>NA;</t>
        </is>
      </c>
      <c r="Y126" s="48" t="inlineStr">
        <is>
          <t>3pm-6pm;</t>
        </is>
      </c>
      <c r="Z126" s="48" t="inlineStr">
        <is>
          <t>12pm-3pm;</t>
        </is>
      </c>
      <c r="AA126" s="48" t="inlineStr">
        <is>
          <t>3pm-6pm;</t>
        </is>
      </c>
      <c r="AB126" s="48" t="inlineStr">
        <is>
          <t>6pm-9pm;</t>
        </is>
      </c>
      <c r="AC126" s="48" t="inlineStr">
        <is>
          <t>12pm-3pm;6pm-9pm;</t>
        </is>
      </c>
      <c r="AD126" s="48" t="inlineStr">
        <is>
          <t>6am-9am;9am-12pm;</t>
        </is>
      </c>
      <c r="AE126" s="48" t="inlineStr">
        <is>
          <t>Online</t>
        </is>
      </c>
      <c r="AF126" s="48" t="inlineStr">
        <is>
          <t>Phone</t>
        </is>
      </c>
      <c r="AG126" s="48" t="inlineStr">
        <is>
          <t>Australia</t>
        </is>
      </c>
      <c r="AH126" s="48" t="inlineStr">
        <is>
          <t>New South Wales</t>
        </is>
      </c>
      <c r="AI126" s="48" t="inlineStr">
        <is>
          <t>Eastlakes</t>
        </is>
      </c>
      <c r="AJ126" s="48" t="inlineStr">
        <is>
          <t>2018</t>
        </is>
      </c>
      <c r="AK126" s="49" t="n">
        <v>30454</v>
      </c>
      <c r="AL126" s="48" t="inlineStr">
        <is>
          <t>Male</t>
        </is>
      </c>
      <c r="AM126" s="48" t="inlineStr">
        <is>
          <t>No</t>
        </is>
      </c>
      <c r="AN126" s="48" t="inlineStr">
        <is>
          <t>A2</t>
        </is>
      </c>
      <c r="AO126" s="48" t="inlineStr">
        <is>
          <t>High</t>
        </is>
      </c>
      <c r="AP126" s="48" t="inlineStr">
        <is>
          <t>Sudan</t>
        </is>
      </c>
      <c r="AQ126" s="48" t="inlineStr">
        <is>
          <t>NA</t>
        </is>
      </c>
      <c r="AR126" s="48" t="inlineStr">
        <is>
          <t>Farsi (C1)</t>
        </is>
      </c>
      <c r="AS126" s="48" t="inlineStr">
        <is>
          <t>NA</t>
        </is>
      </c>
      <c r="AT126" s="48" t="inlineStr">
        <is>
          <t>Trades &amp; Construction</t>
        </is>
      </c>
      <c r="AU126" s="48" t="inlineStr">
        <is>
          <t>Student</t>
        </is>
      </c>
      <c r="AV126" s="48" t="inlineStr">
        <is>
          <t>Teacher</t>
        </is>
      </c>
      <c r="AW126" s="48" t="inlineStr">
        <is>
          <t>Reading; Politics; Music</t>
        </is>
      </c>
      <c r="AX126" s="48" t="inlineStr">
        <is>
          <t>Refugee</t>
        </is>
      </c>
      <c r="AY126" s="48" t="inlineStr">
        <is>
          <t>NA - Partner Organisation Verified</t>
        </is>
      </c>
      <c r="AZ126" s="48" t="inlineStr">
        <is>
          <t>Yes</t>
        </is>
      </c>
      <c r="BA126" s="48" t="inlineStr">
        <is>
          <t>NA</t>
        </is>
      </c>
      <c r="BB126" s="48" t="inlineStr">
        <is>
          <t>NA</t>
        </is>
      </c>
      <c r="BC126" s="48" t="inlineStr">
        <is>
          <t>NA</t>
        </is>
      </c>
      <c r="BD126" s="48" t="inlineStr">
        <is>
          <t>NA</t>
        </is>
      </c>
      <c r="BE126" s="48" t="inlineStr"/>
      <c r="BF126" s="48" t="inlineStr"/>
      <c r="BG126" s="48" t="inlineStr">
        <is>
          <t>NA</t>
        </is>
      </c>
      <c r="BH126" s="48" t="inlineStr">
        <is>
          <t>NA - Student</t>
        </is>
      </c>
      <c r="BI126" s="48" t="inlineStr">
        <is>
          <t>Kaldor Centre for International Refugee Law</t>
        </is>
      </c>
      <c r="BJ126" s="48" t="inlineStr">
        <is>
          <t>HERVIR Oliver</t>
        </is>
      </c>
      <c r="BK126" s="48" t="inlineStr">
        <is>
          <t>HERVIR Oliver</t>
        </is>
      </c>
      <c r="BL126" s="48" t="inlineStr">
        <is>
          <t>Synthetic test record.</t>
        </is>
      </c>
      <c r="BM126" s="48" t="inlineStr"/>
      <c r="BN126" s="48">
        <f>TRIM(IF(AND($H126="Student",$J126="ADM-ACT-MAT-CNE"),"Invalid: Student cannot be CNE. ","")&amp;IF(AND($H126="Student",ISNUMBER($O126)),"Check: capacity set for a Student. ","")&amp;IF(AND(LEFT($J126,11)="ADM-ACT-MAT",$P126=0),"Check: matched status but 0 active pairings. ","")&amp;IF(AND($H126="Tutor",ISNUMBER($O126),$P126&gt;$O126),"Check: pairings exceed capacity. ","")&amp;IF(AND($BH126="Everyone",NOT(AND($BD126="Yes",$BG126="Yes"))),"Check: approved to tutor children but WWCC not provided/confirmed. ","")&amp;IF(AND($P126&gt;0,NOT(AND(OR(LEFT($AY126,3)="Yes",LEFT($AY126,2)="NA"),OR(LEFT($AZ126,3)="Yes",LEFT($AZ126,2)="NA")))),"Matched but vetting incomplete (interview/reference). ","")&amp;IF(COUNTIF($B$3:$B$600,$B126)&gt;1,"Duplicate participant name. ",""))</f>
        <v/>
      </c>
      <c r="BO126" s="48" t="inlineStr"/>
      <c r="BP126" s="48" t="inlineStr"/>
      <c r="BQ126" s="48" t="inlineStr"/>
      <c r="BR126" s="48" t="inlineStr"/>
      <c r="BS126" s="48" t="inlineStr"/>
      <c r="BT126" s="48" t="inlineStr"/>
      <c r="BU126" s="48" t="inlineStr"/>
      <c r="BV126" s="48" t="inlineStr"/>
      <c r="BW126" s="48" t="inlineStr"/>
      <c r="BX126" s="48" t="inlineStr"/>
      <c r="BY126" s="48" t="inlineStr"/>
      <c r="BZ126" s="48" t="inlineStr"/>
      <c r="CA126" s="48" t="inlineStr"/>
      <c r="CB126" s="48" t="inlineStr"/>
      <c r="CC126" s="48" t="inlineStr"/>
      <c r="CD126" s="48" t="inlineStr"/>
      <c r="CE126" s="48" t="inlineStr"/>
      <c r="CF126" s="48" t="inlineStr"/>
      <c r="CG126" s="48" t="inlineStr"/>
      <c r="CH126" s="48" t="inlineStr"/>
      <c r="CI126" s="48" t="inlineStr"/>
      <c r="CJ126" s="48" t="inlineStr"/>
      <c r="CK126" s="48" t="inlineStr"/>
      <c r="CL126" s="48" t="inlineStr"/>
      <c r="CM126" s="48" t="inlineStr"/>
      <c r="CN126" s="48" t="inlineStr"/>
      <c r="CO126" s="48" t="inlineStr"/>
      <c r="CP126" s="48" t="inlineStr"/>
      <c r="CQ126" s="48" t="inlineStr"/>
      <c r="CR126" s="48" t="inlineStr"/>
      <c r="CS126" s="48">
        <f>IF(LEFT($J126,3)="ERR",0,1)</f>
        <v/>
      </c>
      <c r="CT126" s="48">
        <f>IF(LEFT($J126,3)="ADM",1,0)</f>
        <v/>
      </c>
      <c r="CU126" s="48">
        <f>IF(OR($J126="ADM-ACT-MAT-CNE",$J126="ADM-ACT-MAT-CE",$J126="ADM-INACT-M&amp;T"),1,0)</f>
        <v/>
      </c>
      <c r="CV126" s="48">
        <f>IF(AND(CU126=1,ISNUMBER(M126),ISNUMBER(I126)),M126-I126,"")</f>
        <v/>
      </c>
      <c r="CW126" s="48">
        <f>IF(ISNUMBER(I126),TODAY()-I126,"")</f>
        <v/>
      </c>
      <c r="CX126" s="48">
        <f>IF(ISNUMBER(I126),DATE(YEAR(I126),MONTH(I126),1),"")</f>
        <v/>
      </c>
      <c r="CY126" s="48">
        <f>IFERROR(DATEDIF(AK126,TODAY(),"y"),"")</f>
        <v/>
      </c>
      <c r="CZ126" s="48">
        <f>IF(CY126="","",IF(CY126&lt;28,"18-27",IF(CY126&lt;38,"28-37",IF(CY126&lt;48,"38-47",IF(CY126&lt;58,"48-57",IF(CY126&lt;68,"58-67",IF(CY126&lt;78,"68-77","78+")))))) </f>
        <v/>
      </c>
      <c r="DA126" s="48">
        <f>IF(AND(BQ126&lt;&gt;"",BR126=""),N(BS126),0)+IF(AND(BW126&lt;&gt;"",BX126=""),N(BY126),0)+IF(AND(CC126&lt;&gt;"",CD126=""),N(CE126),0)+IF(AND(CI126&lt;&gt;"",CJ126=""),N(CK126),0)+IF(AND(CO126&lt;&gt;"",CP126=""),N(CQ126),0)</f>
        <v/>
      </c>
      <c r="DB126" s="48">
        <f>ROUND(IF(BQ126&lt;&gt;"",N(BS126)*MAX(0,((IF(BR126="",TODAY(),BR126))-BQ126)/7),0)+IF(BW126&lt;&gt;"",N(BY126)*MAX(0,((IF(BX126="",TODAY(),BX126))-BW126)/7),0)+IF(CC126&lt;&gt;"",N(CE126)*MAX(0,((IF(CD126="",TODAY(),CD126))-CC126)/7),0)+IF(CI126&lt;&gt;"",N(CK126)*MAX(0,((IF(CJ126="",TODAY(),CJ126))-CI126)/7),0)+IF(CO126&lt;&gt;"",N(CQ126)*MAX(0,((IF(CP126="",TODAY(),CP126))-CO126)/7),0),1)</f>
        <v/>
      </c>
      <c r="DC126" s="48">
        <f>IF(OR(TRIM(X126)="",TRIM(X126)="NA;",TRIM(X126)="NA"),0,1)</f>
        <v/>
      </c>
      <c r="DD126" s="48">
        <f>IF(OR(TRIM(Y126)="",TRIM(Y126)="NA;",TRIM(Y126)="NA"),0,1)</f>
        <v/>
      </c>
      <c r="DE126" s="48">
        <f>IF(OR(TRIM(Z126)="",TRIM(Z126)="NA;",TRIM(Z126)="NA"),0,1)</f>
        <v/>
      </c>
      <c r="DF126" s="48">
        <f>IF(OR(TRIM(AA126)="",TRIM(AA126)="NA;",TRIM(AA126)="NA"),0,1)</f>
        <v/>
      </c>
      <c r="DG126" s="48">
        <f>IF(OR(TRIM(AB126)="",TRIM(AB126)="NA;",TRIM(AB126)="NA"),0,1)</f>
        <v/>
      </c>
      <c r="DH126" s="48">
        <f>IF(OR(TRIM(AC126)="",TRIM(AC126)="NA;",TRIM(AC126)="NA"),0,1)</f>
        <v/>
      </c>
      <c r="DI126" s="48">
        <f>IF(OR(TRIM(AD126)="",TRIM(AD126)="NA;",TRIM(AD126)="NA"),0,1)</f>
        <v/>
      </c>
      <c r="DJ126" s="48">
        <f>TRIM(IF(DC126=1,"Mon ","")&amp;IF(DD126=1,"Tue ","")&amp;IF(DE126=1,"Wed ","")&amp;IF(DF126=1,"Thu ","")&amp;IF(DG126=1,"Fri ","")&amp;IF(DH126=1,"Sat ","")&amp;IF(DI126=1,"Sun ",""))</f>
        <v/>
      </c>
    </row>
    <row r="127">
      <c r="A127" s="48" t="inlineStr">
        <is>
          <t>S-O-00025</t>
        </is>
      </c>
      <c r="B127" s="48" t="inlineStr">
        <is>
          <t>Jose Wilson</t>
        </is>
      </c>
      <c r="C127" s="48" t="inlineStr">
        <is>
          <t>jose.wilson25@example.com</t>
        </is>
      </c>
      <c r="D127" s="48" t="inlineStr">
        <is>
          <t>+61 400 782 877</t>
        </is>
      </c>
      <c r="E127" s="48" t="inlineStr">
        <is>
          <t>Tariq Wright</t>
        </is>
      </c>
      <c r="F127" s="48" t="inlineStr">
        <is>
          <t>+61 412 333 370</t>
        </is>
      </c>
      <c r="G127" s="48" t="inlineStr">
        <is>
          <t>Friend</t>
        </is>
      </c>
      <c r="H127" s="48" t="inlineStr">
        <is>
          <t>Student</t>
        </is>
      </c>
      <c r="I127" s="49" t="n">
        <v>45472</v>
      </c>
      <c r="J127" s="48" t="inlineStr">
        <is>
          <t>ADM-ACT-MAT-CE</t>
        </is>
      </c>
      <c r="K127" s="48">
        <f>IFERROR(VLOOKUP(J127,'(A) Introduction'!$B$35:$C$45,2,FALSE),"")</f>
        <v/>
      </c>
      <c r="L127" s="48" t="inlineStr">
        <is>
          <t>No</t>
        </is>
      </c>
      <c r="M127" s="49" t="n">
        <v>45498</v>
      </c>
      <c r="N127" s="48" t="inlineStr"/>
      <c r="O127" s="48" t="inlineStr">
        <is>
          <t>NA</t>
        </is>
      </c>
      <c r="P127" s="48">
        <f>IF($H127="Tutor",((BQ127&lt;&gt;"")*(BR127=""))+((BW127&lt;&gt;"")*(BX127=""))+((CC127&lt;&gt;"")*(CD127=""))+((CI127&lt;&gt;"")*(CJ127=""))+((CO127&lt;&gt;"")*(CP127="")),SUMPRODUCT(--($BO$3:$BO$202=$A127),--($BR$3:$BR$202=""))+SUMPRODUCT(--($BU$3:$BU$202=$A127),--($BX$3:$BX$202=""))+SUMPRODUCT(--($CA$3:$CA$202=$A127),--($CD$3:$CD$202=""))+SUMPRODUCT(--($CG$3:$CG$202=$A127),--($CJ$3:$CJ$202=""))+SUMPRODUCT(--($CM$3:$CM$202=$A127),--($CP$3:$CP$202="")))</f>
        <v/>
      </c>
      <c r="Q127" s="48">
        <f>IF($H127="Tutor",(BQ127&lt;&gt;"")+(BW127&lt;&gt;"")+(CC127&lt;&gt;"")+(CI127&lt;&gt;"")+(CO127&lt;&gt;""),SUMPRODUCT(--($BO$3:$BO$202=$A127))+SUMPRODUCT(--($BU$3:$BU$202=$A127))+SUMPRODUCT(--($CA$3:$CA$202=$A127))+SUMPRODUCT(--($CG$3:$CG$202=$A127))+SUMPRODUCT(--($CM$3:$CM$202=$A127)))</f>
        <v/>
      </c>
      <c r="R127" s="48">
        <f>IF($H127="Tutor",TRIM(IF(AND(BQ127&lt;&gt;"",BR127=""),BP127&amp;"; ","")&amp;IF(AND(BW127&lt;&gt;"",BX127=""),BV127&amp;"; ","")&amp;IF(AND(CC127&lt;&gt;"",CD127=""),CB127&amp;"; ","")&amp;IF(AND(CI127&lt;&gt;"",CJ127=""),CH127&amp;"; ","")&amp;IF(AND(CO127&lt;&gt;"",CP127=""),CN127&amp;"; ","")),IFERROR(INDEX($A$3:$B$202,(SUMPRODUCT(($BO$3:$BO$202=$A127)*($BR$3:$BR$202="")*ROW($BO$3:$BO$202))+SUMPRODUCT(($BU$3:$BU$202=$A127)*($BX$3:$BX$202="")*ROW($BU$3:$BU$202))+SUMPRODUCT(($CA$3:$CA$202=$A127)*($CD$3:$CD$202="")*ROW($CA$3:$CA$202))+SUMPRODUCT(($CG$3:$CG$202=$A127)*($CJ$3:$CJ$202="")*ROW($CG$3:$CG$202))+SUMPRODUCT(($CM$3:$CM$202=$A127)*($CP$3:$CP$202="")*ROW($CM$3:$CM$202)))-2,2),""))</f>
        <v/>
      </c>
      <c r="S127" s="48" t="inlineStr">
        <is>
          <t>Provided</t>
        </is>
      </c>
      <c r="T127" s="48" t="inlineStr"/>
      <c r="U127" s="48" t="inlineStr"/>
      <c r="V127" s="49" t="n">
        <v>45903</v>
      </c>
      <c r="W127" s="48" t="inlineStr">
        <is>
          <t>AWST (UTC+8)</t>
        </is>
      </c>
      <c r="X127" s="48" t="inlineStr">
        <is>
          <t>6pm-9pm;</t>
        </is>
      </c>
      <c r="Y127" s="48" t="inlineStr">
        <is>
          <t>6am-9am;9am-12pm;</t>
        </is>
      </c>
      <c r="Z127" s="48" t="inlineStr">
        <is>
          <t>6am-9am;9am-12pm;</t>
        </is>
      </c>
      <c r="AA127" s="48" t="inlineStr">
        <is>
          <t>6pm-9pm;</t>
        </is>
      </c>
      <c r="AB127" s="48" t="inlineStr">
        <is>
          <t>3pm-6pm;</t>
        </is>
      </c>
      <c r="AC127" s="48" t="inlineStr">
        <is>
          <t>6pm-9pm;</t>
        </is>
      </c>
      <c r="AD127" s="48" t="inlineStr">
        <is>
          <t>9am-12pm;</t>
        </is>
      </c>
      <c r="AE127" s="48" t="inlineStr">
        <is>
          <t>Either</t>
        </is>
      </c>
      <c r="AF127" s="48" t="inlineStr">
        <is>
          <t>Tablet</t>
        </is>
      </c>
      <c r="AG127" s="48" t="inlineStr">
        <is>
          <t>Australia</t>
        </is>
      </c>
      <c r="AH127" s="48" t="inlineStr">
        <is>
          <t>South Australia</t>
        </is>
      </c>
      <c r="AI127" s="48" t="inlineStr">
        <is>
          <t>Salisbury</t>
        </is>
      </c>
      <c r="AJ127" s="48" t="inlineStr">
        <is>
          <t>5108</t>
        </is>
      </c>
      <c r="AK127" s="49" t="n">
        <v>29165</v>
      </c>
      <c r="AL127" s="48" t="inlineStr">
        <is>
          <t>Female</t>
        </is>
      </c>
      <c r="AM127" s="48" t="inlineStr">
        <is>
          <t>No</t>
        </is>
      </c>
      <c r="AN127" s="48" t="inlineStr">
        <is>
          <t>A1</t>
        </is>
      </c>
      <c r="AO127" s="48" t="inlineStr">
        <is>
          <t>Outstanding</t>
        </is>
      </c>
      <c r="AP127" s="48" t="inlineStr">
        <is>
          <t>Sri Lanka</t>
        </is>
      </c>
      <c r="AQ127" s="48" t="inlineStr">
        <is>
          <t>NA</t>
        </is>
      </c>
      <c r="AR127" s="48" t="inlineStr">
        <is>
          <t>Arabic (C1)</t>
        </is>
      </c>
      <c r="AS127" s="48" t="inlineStr">
        <is>
          <t>Buddhist</t>
        </is>
      </c>
      <c r="AT127" s="48" t="inlineStr">
        <is>
          <t>Labour, Administrative &amp; Clerical</t>
        </is>
      </c>
      <c r="AU127" s="48" t="inlineStr">
        <is>
          <t>Nurse</t>
        </is>
      </c>
      <c r="AV127" s="48" t="inlineStr">
        <is>
          <t>Medicine</t>
        </is>
      </c>
      <c r="AW127" s="48" t="inlineStr">
        <is>
          <t>Cooking; Reading; Music</t>
        </is>
      </c>
      <c r="AX127" s="48" t="inlineStr">
        <is>
          <t>Asylum Seeker</t>
        </is>
      </c>
      <c r="AY127" s="48" t="inlineStr">
        <is>
          <t>NA - Partner Organisation Verified</t>
        </is>
      </c>
      <c r="AZ127" s="48" t="inlineStr">
        <is>
          <t>Yes</t>
        </is>
      </c>
      <c r="BA127" s="48" t="inlineStr">
        <is>
          <t>NA</t>
        </is>
      </c>
      <c r="BB127" s="48" t="inlineStr">
        <is>
          <t>NA</t>
        </is>
      </c>
      <c r="BC127" s="48" t="inlineStr">
        <is>
          <t>NA</t>
        </is>
      </c>
      <c r="BD127" s="48" t="inlineStr">
        <is>
          <t>NA</t>
        </is>
      </c>
      <c r="BE127" s="48" t="inlineStr"/>
      <c r="BF127" s="48" t="inlineStr"/>
      <c r="BG127" s="48" t="inlineStr">
        <is>
          <t>NA</t>
        </is>
      </c>
      <c r="BH127" s="48" t="inlineStr">
        <is>
          <t>NA - Student</t>
        </is>
      </c>
      <c r="BI127" s="48" t="inlineStr">
        <is>
          <t>AMES Australia</t>
        </is>
      </c>
      <c r="BJ127" s="48" t="inlineStr">
        <is>
          <t>THET Moh Moh</t>
        </is>
      </c>
      <c r="BK127" s="48" t="inlineStr">
        <is>
          <t>HERVIR Oliver</t>
        </is>
      </c>
      <c r="BL127" s="48" t="inlineStr">
        <is>
          <t>Synthetic test record.</t>
        </is>
      </c>
      <c r="BM127" s="48" t="inlineStr"/>
      <c r="BN127" s="48">
        <f>TRIM(IF(AND($H127="Student",$J127="ADM-ACT-MAT-CNE"),"Invalid: Student cannot be CNE. ","")&amp;IF(AND($H127="Student",ISNUMBER($O127)),"Check: capacity set for a Student. ","")&amp;IF(AND(LEFT($J127,11)="ADM-ACT-MAT",$P127=0),"Check: matched status but 0 active pairings. ","")&amp;IF(AND($H127="Tutor",ISNUMBER($O127),$P127&gt;$O127),"Check: pairings exceed capacity. ","")&amp;IF(AND($BH127="Everyone",NOT(AND($BD127="Yes",$BG127="Yes"))),"Check: approved to tutor children but WWCC not provided/confirmed. ","")&amp;IF(AND($P127&gt;0,NOT(AND(OR(LEFT($AY127,3)="Yes",LEFT($AY127,2)="NA"),OR(LEFT($AZ127,3)="Yes",LEFT($AZ127,2)="NA")))),"Matched but vetting incomplete (interview/reference). ","")&amp;IF(COUNTIF($B$3:$B$600,$B127)&gt;1,"Duplicate participant name. ",""))</f>
        <v/>
      </c>
      <c r="BO127" s="48" t="inlineStr"/>
      <c r="BP127" s="48" t="inlineStr"/>
      <c r="BQ127" s="48" t="inlineStr"/>
      <c r="BR127" s="48" t="inlineStr"/>
      <c r="BS127" s="48" t="inlineStr"/>
      <c r="BT127" s="48" t="inlineStr"/>
      <c r="BU127" s="48" t="inlineStr"/>
      <c r="BV127" s="48" t="inlineStr"/>
      <c r="BW127" s="48" t="inlineStr"/>
      <c r="BX127" s="48" t="inlineStr"/>
      <c r="BY127" s="48" t="inlineStr"/>
      <c r="BZ127" s="48" t="inlineStr"/>
      <c r="CA127" s="48" t="inlineStr"/>
      <c r="CB127" s="48" t="inlineStr"/>
      <c r="CC127" s="48" t="inlineStr"/>
      <c r="CD127" s="48" t="inlineStr"/>
      <c r="CE127" s="48" t="inlineStr"/>
      <c r="CF127" s="48" t="inlineStr"/>
      <c r="CG127" s="48" t="inlineStr"/>
      <c r="CH127" s="48" t="inlineStr"/>
      <c r="CI127" s="48" t="inlineStr"/>
      <c r="CJ127" s="48" t="inlineStr"/>
      <c r="CK127" s="48" t="inlineStr"/>
      <c r="CL127" s="48" t="inlineStr"/>
      <c r="CM127" s="48" t="inlineStr"/>
      <c r="CN127" s="48" t="inlineStr"/>
      <c r="CO127" s="48" t="inlineStr"/>
      <c r="CP127" s="48" t="inlineStr"/>
      <c r="CQ127" s="48" t="inlineStr"/>
      <c r="CR127" s="48" t="inlineStr"/>
      <c r="CS127" s="48">
        <f>IF(LEFT($J127,3)="ERR",0,1)</f>
        <v/>
      </c>
      <c r="CT127" s="48">
        <f>IF(LEFT($J127,3)="ADM",1,0)</f>
        <v/>
      </c>
      <c r="CU127" s="48">
        <f>IF(OR($J127="ADM-ACT-MAT-CNE",$J127="ADM-ACT-MAT-CE",$J127="ADM-INACT-M&amp;T"),1,0)</f>
        <v/>
      </c>
      <c r="CV127" s="48">
        <f>IF(AND(CU127=1,ISNUMBER(M127),ISNUMBER(I127)),M127-I127,"")</f>
        <v/>
      </c>
      <c r="CW127" s="48">
        <f>IF(ISNUMBER(I127),TODAY()-I127,"")</f>
        <v/>
      </c>
      <c r="CX127" s="48">
        <f>IF(ISNUMBER(I127),DATE(YEAR(I127),MONTH(I127),1),"")</f>
        <v/>
      </c>
      <c r="CY127" s="48">
        <f>IFERROR(DATEDIF(AK127,TODAY(),"y"),"")</f>
        <v/>
      </c>
      <c r="CZ127" s="48">
        <f>IF(CY127="","",IF(CY127&lt;28,"18-27",IF(CY127&lt;38,"28-37",IF(CY127&lt;48,"38-47",IF(CY127&lt;58,"48-57",IF(CY127&lt;68,"58-67",IF(CY127&lt;78,"68-77","78+")))))) </f>
        <v/>
      </c>
      <c r="DA127" s="48">
        <f>IF(AND(BQ127&lt;&gt;"",BR127=""),N(BS127),0)+IF(AND(BW127&lt;&gt;"",BX127=""),N(BY127),0)+IF(AND(CC127&lt;&gt;"",CD127=""),N(CE127),0)+IF(AND(CI127&lt;&gt;"",CJ127=""),N(CK127),0)+IF(AND(CO127&lt;&gt;"",CP127=""),N(CQ127),0)</f>
        <v/>
      </c>
      <c r="DB127" s="48">
        <f>ROUND(IF(BQ127&lt;&gt;"",N(BS127)*MAX(0,((IF(BR127="",TODAY(),BR127))-BQ127)/7),0)+IF(BW127&lt;&gt;"",N(BY127)*MAX(0,((IF(BX127="",TODAY(),BX127))-BW127)/7),0)+IF(CC127&lt;&gt;"",N(CE127)*MAX(0,((IF(CD127="",TODAY(),CD127))-CC127)/7),0)+IF(CI127&lt;&gt;"",N(CK127)*MAX(0,((IF(CJ127="",TODAY(),CJ127))-CI127)/7),0)+IF(CO127&lt;&gt;"",N(CQ127)*MAX(0,((IF(CP127="",TODAY(),CP127))-CO127)/7),0),1)</f>
        <v/>
      </c>
      <c r="DC127" s="48">
        <f>IF(OR(TRIM(X127)="",TRIM(X127)="NA;",TRIM(X127)="NA"),0,1)</f>
        <v/>
      </c>
      <c r="DD127" s="48">
        <f>IF(OR(TRIM(Y127)="",TRIM(Y127)="NA;",TRIM(Y127)="NA"),0,1)</f>
        <v/>
      </c>
      <c r="DE127" s="48">
        <f>IF(OR(TRIM(Z127)="",TRIM(Z127)="NA;",TRIM(Z127)="NA"),0,1)</f>
        <v/>
      </c>
      <c r="DF127" s="48">
        <f>IF(OR(TRIM(AA127)="",TRIM(AA127)="NA;",TRIM(AA127)="NA"),0,1)</f>
        <v/>
      </c>
      <c r="DG127" s="48">
        <f>IF(OR(TRIM(AB127)="",TRIM(AB127)="NA;",TRIM(AB127)="NA"),0,1)</f>
        <v/>
      </c>
      <c r="DH127" s="48">
        <f>IF(OR(TRIM(AC127)="",TRIM(AC127)="NA;",TRIM(AC127)="NA"),0,1)</f>
        <v/>
      </c>
      <c r="DI127" s="48">
        <f>IF(OR(TRIM(AD127)="",TRIM(AD127)="NA;",TRIM(AD127)="NA"),0,1)</f>
        <v/>
      </c>
      <c r="DJ127" s="48">
        <f>TRIM(IF(DC127=1,"Mon ","")&amp;IF(DD127=1,"Tue ","")&amp;IF(DE127=1,"Wed ","")&amp;IF(DF127=1,"Thu ","")&amp;IF(DG127=1,"Fri ","")&amp;IF(DH127=1,"Sat ","")&amp;IF(DI127=1,"Sun ",""))</f>
        <v/>
      </c>
    </row>
    <row r="128">
      <c r="A128" s="48" t="inlineStr">
        <is>
          <t>S-O-00026</t>
        </is>
      </c>
      <c r="B128" s="48" t="inlineStr">
        <is>
          <t>Lina Ahmed</t>
        </is>
      </c>
      <c r="C128" s="48" t="inlineStr">
        <is>
          <t>lina.ahmed26@example.com</t>
        </is>
      </c>
      <c r="D128" s="48" t="inlineStr">
        <is>
          <t>+61 433 242 275</t>
        </is>
      </c>
      <c r="E128" s="48" t="inlineStr">
        <is>
          <t>Nadia Walker</t>
        </is>
      </c>
      <c r="F128" s="48" t="inlineStr">
        <is>
          <t>+61 468 737 323</t>
        </is>
      </c>
      <c r="G128" s="48" t="inlineStr">
        <is>
          <t>Adult Child</t>
        </is>
      </c>
      <c r="H128" s="48" t="inlineStr">
        <is>
          <t>Student</t>
        </is>
      </c>
      <c r="I128" s="49" t="n">
        <v>45474</v>
      </c>
      <c r="J128" s="48" t="inlineStr">
        <is>
          <t>ADM-ACT-MAT-CE</t>
        </is>
      </c>
      <c r="K128" s="48">
        <f>IFERROR(VLOOKUP(J128,'(A) Introduction'!$B$35:$C$45,2,FALSE),"")</f>
        <v/>
      </c>
      <c r="L128" s="48" t="inlineStr">
        <is>
          <t>No</t>
        </is>
      </c>
      <c r="M128" s="49" t="n">
        <v>45497</v>
      </c>
      <c r="N128" s="48" t="inlineStr"/>
      <c r="O128" s="48" t="inlineStr">
        <is>
          <t>NA</t>
        </is>
      </c>
      <c r="P128" s="48">
        <f>IF($H128="Tutor",((BQ128&lt;&gt;"")*(BR128=""))+((BW128&lt;&gt;"")*(BX128=""))+((CC128&lt;&gt;"")*(CD128=""))+((CI128&lt;&gt;"")*(CJ128=""))+((CO128&lt;&gt;"")*(CP128="")),SUMPRODUCT(--($BO$3:$BO$202=$A128),--($BR$3:$BR$202=""))+SUMPRODUCT(--($BU$3:$BU$202=$A128),--($BX$3:$BX$202=""))+SUMPRODUCT(--($CA$3:$CA$202=$A128),--($CD$3:$CD$202=""))+SUMPRODUCT(--($CG$3:$CG$202=$A128),--($CJ$3:$CJ$202=""))+SUMPRODUCT(--($CM$3:$CM$202=$A128),--($CP$3:$CP$202="")))</f>
        <v/>
      </c>
      <c r="Q128" s="48">
        <f>IF($H128="Tutor",(BQ128&lt;&gt;"")+(BW128&lt;&gt;"")+(CC128&lt;&gt;"")+(CI128&lt;&gt;"")+(CO128&lt;&gt;""),SUMPRODUCT(--($BO$3:$BO$202=$A128))+SUMPRODUCT(--($BU$3:$BU$202=$A128))+SUMPRODUCT(--($CA$3:$CA$202=$A128))+SUMPRODUCT(--($CG$3:$CG$202=$A128))+SUMPRODUCT(--($CM$3:$CM$202=$A128)))</f>
        <v/>
      </c>
      <c r="R128" s="48">
        <f>IF($H128="Tutor",TRIM(IF(AND(BQ128&lt;&gt;"",BR128=""),BP128&amp;"; ","")&amp;IF(AND(BW128&lt;&gt;"",BX128=""),BV128&amp;"; ","")&amp;IF(AND(CC128&lt;&gt;"",CD128=""),CB128&amp;"; ","")&amp;IF(AND(CI128&lt;&gt;"",CJ128=""),CH128&amp;"; ","")&amp;IF(AND(CO128&lt;&gt;"",CP128=""),CN128&amp;"; ","")),IFERROR(INDEX($A$3:$B$202,(SUMPRODUCT(($BO$3:$BO$202=$A128)*($BR$3:$BR$202="")*ROW($BO$3:$BO$202))+SUMPRODUCT(($BU$3:$BU$202=$A128)*($BX$3:$BX$202="")*ROW($BU$3:$BU$202))+SUMPRODUCT(($CA$3:$CA$202=$A128)*($CD$3:$CD$202="")*ROW($CA$3:$CA$202))+SUMPRODUCT(($CG$3:$CG$202=$A128)*($CJ$3:$CJ$202="")*ROW($CG$3:$CG$202))+SUMPRODUCT(($CM$3:$CM$202=$A128)*($CP$3:$CP$202="")*ROW($CM$3:$CM$202)))-2,2),""))</f>
        <v/>
      </c>
      <c r="S128" s="48" t="inlineStr">
        <is>
          <t>NA</t>
        </is>
      </c>
      <c r="T128" s="48" t="inlineStr"/>
      <c r="U128" s="48" t="inlineStr"/>
      <c r="V128" s="49" t="n">
        <v>45767</v>
      </c>
      <c r="W128" s="48" t="inlineStr">
        <is>
          <t>AEST (UTC+10)</t>
        </is>
      </c>
      <c r="X128" s="48" t="inlineStr">
        <is>
          <t>6am-9am;9am-12pm;</t>
        </is>
      </c>
      <c r="Y128" s="48" t="inlineStr">
        <is>
          <t>9am-12pm;</t>
        </is>
      </c>
      <c r="Z128" s="48" t="inlineStr">
        <is>
          <t>6pm-9pm;</t>
        </is>
      </c>
      <c r="AA128" s="48" t="inlineStr">
        <is>
          <t>12pm-3pm;6pm-9pm;</t>
        </is>
      </c>
      <c r="AB128" s="48" t="inlineStr">
        <is>
          <t>12pm-3pm;</t>
        </is>
      </c>
      <c r="AC128" s="48" t="inlineStr">
        <is>
          <t>12pm-3pm;6pm-9pm;</t>
        </is>
      </c>
      <c r="AD128" s="48" t="inlineStr">
        <is>
          <t>6am-9am;9am-12pm;</t>
        </is>
      </c>
      <c r="AE128" s="48" t="inlineStr">
        <is>
          <t>In-Person</t>
        </is>
      </c>
      <c r="AF128" s="48" t="inlineStr">
        <is>
          <t>Multiple devices</t>
        </is>
      </c>
      <c r="AG128" s="48" t="inlineStr">
        <is>
          <t>Australia</t>
        </is>
      </c>
      <c r="AH128" s="48" t="inlineStr">
        <is>
          <t>Victoria</t>
        </is>
      </c>
      <c r="AI128" s="48" t="inlineStr">
        <is>
          <t>Sunshine</t>
        </is>
      </c>
      <c r="AJ128" s="48" t="inlineStr">
        <is>
          <t>3020</t>
        </is>
      </c>
      <c r="AK128" s="49" t="n">
        <v>27228</v>
      </c>
      <c r="AL128" s="48" t="inlineStr">
        <is>
          <t>Male</t>
        </is>
      </c>
      <c r="AM128" s="48" t="inlineStr">
        <is>
          <t>No</t>
        </is>
      </c>
      <c r="AN128" s="48" t="inlineStr">
        <is>
          <t>A2</t>
        </is>
      </c>
      <c r="AO128" s="48" t="inlineStr">
        <is>
          <t>Moderate</t>
        </is>
      </c>
      <c r="AP128" s="48" t="inlineStr">
        <is>
          <t>Afghanistan</t>
        </is>
      </c>
      <c r="AQ128" s="48" t="inlineStr">
        <is>
          <t>NA</t>
        </is>
      </c>
      <c r="AR128" s="48" t="inlineStr">
        <is>
          <t>Farsi (C1)</t>
        </is>
      </c>
      <c r="AS128" s="48" t="inlineStr">
        <is>
          <t>Hindu</t>
        </is>
      </c>
      <c r="AT128" s="48" t="inlineStr">
        <is>
          <t>Labour, Administrative &amp; Clerical</t>
        </is>
      </c>
      <c r="AU128" s="48" t="inlineStr">
        <is>
          <t>Student</t>
        </is>
      </c>
      <c r="AV128" s="48" t="inlineStr">
        <is>
          <t>Teacher</t>
        </is>
      </c>
      <c r="AW128" s="48" t="inlineStr">
        <is>
          <t>Gardening; Cooking; Walking</t>
        </is>
      </c>
      <c r="AX128" s="48" t="inlineStr">
        <is>
          <t>Refugee</t>
        </is>
      </c>
      <c r="AY128" s="48" t="inlineStr">
        <is>
          <t>NA - RELT Member Verified</t>
        </is>
      </c>
      <c r="AZ128" s="48" t="inlineStr">
        <is>
          <t>Yes</t>
        </is>
      </c>
      <c r="BA128" s="48" t="inlineStr">
        <is>
          <t>NA</t>
        </is>
      </c>
      <c r="BB128" s="48" t="inlineStr">
        <is>
          <t>NA</t>
        </is>
      </c>
      <c r="BC128" s="48" t="inlineStr">
        <is>
          <t>NA</t>
        </is>
      </c>
      <c r="BD128" s="48" t="inlineStr">
        <is>
          <t>NA</t>
        </is>
      </c>
      <c r="BE128" s="48" t="inlineStr"/>
      <c r="BF128" s="48" t="inlineStr"/>
      <c r="BG128" s="48" t="inlineStr">
        <is>
          <t>NA</t>
        </is>
      </c>
      <c r="BH128" s="48" t="inlineStr">
        <is>
          <t>NA - Student</t>
        </is>
      </c>
      <c r="BI128" s="48" t="inlineStr">
        <is>
          <t>Grandmothers for Refugees</t>
        </is>
      </c>
      <c r="BJ128" s="48" t="inlineStr">
        <is>
          <t>MCCRORIE John</t>
        </is>
      </c>
      <c r="BK128" s="48" t="inlineStr">
        <is>
          <t>NUICH Curtis</t>
        </is>
      </c>
      <c r="BL128" s="48" t="inlineStr">
        <is>
          <t>Synthetic test record.</t>
        </is>
      </c>
      <c r="BM128" s="48" t="inlineStr"/>
      <c r="BN128" s="48">
        <f>TRIM(IF(AND($H128="Student",$J128="ADM-ACT-MAT-CNE"),"Invalid: Student cannot be CNE. ","")&amp;IF(AND($H128="Student",ISNUMBER($O128)),"Check: capacity set for a Student. ","")&amp;IF(AND(LEFT($J128,11)="ADM-ACT-MAT",$P128=0),"Check: matched status but 0 active pairings. ","")&amp;IF(AND($H128="Tutor",ISNUMBER($O128),$P128&gt;$O128),"Check: pairings exceed capacity. ","")&amp;IF(AND($BH128="Everyone",NOT(AND($BD128="Yes",$BG128="Yes"))),"Check: approved to tutor children but WWCC not provided/confirmed. ","")&amp;IF(AND($P128&gt;0,NOT(AND(OR(LEFT($AY128,3)="Yes",LEFT($AY128,2)="NA"),OR(LEFT($AZ128,3)="Yes",LEFT($AZ128,2)="NA")))),"Matched but vetting incomplete (interview/reference). ","")&amp;IF(COUNTIF($B$3:$B$600,$B128)&gt;1,"Duplicate participant name. ",""))</f>
        <v/>
      </c>
      <c r="BO128" s="48" t="inlineStr"/>
      <c r="BP128" s="48" t="inlineStr"/>
      <c r="BQ128" s="48" t="inlineStr"/>
      <c r="BR128" s="48" t="inlineStr"/>
      <c r="BS128" s="48" t="inlineStr"/>
      <c r="BT128" s="48" t="inlineStr"/>
      <c r="BU128" s="48" t="inlineStr"/>
      <c r="BV128" s="48" t="inlineStr"/>
      <c r="BW128" s="48" t="inlineStr"/>
      <c r="BX128" s="48" t="inlineStr"/>
      <c r="BY128" s="48" t="inlineStr"/>
      <c r="BZ128" s="48" t="inlineStr"/>
      <c r="CA128" s="48" t="inlineStr"/>
      <c r="CB128" s="48" t="inlineStr"/>
      <c r="CC128" s="48" t="inlineStr"/>
      <c r="CD128" s="48" t="inlineStr"/>
      <c r="CE128" s="48" t="inlineStr"/>
      <c r="CF128" s="48" t="inlineStr"/>
      <c r="CG128" s="48" t="inlineStr"/>
      <c r="CH128" s="48" t="inlineStr"/>
      <c r="CI128" s="48" t="inlineStr"/>
      <c r="CJ128" s="48" t="inlineStr"/>
      <c r="CK128" s="48" t="inlineStr"/>
      <c r="CL128" s="48" t="inlineStr"/>
      <c r="CM128" s="48" t="inlineStr"/>
      <c r="CN128" s="48" t="inlineStr"/>
      <c r="CO128" s="48" t="inlineStr"/>
      <c r="CP128" s="48" t="inlineStr"/>
      <c r="CQ128" s="48" t="inlineStr"/>
      <c r="CR128" s="48" t="inlineStr"/>
      <c r="CS128" s="48">
        <f>IF(LEFT($J128,3)="ERR",0,1)</f>
        <v/>
      </c>
      <c r="CT128" s="48">
        <f>IF(LEFT($J128,3)="ADM",1,0)</f>
        <v/>
      </c>
      <c r="CU128" s="48">
        <f>IF(OR($J128="ADM-ACT-MAT-CNE",$J128="ADM-ACT-MAT-CE",$J128="ADM-INACT-M&amp;T"),1,0)</f>
        <v/>
      </c>
      <c r="CV128" s="48">
        <f>IF(AND(CU128=1,ISNUMBER(M128),ISNUMBER(I128)),M128-I128,"")</f>
        <v/>
      </c>
      <c r="CW128" s="48">
        <f>IF(ISNUMBER(I128),TODAY()-I128,"")</f>
        <v/>
      </c>
      <c r="CX128" s="48">
        <f>IF(ISNUMBER(I128),DATE(YEAR(I128),MONTH(I128),1),"")</f>
        <v/>
      </c>
      <c r="CY128" s="48">
        <f>IFERROR(DATEDIF(AK128,TODAY(),"y"),"")</f>
        <v/>
      </c>
      <c r="CZ128" s="48">
        <f>IF(CY128="","",IF(CY128&lt;28,"18-27",IF(CY128&lt;38,"28-37",IF(CY128&lt;48,"38-47",IF(CY128&lt;58,"48-57",IF(CY128&lt;68,"58-67",IF(CY128&lt;78,"68-77","78+")))))) </f>
        <v/>
      </c>
      <c r="DA128" s="48">
        <f>IF(AND(BQ128&lt;&gt;"",BR128=""),N(BS128),0)+IF(AND(BW128&lt;&gt;"",BX128=""),N(BY128),0)+IF(AND(CC128&lt;&gt;"",CD128=""),N(CE128),0)+IF(AND(CI128&lt;&gt;"",CJ128=""),N(CK128),0)+IF(AND(CO128&lt;&gt;"",CP128=""),N(CQ128),0)</f>
        <v/>
      </c>
      <c r="DB128" s="48">
        <f>ROUND(IF(BQ128&lt;&gt;"",N(BS128)*MAX(0,((IF(BR128="",TODAY(),BR128))-BQ128)/7),0)+IF(BW128&lt;&gt;"",N(BY128)*MAX(0,((IF(BX128="",TODAY(),BX128))-BW128)/7),0)+IF(CC128&lt;&gt;"",N(CE128)*MAX(0,((IF(CD128="",TODAY(),CD128))-CC128)/7),0)+IF(CI128&lt;&gt;"",N(CK128)*MAX(0,((IF(CJ128="",TODAY(),CJ128))-CI128)/7),0)+IF(CO128&lt;&gt;"",N(CQ128)*MAX(0,((IF(CP128="",TODAY(),CP128))-CO128)/7),0),1)</f>
        <v/>
      </c>
      <c r="DC128" s="48">
        <f>IF(OR(TRIM(X128)="",TRIM(X128)="NA;",TRIM(X128)="NA"),0,1)</f>
        <v/>
      </c>
      <c r="DD128" s="48">
        <f>IF(OR(TRIM(Y128)="",TRIM(Y128)="NA;",TRIM(Y128)="NA"),0,1)</f>
        <v/>
      </c>
      <c r="DE128" s="48">
        <f>IF(OR(TRIM(Z128)="",TRIM(Z128)="NA;",TRIM(Z128)="NA"),0,1)</f>
        <v/>
      </c>
      <c r="DF128" s="48">
        <f>IF(OR(TRIM(AA128)="",TRIM(AA128)="NA;",TRIM(AA128)="NA"),0,1)</f>
        <v/>
      </c>
      <c r="DG128" s="48">
        <f>IF(OR(TRIM(AB128)="",TRIM(AB128)="NA;",TRIM(AB128)="NA"),0,1)</f>
        <v/>
      </c>
      <c r="DH128" s="48">
        <f>IF(OR(TRIM(AC128)="",TRIM(AC128)="NA;",TRIM(AC128)="NA"),0,1)</f>
        <v/>
      </c>
      <c r="DI128" s="48">
        <f>IF(OR(TRIM(AD128)="",TRIM(AD128)="NA;",TRIM(AD128)="NA"),0,1)</f>
        <v/>
      </c>
      <c r="DJ128" s="48">
        <f>TRIM(IF(DC128=1,"Mon ","")&amp;IF(DD128=1,"Tue ","")&amp;IF(DE128=1,"Wed ","")&amp;IF(DF128=1,"Thu ","")&amp;IF(DG128=1,"Fri ","")&amp;IF(DH128=1,"Sat ","")&amp;IF(DI128=1,"Sun ",""))</f>
        <v/>
      </c>
    </row>
    <row r="129">
      <c r="A129" s="48" t="inlineStr">
        <is>
          <t>S-O-00027</t>
        </is>
      </c>
      <c r="B129" s="48" t="inlineStr">
        <is>
          <t>Diego Stanley</t>
        </is>
      </c>
      <c r="C129" s="48" t="inlineStr">
        <is>
          <t>diego.stanley27@example.com</t>
        </is>
      </c>
      <c r="D129" s="48" t="inlineStr">
        <is>
          <t>+61 472 048 407</t>
        </is>
      </c>
      <c r="E129" s="48" t="inlineStr">
        <is>
          <t>Iryna Smith</t>
        </is>
      </c>
      <c r="F129" s="48" t="inlineStr">
        <is>
          <t>+61 410 390 628</t>
        </is>
      </c>
      <c r="G129" s="48" t="inlineStr">
        <is>
          <t>Sibling</t>
        </is>
      </c>
      <c r="H129" s="48" t="inlineStr">
        <is>
          <t>Student</t>
        </is>
      </c>
      <c r="I129" s="49" t="n">
        <v>45476</v>
      </c>
      <c r="J129" s="48" t="inlineStr">
        <is>
          <t>ADM-ACT-MAT-CE</t>
        </is>
      </c>
      <c r="K129" s="48">
        <f>IFERROR(VLOOKUP(J129,'(A) Introduction'!$B$35:$C$45,2,FALSE),"")</f>
        <v/>
      </c>
      <c r="L129" s="48" t="inlineStr">
        <is>
          <t>No</t>
        </is>
      </c>
      <c r="M129" s="49" t="n">
        <v>45526</v>
      </c>
      <c r="N129" s="48" t="inlineStr"/>
      <c r="O129" s="48" t="inlineStr">
        <is>
          <t>NA</t>
        </is>
      </c>
      <c r="P129" s="48">
        <f>IF($H129="Tutor",((BQ129&lt;&gt;"")*(BR129=""))+((BW129&lt;&gt;"")*(BX129=""))+((CC129&lt;&gt;"")*(CD129=""))+((CI129&lt;&gt;"")*(CJ129=""))+((CO129&lt;&gt;"")*(CP129="")),SUMPRODUCT(--($BO$3:$BO$202=$A129),--($BR$3:$BR$202=""))+SUMPRODUCT(--($BU$3:$BU$202=$A129),--($BX$3:$BX$202=""))+SUMPRODUCT(--($CA$3:$CA$202=$A129),--($CD$3:$CD$202=""))+SUMPRODUCT(--($CG$3:$CG$202=$A129),--($CJ$3:$CJ$202=""))+SUMPRODUCT(--($CM$3:$CM$202=$A129),--($CP$3:$CP$202="")))</f>
        <v/>
      </c>
      <c r="Q129" s="48">
        <f>IF($H129="Tutor",(BQ129&lt;&gt;"")+(BW129&lt;&gt;"")+(CC129&lt;&gt;"")+(CI129&lt;&gt;"")+(CO129&lt;&gt;""),SUMPRODUCT(--($BO$3:$BO$202=$A129))+SUMPRODUCT(--($BU$3:$BU$202=$A129))+SUMPRODUCT(--($CA$3:$CA$202=$A129))+SUMPRODUCT(--($CG$3:$CG$202=$A129))+SUMPRODUCT(--($CM$3:$CM$202=$A129)))</f>
        <v/>
      </c>
      <c r="R129" s="48">
        <f>IF($H129="Tutor",TRIM(IF(AND(BQ129&lt;&gt;"",BR129=""),BP129&amp;"; ","")&amp;IF(AND(BW129&lt;&gt;"",BX129=""),BV129&amp;"; ","")&amp;IF(AND(CC129&lt;&gt;"",CD129=""),CB129&amp;"; ","")&amp;IF(AND(CI129&lt;&gt;"",CJ129=""),CH129&amp;"; ","")&amp;IF(AND(CO129&lt;&gt;"",CP129=""),CN129&amp;"; ","")),IFERROR(INDEX($A$3:$B$202,(SUMPRODUCT(($BO$3:$BO$202=$A129)*($BR$3:$BR$202="")*ROW($BO$3:$BO$202))+SUMPRODUCT(($BU$3:$BU$202=$A129)*($BX$3:$BX$202="")*ROW($BU$3:$BU$202))+SUMPRODUCT(($CA$3:$CA$202=$A129)*($CD$3:$CD$202="")*ROW($CA$3:$CA$202))+SUMPRODUCT(($CG$3:$CG$202=$A129)*($CJ$3:$CJ$202="")*ROW($CG$3:$CG$202))+SUMPRODUCT(($CM$3:$CM$202=$A129)*($CP$3:$CP$202="")*ROW($CM$3:$CM$202)))-2,2),""))</f>
        <v/>
      </c>
      <c r="S129" s="48" t="inlineStr">
        <is>
          <t>NA</t>
        </is>
      </c>
      <c r="T129" s="48" t="inlineStr"/>
      <c r="U129" s="48" t="inlineStr"/>
      <c r="V129" s="49" t="n">
        <v>46046</v>
      </c>
      <c r="W129" s="48" t="inlineStr">
        <is>
          <t>AEST (UTC+10)</t>
        </is>
      </c>
      <c r="X129" s="48" t="inlineStr">
        <is>
          <t>NA;</t>
        </is>
      </c>
      <c r="Y129" s="48" t="inlineStr">
        <is>
          <t>12pm-3pm;</t>
        </is>
      </c>
      <c r="Z129" s="48" t="inlineStr">
        <is>
          <t>3pm-6pm;</t>
        </is>
      </c>
      <c r="AA129" s="48" t="inlineStr">
        <is>
          <t>6pm-9pm;</t>
        </is>
      </c>
      <c r="AB129" s="48" t="inlineStr">
        <is>
          <t>6pm-9pm;</t>
        </is>
      </c>
      <c r="AC129" s="48" t="inlineStr">
        <is>
          <t>6pm-9pm;</t>
        </is>
      </c>
      <c r="AD129" s="48" t="inlineStr">
        <is>
          <t>6am-9am;9am-12pm;</t>
        </is>
      </c>
      <c r="AE129" s="48" t="inlineStr">
        <is>
          <t>In-Person</t>
        </is>
      </c>
      <c r="AF129" s="48" t="inlineStr">
        <is>
          <t>Tablet</t>
        </is>
      </c>
      <c r="AG129" s="48" t="inlineStr">
        <is>
          <t>Australia</t>
        </is>
      </c>
      <c r="AH129" s="48" t="inlineStr">
        <is>
          <t>Victoria</t>
        </is>
      </c>
      <c r="AI129" s="48" t="inlineStr">
        <is>
          <t>Sunshine</t>
        </is>
      </c>
      <c r="AJ129" s="48" t="inlineStr">
        <is>
          <t>3020</t>
        </is>
      </c>
      <c r="AK129" s="49" t="n">
        <v>28550</v>
      </c>
      <c r="AL129" s="48" t="inlineStr">
        <is>
          <t>Other</t>
        </is>
      </c>
      <c r="AM129" s="48" t="inlineStr">
        <is>
          <t>No</t>
        </is>
      </c>
      <c r="AN129" s="48" t="inlineStr">
        <is>
          <t>B1</t>
        </is>
      </c>
      <c r="AO129" s="48" t="inlineStr">
        <is>
          <t>Low</t>
        </is>
      </c>
      <c r="AP129" s="48" t="inlineStr">
        <is>
          <t>Colombia; Venezuela</t>
        </is>
      </c>
      <c r="AQ129" s="48" t="inlineStr">
        <is>
          <t>NA</t>
        </is>
      </c>
      <c r="AR129" s="48" t="inlineStr">
        <is>
          <t>Pashto (B2)</t>
        </is>
      </c>
      <c r="AS129" s="48" t="inlineStr">
        <is>
          <t>Christian (Orthodox)</t>
        </is>
      </c>
      <c r="AT129" s="48" t="inlineStr">
        <is>
          <t>Social &amp; Community Services</t>
        </is>
      </c>
      <c r="AU129" s="48" t="inlineStr">
        <is>
          <t>Aged Care Worker</t>
        </is>
      </c>
      <c r="AV129" s="48" t="inlineStr">
        <is>
          <t>Child Care</t>
        </is>
      </c>
      <c r="AW129" s="48" t="inlineStr">
        <is>
          <t>Reading; Politics; Music</t>
        </is>
      </c>
      <c r="AX129" s="48" t="inlineStr">
        <is>
          <t>Refugee</t>
        </is>
      </c>
      <c r="AY129" s="48" t="inlineStr">
        <is>
          <t>NA - Partner Organisation Verified</t>
        </is>
      </c>
      <c r="AZ129" s="48" t="inlineStr">
        <is>
          <t>No</t>
        </is>
      </c>
      <c r="BA129" s="48" t="inlineStr">
        <is>
          <t>NA</t>
        </is>
      </c>
      <c r="BB129" s="48" t="inlineStr">
        <is>
          <t>NA</t>
        </is>
      </c>
      <c r="BC129" s="48" t="inlineStr">
        <is>
          <t>NA</t>
        </is>
      </c>
      <c r="BD129" s="48" t="inlineStr">
        <is>
          <t>NA</t>
        </is>
      </c>
      <c r="BE129" s="48" t="inlineStr"/>
      <c r="BF129" s="48" t="inlineStr"/>
      <c r="BG129" s="48" t="inlineStr">
        <is>
          <t>NA</t>
        </is>
      </c>
      <c r="BH129" s="48" t="inlineStr">
        <is>
          <t>NA - Student</t>
        </is>
      </c>
      <c r="BI129" s="48" t="inlineStr">
        <is>
          <t>Refugee Advice and Casework Service</t>
        </is>
      </c>
      <c r="BJ129" s="48" t="inlineStr">
        <is>
          <t>THET Moh Moh</t>
        </is>
      </c>
      <c r="BK129" s="48" t="inlineStr">
        <is>
          <t>SHANAHAN Jack</t>
        </is>
      </c>
      <c r="BL129" s="48" t="inlineStr">
        <is>
          <t>Synthetic test record.</t>
        </is>
      </c>
      <c r="BM129" s="48" t="inlineStr"/>
      <c r="BN129" s="48">
        <f>TRIM(IF(AND($H129="Student",$J129="ADM-ACT-MAT-CNE"),"Invalid: Student cannot be CNE. ","")&amp;IF(AND($H129="Student",ISNUMBER($O129)),"Check: capacity set for a Student. ","")&amp;IF(AND(LEFT($J129,11)="ADM-ACT-MAT",$P129=0),"Check: matched status but 0 active pairings. ","")&amp;IF(AND($H129="Tutor",ISNUMBER($O129),$P129&gt;$O129),"Check: pairings exceed capacity. ","")&amp;IF(AND($BH129="Everyone",NOT(AND($BD129="Yes",$BG129="Yes"))),"Check: approved to tutor children but WWCC not provided/confirmed. ","")&amp;IF(AND($P129&gt;0,NOT(AND(OR(LEFT($AY129,3)="Yes",LEFT($AY129,2)="NA"),OR(LEFT($AZ129,3)="Yes",LEFT($AZ129,2)="NA")))),"Matched but vetting incomplete (interview/reference). ","")&amp;IF(COUNTIF($B$3:$B$600,$B129)&gt;1,"Duplicate participant name. ",""))</f>
        <v/>
      </c>
      <c r="BO129" s="48" t="inlineStr"/>
      <c r="BP129" s="48" t="inlineStr"/>
      <c r="BQ129" s="48" t="inlineStr"/>
      <c r="BR129" s="48" t="inlineStr"/>
      <c r="BS129" s="48" t="inlineStr"/>
      <c r="BT129" s="48" t="inlineStr"/>
      <c r="BU129" s="48" t="inlineStr"/>
      <c r="BV129" s="48" t="inlineStr"/>
      <c r="BW129" s="48" t="inlineStr"/>
      <c r="BX129" s="48" t="inlineStr"/>
      <c r="BY129" s="48" t="inlineStr"/>
      <c r="BZ129" s="48" t="inlineStr"/>
      <c r="CA129" s="48" t="inlineStr"/>
      <c r="CB129" s="48" t="inlineStr"/>
      <c r="CC129" s="48" t="inlineStr"/>
      <c r="CD129" s="48" t="inlineStr"/>
      <c r="CE129" s="48" t="inlineStr"/>
      <c r="CF129" s="48" t="inlineStr"/>
      <c r="CG129" s="48" t="inlineStr"/>
      <c r="CH129" s="48" t="inlineStr"/>
      <c r="CI129" s="48" t="inlineStr"/>
      <c r="CJ129" s="48" t="inlineStr"/>
      <c r="CK129" s="48" t="inlineStr"/>
      <c r="CL129" s="48" t="inlineStr"/>
      <c r="CM129" s="48" t="inlineStr"/>
      <c r="CN129" s="48" t="inlineStr"/>
      <c r="CO129" s="48" t="inlineStr"/>
      <c r="CP129" s="48" t="inlineStr"/>
      <c r="CQ129" s="48" t="inlineStr"/>
      <c r="CR129" s="48" t="inlineStr"/>
      <c r="CS129" s="48">
        <f>IF(LEFT($J129,3)="ERR",0,1)</f>
        <v/>
      </c>
      <c r="CT129" s="48">
        <f>IF(LEFT($J129,3)="ADM",1,0)</f>
        <v/>
      </c>
      <c r="CU129" s="48">
        <f>IF(OR($J129="ADM-ACT-MAT-CNE",$J129="ADM-ACT-MAT-CE",$J129="ADM-INACT-M&amp;T"),1,0)</f>
        <v/>
      </c>
      <c r="CV129" s="48">
        <f>IF(AND(CU129=1,ISNUMBER(M129),ISNUMBER(I129)),M129-I129,"")</f>
        <v/>
      </c>
      <c r="CW129" s="48">
        <f>IF(ISNUMBER(I129),TODAY()-I129,"")</f>
        <v/>
      </c>
      <c r="CX129" s="48">
        <f>IF(ISNUMBER(I129),DATE(YEAR(I129),MONTH(I129),1),"")</f>
        <v/>
      </c>
      <c r="CY129" s="48">
        <f>IFERROR(DATEDIF(AK129,TODAY(),"y"),"")</f>
        <v/>
      </c>
      <c r="CZ129" s="48">
        <f>IF(CY129="","",IF(CY129&lt;28,"18-27",IF(CY129&lt;38,"28-37",IF(CY129&lt;48,"38-47",IF(CY129&lt;58,"48-57",IF(CY129&lt;68,"58-67",IF(CY129&lt;78,"68-77","78+")))))) </f>
        <v/>
      </c>
      <c r="DA129" s="48">
        <f>IF(AND(BQ129&lt;&gt;"",BR129=""),N(BS129),0)+IF(AND(BW129&lt;&gt;"",BX129=""),N(BY129),0)+IF(AND(CC129&lt;&gt;"",CD129=""),N(CE129),0)+IF(AND(CI129&lt;&gt;"",CJ129=""),N(CK129),0)+IF(AND(CO129&lt;&gt;"",CP129=""),N(CQ129),0)</f>
        <v/>
      </c>
      <c r="DB129" s="48">
        <f>ROUND(IF(BQ129&lt;&gt;"",N(BS129)*MAX(0,((IF(BR129="",TODAY(),BR129))-BQ129)/7),0)+IF(BW129&lt;&gt;"",N(BY129)*MAX(0,((IF(BX129="",TODAY(),BX129))-BW129)/7),0)+IF(CC129&lt;&gt;"",N(CE129)*MAX(0,((IF(CD129="",TODAY(),CD129))-CC129)/7),0)+IF(CI129&lt;&gt;"",N(CK129)*MAX(0,((IF(CJ129="",TODAY(),CJ129))-CI129)/7),0)+IF(CO129&lt;&gt;"",N(CQ129)*MAX(0,((IF(CP129="",TODAY(),CP129))-CO129)/7),0),1)</f>
        <v/>
      </c>
      <c r="DC129" s="48">
        <f>IF(OR(TRIM(X129)="",TRIM(X129)="NA;",TRIM(X129)="NA"),0,1)</f>
        <v/>
      </c>
      <c r="DD129" s="48">
        <f>IF(OR(TRIM(Y129)="",TRIM(Y129)="NA;",TRIM(Y129)="NA"),0,1)</f>
        <v/>
      </c>
      <c r="DE129" s="48">
        <f>IF(OR(TRIM(Z129)="",TRIM(Z129)="NA;",TRIM(Z129)="NA"),0,1)</f>
        <v/>
      </c>
      <c r="DF129" s="48">
        <f>IF(OR(TRIM(AA129)="",TRIM(AA129)="NA;",TRIM(AA129)="NA"),0,1)</f>
        <v/>
      </c>
      <c r="DG129" s="48">
        <f>IF(OR(TRIM(AB129)="",TRIM(AB129)="NA;",TRIM(AB129)="NA"),0,1)</f>
        <v/>
      </c>
      <c r="DH129" s="48">
        <f>IF(OR(TRIM(AC129)="",TRIM(AC129)="NA;",TRIM(AC129)="NA"),0,1)</f>
        <v/>
      </c>
      <c r="DI129" s="48">
        <f>IF(OR(TRIM(AD129)="",TRIM(AD129)="NA;",TRIM(AD129)="NA"),0,1)</f>
        <v/>
      </c>
      <c r="DJ129" s="48">
        <f>TRIM(IF(DC129=1,"Mon ","")&amp;IF(DD129=1,"Tue ","")&amp;IF(DE129=1,"Wed ","")&amp;IF(DF129=1,"Thu ","")&amp;IF(DG129=1,"Fri ","")&amp;IF(DH129=1,"Sat ","")&amp;IF(DI129=1,"Sun ",""))</f>
        <v/>
      </c>
    </row>
    <row r="130">
      <c r="A130" s="48" t="inlineStr">
        <is>
          <t>S-O-00028</t>
        </is>
      </c>
      <c r="B130" s="48" t="inlineStr">
        <is>
          <t>Rania Petrov</t>
        </is>
      </c>
      <c r="C130" s="48" t="inlineStr">
        <is>
          <t>rania.petrov28@example.com</t>
        </is>
      </c>
      <c r="D130" s="48" t="inlineStr">
        <is>
          <t>+61 481 827 950</t>
        </is>
      </c>
      <c r="E130" s="48" t="inlineStr">
        <is>
          <t>Sam Garcia</t>
        </is>
      </c>
      <c r="F130" s="48" t="inlineStr">
        <is>
          <t>+61 426 170 406</t>
        </is>
      </c>
      <c r="G130" s="48" t="inlineStr">
        <is>
          <t>Spouse</t>
        </is>
      </c>
      <c r="H130" s="48" t="inlineStr">
        <is>
          <t>Student</t>
        </is>
      </c>
      <c r="I130" s="49" t="n">
        <v>45480</v>
      </c>
      <c r="J130" s="48" t="inlineStr">
        <is>
          <t>ERR-DUP</t>
        </is>
      </c>
      <c r="K130" s="48">
        <f>IFERROR(VLOOKUP(J130,'(A) Introduction'!$B$35:$C$45,2,FALSE),"")</f>
        <v/>
      </c>
      <c r="L130" s="48" t="inlineStr">
        <is>
          <t>No</t>
        </is>
      </c>
      <c r="M130" s="48" t="inlineStr"/>
      <c r="N130" s="48" t="inlineStr"/>
      <c r="O130" s="48" t="inlineStr">
        <is>
          <t>NA</t>
        </is>
      </c>
      <c r="P130" s="48">
        <f>IF($H130="Tutor",((BQ130&lt;&gt;"")*(BR130=""))+((BW130&lt;&gt;"")*(BX130=""))+((CC130&lt;&gt;"")*(CD130=""))+((CI130&lt;&gt;"")*(CJ130=""))+((CO130&lt;&gt;"")*(CP130="")),SUMPRODUCT(--($BO$3:$BO$202=$A130),--($BR$3:$BR$202=""))+SUMPRODUCT(--($BU$3:$BU$202=$A130),--($BX$3:$BX$202=""))+SUMPRODUCT(--($CA$3:$CA$202=$A130),--($CD$3:$CD$202=""))+SUMPRODUCT(--($CG$3:$CG$202=$A130),--($CJ$3:$CJ$202=""))+SUMPRODUCT(--($CM$3:$CM$202=$A130),--($CP$3:$CP$202="")))</f>
        <v/>
      </c>
      <c r="Q130" s="48">
        <f>IF($H130="Tutor",(BQ130&lt;&gt;"")+(BW130&lt;&gt;"")+(CC130&lt;&gt;"")+(CI130&lt;&gt;"")+(CO130&lt;&gt;""),SUMPRODUCT(--($BO$3:$BO$202=$A130))+SUMPRODUCT(--($BU$3:$BU$202=$A130))+SUMPRODUCT(--($CA$3:$CA$202=$A130))+SUMPRODUCT(--($CG$3:$CG$202=$A130))+SUMPRODUCT(--($CM$3:$CM$202=$A130)))</f>
        <v/>
      </c>
      <c r="R130" s="48">
        <f>IF($H130="Tutor",TRIM(IF(AND(BQ130&lt;&gt;"",BR130=""),BP130&amp;"; ","")&amp;IF(AND(BW130&lt;&gt;"",BX130=""),BV130&amp;"; ","")&amp;IF(AND(CC130&lt;&gt;"",CD130=""),CB130&amp;"; ","")&amp;IF(AND(CI130&lt;&gt;"",CJ130=""),CH130&amp;"; ","")&amp;IF(AND(CO130&lt;&gt;"",CP130=""),CN130&amp;"; ","")),IFERROR(INDEX($A$3:$B$202,(SUMPRODUCT(($BO$3:$BO$202=$A130)*($BR$3:$BR$202="")*ROW($BO$3:$BO$202))+SUMPRODUCT(($BU$3:$BU$202=$A130)*($BX$3:$BX$202="")*ROW($BU$3:$BU$202))+SUMPRODUCT(($CA$3:$CA$202=$A130)*($CD$3:$CD$202="")*ROW($CA$3:$CA$202))+SUMPRODUCT(($CG$3:$CG$202=$A130)*($CJ$3:$CJ$202="")*ROW($CG$3:$CG$202))+SUMPRODUCT(($CM$3:$CM$202=$A130)*($CP$3:$CP$202="")*ROW($CM$3:$CM$202)))-2,2),""))</f>
        <v/>
      </c>
      <c r="S130" s="48" t="inlineStr">
        <is>
          <t>Not Provided</t>
        </is>
      </c>
      <c r="T130" s="48" t="inlineStr"/>
      <c r="U130" s="48" t="inlineStr"/>
      <c r="V130" s="48" t="inlineStr"/>
      <c r="W130" s="48" t="inlineStr">
        <is>
          <t>ACDT (UTC+10:30)</t>
        </is>
      </c>
      <c r="X130" s="48" t="inlineStr">
        <is>
          <t>12pm-3pm;6pm-9pm;</t>
        </is>
      </c>
      <c r="Y130" s="48" t="inlineStr">
        <is>
          <t>6pm-9pm;</t>
        </is>
      </c>
      <c r="Z130" s="48" t="inlineStr">
        <is>
          <t>6pm-9pm;</t>
        </is>
      </c>
      <c r="AA130" s="48" t="inlineStr">
        <is>
          <t>9am-12pm;</t>
        </is>
      </c>
      <c r="AB130" s="48" t="inlineStr">
        <is>
          <t>6am-9am;9am-12pm;</t>
        </is>
      </c>
      <c r="AC130" s="48" t="inlineStr">
        <is>
          <t>12pm-3pm;</t>
        </is>
      </c>
      <c r="AD130" s="48" t="inlineStr">
        <is>
          <t>6am-9am;9am-12pm;</t>
        </is>
      </c>
      <c r="AE130" s="48" t="inlineStr">
        <is>
          <t>In-Person</t>
        </is>
      </c>
      <c r="AF130" s="48" t="inlineStr">
        <is>
          <t>Tablet</t>
        </is>
      </c>
      <c r="AG130" s="48" t="inlineStr">
        <is>
          <t>Australia</t>
        </is>
      </c>
      <c r="AH130" s="48" t="inlineStr">
        <is>
          <t>New South Wales</t>
        </is>
      </c>
      <c r="AI130" s="48" t="inlineStr">
        <is>
          <t>Greenacre</t>
        </is>
      </c>
      <c r="AJ130" s="48" t="inlineStr">
        <is>
          <t>2190</t>
        </is>
      </c>
      <c r="AK130" s="49" t="n">
        <v>34286</v>
      </c>
      <c r="AL130" s="48" t="inlineStr">
        <is>
          <t>Male</t>
        </is>
      </c>
      <c r="AM130" s="48" t="inlineStr">
        <is>
          <t>Yes</t>
        </is>
      </c>
      <c r="AN130" s="48" t="inlineStr">
        <is>
          <t>B1</t>
        </is>
      </c>
      <c r="AO130" s="48" t="inlineStr">
        <is>
          <t>Outstanding</t>
        </is>
      </c>
      <c r="AP130" s="48" t="inlineStr">
        <is>
          <t>Palestine</t>
        </is>
      </c>
      <c r="AQ130" s="48" t="inlineStr">
        <is>
          <t>NA</t>
        </is>
      </c>
      <c r="AR130" s="48" t="inlineStr">
        <is>
          <t>Somali (C1)</t>
        </is>
      </c>
      <c r="AS130" s="48" t="inlineStr">
        <is>
          <t>NA</t>
        </is>
      </c>
      <c r="AT130" s="48" t="inlineStr">
        <is>
          <t>Labour, Administrative &amp; Clerical</t>
        </is>
      </c>
      <c r="AU130" s="48" t="inlineStr">
        <is>
          <t>Nurse</t>
        </is>
      </c>
      <c r="AV130" s="48" t="inlineStr">
        <is>
          <t>Teacher</t>
        </is>
      </c>
      <c r="AW130" s="48" t="inlineStr">
        <is>
          <t>Gardening; Cooking; Walking</t>
        </is>
      </c>
      <c r="AX130" s="48" t="inlineStr">
        <is>
          <t>Refugee</t>
        </is>
      </c>
      <c r="AY130" s="48" t="inlineStr">
        <is>
          <t>Yes</t>
        </is>
      </c>
      <c r="AZ130" s="48" t="inlineStr">
        <is>
          <t>Yes</t>
        </is>
      </c>
      <c r="BA130" s="48" t="inlineStr">
        <is>
          <t>NA</t>
        </is>
      </c>
      <c r="BB130" s="48" t="inlineStr">
        <is>
          <t>NA</t>
        </is>
      </c>
      <c r="BC130" s="48" t="inlineStr">
        <is>
          <t>NA</t>
        </is>
      </c>
      <c r="BD130" s="48" t="inlineStr">
        <is>
          <t>NA</t>
        </is>
      </c>
      <c r="BE130" s="48" t="inlineStr"/>
      <c r="BF130" s="48" t="inlineStr"/>
      <c r="BG130" s="48" t="inlineStr">
        <is>
          <t>NA</t>
        </is>
      </c>
      <c r="BH130" s="48" t="inlineStr">
        <is>
          <t>NA - Student</t>
        </is>
      </c>
      <c r="BI130" s="48" t="inlineStr">
        <is>
          <t>National Justice Project</t>
        </is>
      </c>
      <c r="BJ130" s="48" t="inlineStr">
        <is>
          <t>ZULMAN Levi</t>
        </is>
      </c>
      <c r="BK130" s="48" t="inlineStr">
        <is>
          <t>ZULMAN Levi</t>
        </is>
      </c>
      <c r="BL130" s="48" t="inlineStr">
        <is>
          <t>Synthetic test record.</t>
        </is>
      </c>
      <c r="BM130" s="48" t="inlineStr"/>
      <c r="BN130" s="48">
        <f>TRIM(IF(AND($H130="Student",$J130="ADM-ACT-MAT-CNE"),"Invalid: Student cannot be CNE. ","")&amp;IF(AND($H130="Student",ISNUMBER($O130)),"Check: capacity set for a Student. ","")&amp;IF(AND(LEFT($J130,11)="ADM-ACT-MAT",$P130=0),"Check: matched status but 0 active pairings. ","")&amp;IF(AND($H130="Tutor",ISNUMBER($O130),$P130&gt;$O130),"Check: pairings exceed capacity. ","")&amp;IF(AND($BH130="Everyone",NOT(AND($BD130="Yes",$BG130="Yes"))),"Check: approved to tutor children but WWCC not provided/confirmed. ","")&amp;IF(AND($P130&gt;0,NOT(AND(OR(LEFT($AY130,3)="Yes",LEFT($AY130,2)="NA"),OR(LEFT($AZ130,3)="Yes",LEFT($AZ130,2)="NA")))),"Matched but vetting incomplete (interview/reference). ","")&amp;IF(COUNTIF($B$3:$B$600,$B130)&gt;1,"Duplicate participant name. ",""))</f>
        <v/>
      </c>
      <c r="BO130" s="48" t="inlineStr"/>
      <c r="BP130" s="48" t="inlineStr"/>
      <c r="BQ130" s="48" t="inlineStr"/>
      <c r="BR130" s="48" t="inlineStr"/>
      <c r="BS130" s="48" t="inlineStr"/>
      <c r="BT130" s="48" t="inlineStr"/>
      <c r="BU130" s="48" t="inlineStr"/>
      <c r="BV130" s="48" t="inlineStr"/>
      <c r="BW130" s="48" t="inlineStr"/>
      <c r="BX130" s="48" t="inlineStr"/>
      <c r="BY130" s="48" t="inlineStr"/>
      <c r="BZ130" s="48" t="inlineStr"/>
      <c r="CA130" s="48" t="inlineStr"/>
      <c r="CB130" s="48" t="inlineStr"/>
      <c r="CC130" s="48" t="inlineStr"/>
      <c r="CD130" s="48" t="inlineStr"/>
      <c r="CE130" s="48" t="inlineStr"/>
      <c r="CF130" s="48" t="inlineStr"/>
      <c r="CG130" s="48" t="inlineStr"/>
      <c r="CH130" s="48" t="inlineStr"/>
      <c r="CI130" s="48" t="inlineStr"/>
      <c r="CJ130" s="48" t="inlineStr"/>
      <c r="CK130" s="48" t="inlineStr"/>
      <c r="CL130" s="48" t="inlineStr"/>
      <c r="CM130" s="48" t="inlineStr"/>
      <c r="CN130" s="48" t="inlineStr"/>
      <c r="CO130" s="48" t="inlineStr"/>
      <c r="CP130" s="48" t="inlineStr"/>
      <c r="CQ130" s="48" t="inlineStr"/>
      <c r="CR130" s="48" t="inlineStr"/>
      <c r="CS130" s="48">
        <f>IF(LEFT($J130,3)="ERR",0,1)</f>
        <v/>
      </c>
      <c r="CT130" s="48">
        <f>IF(LEFT($J130,3)="ADM",1,0)</f>
        <v/>
      </c>
      <c r="CU130" s="48">
        <f>IF(OR($J130="ADM-ACT-MAT-CNE",$J130="ADM-ACT-MAT-CE",$J130="ADM-INACT-M&amp;T"),1,0)</f>
        <v/>
      </c>
      <c r="CV130" s="48">
        <f>IF(AND(CU130=1,ISNUMBER(M130),ISNUMBER(I130)),M130-I130,"")</f>
        <v/>
      </c>
      <c r="CW130" s="48">
        <f>IF(ISNUMBER(I130),TODAY()-I130,"")</f>
        <v/>
      </c>
      <c r="CX130" s="48">
        <f>IF(ISNUMBER(I130),DATE(YEAR(I130),MONTH(I130),1),"")</f>
        <v/>
      </c>
      <c r="CY130" s="48">
        <f>IFERROR(DATEDIF(AK130,TODAY(),"y"),"")</f>
        <v/>
      </c>
      <c r="CZ130" s="48">
        <f>IF(CY130="","",IF(CY130&lt;28,"18-27",IF(CY130&lt;38,"28-37",IF(CY130&lt;48,"38-47",IF(CY130&lt;58,"48-57",IF(CY130&lt;68,"58-67",IF(CY130&lt;78,"68-77","78+")))))) </f>
        <v/>
      </c>
      <c r="DA130" s="48">
        <f>IF(AND(BQ130&lt;&gt;"",BR130=""),N(BS130),0)+IF(AND(BW130&lt;&gt;"",BX130=""),N(BY130),0)+IF(AND(CC130&lt;&gt;"",CD130=""),N(CE130),0)+IF(AND(CI130&lt;&gt;"",CJ130=""),N(CK130),0)+IF(AND(CO130&lt;&gt;"",CP130=""),N(CQ130),0)</f>
        <v/>
      </c>
      <c r="DB130" s="48">
        <f>ROUND(IF(BQ130&lt;&gt;"",N(BS130)*MAX(0,((IF(BR130="",TODAY(),BR130))-BQ130)/7),0)+IF(BW130&lt;&gt;"",N(BY130)*MAX(0,((IF(BX130="",TODAY(),BX130))-BW130)/7),0)+IF(CC130&lt;&gt;"",N(CE130)*MAX(0,((IF(CD130="",TODAY(),CD130))-CC130)/7),0)+IF(CI130&lt;&gt;"",N(CK130)*MAX(0,((IF(CJ130="",TODAY(),CJ130))-CI130)/7),0)+IF(CO130&lt;&gt;"",N(CQ130)*MAX(0,((IF(CP130="",TODAY(),CP130))-CO130)/7),0),1)</f>
        <v/>
      </c>
      <c r="DC130" s="48">
        <f>IF(OR(TRIM(X130)="",TRIM(X130)="NA;",TRIM(X130)="NA"),0,1)</f>
        <v/>
      </c>
      <c r="DD130" s="48">
        <f>IF(OR(TRIM(Y130)="",TRIM(Y130)="NA;",TRIM(Y130)="NA"),0,1)</f>
        <v/>
      </c>
      <c r="DE130" s="48">
        <f>IF(OR(TRIM(Z130)="",TRIM(Z130)="NA;",TRIM(Z130)="NA"),0,1)</f>
        <v/>
      </c>
      <c r="DF130" s="48">
        <f>IF(OR(TRIM(AA130)="",TRIM(AA130)="NA;",TRIM(AA130)="NA"),0,1)</f>
        <v/>
      </c>
      <c r="DG130" s="48">
        <f>IF(OR(TRIM(AB130)="",TRIM(AB130)="NA;",TRIM(AB130)="NA"),0,1)</f>
        <v/>
      </c>
      <c r="DH130" s="48">
        <f>IF(OR(TRIM(AC130)="",TRIM(AC130)="NA;",TRIM(AC130)="NA"),0,1)</f>
        <v/>
      </c>
      <c r="DI130" s="48">
        <f>IF(OR(TRIM(AD130)="",TRIM(AD130)="NA;",TRIM(AD130)="NA"),0,1)</f>
        <v/>
      </c>
      <c r="DJ130" s="48">
        <f>TRIM(IF(DC130=1,"Mon ","")&amp;IF(DD130=1,"Tue ","")&amp;IF(DE130=1,"Wed ","")&amp;IF(DF130=1,"Thu ","")&amp;IF(DG130=1,"Fri ","")&amp;IF(DH130=1,"Sat ","")&amp;IF(DI130=1,"Sun ",""))</f>
        <v/>
      </c>
    </row>
    <row r="131">
      <c r="A131" s="48" t="inlineStr">
        <is>
          <t>S-O-00029</t>
        </is>
      </c>
      <c r="B131" s="48" t="inlineStr">
        <is>
          <t>Fatima Hassan</t>
        </is>
      </c>
      <c r="C131" s="48" t="inlineStr">
        <is>
          <t>fatima.hassan29@example.com</t>
        </is>
      </c>
      <c r="D131" s="48" t="inlineStr">
        <is>
          <t>+61 470 055 026</t>
        </is>
      </c>
      <c r="E131" s="48" t="inlineStr">
        <is>
          <t>Yusuf Wright</t>
        </is>
      </c>
      <c r="F131" s="48" t="inlineStr">
        <is>
          <t>+61 476 467 646</t>
        </is>
      </c>
      <c r="G131" s="48" t="inlineStr">
        <is>
          <t>Caseworker</t>
        </is>
      </c>
      <c r="H131" s="48" t="inlineStr">
        <is>
          <t>Student</t>
        </is>
      </c>
      <c r="I131" s="49" t="n">
        <v>45493</v>
      </c>
      <c r="J131" s="48" t="inlineStr">
        <is>
          <t>ADM-ACT-MAT-CE</t>
        </is>
      </c>
      <c r="K131" s="48">
        <f>IFERROR(VLOOKUP(J131,'(A) Introduction'!$B$35:$C$45,2,FALSE),"")</f>
        <v/>
      </c>
      <c r="L131" s="48" t="inlineStr">
        <is>
          <t>No</t>
        </is>
      </c>
      <c r="M131" s="49" t="n">
        <v>45542</v>
      </c>
      <c r="N131" s="48" t="inlineStr"/>
      <c r="O131" s="48" t="inlineStr">
        <is>
          <t>NA</t>
        </is>
      </c>
      <c r="P131" s="48">
        <f>IF($H131="Tutor",((BQ131&lt;&gt;"")*(BR131=""))+((BW131&lt;&gt;"")*(BX131=""))+((CC131&lt;&gt;"")*(CD131=""))+((CI131&lt;&gt;"")*(CJ131=""))+((CO131&lt;&gt;"")*(CP131="")),SUMPRODUCT(--($BO$3:$BO$202=$A131),--($BR$3:$BR$202=""))+SUMPRODUCT(--($BU$3:$BU$202=$A131),--($BX$3:$BX$202=""))+SUMPRODUCT(--($CA$3:$CA$202=$A131),--($CD$3:$CD$202=""))+SUMPRODUCT(--($CG$3:$CG$202=$A131),--($CJ$3:$CJ$202=""))+SUMPRODUCT(--($CM$3:$CM$202=$A131),--($CP$3:$CP$202="")))</f>
        <v/>
      </c>
      <c r="Q131" s="48">
        <f>IF($H131="Tutor",(BQ131&lt;&gt;"")+(BW131&lt;&gt;"")+(CC131&lt;&gt;"")+(CI131&lt;&gt;"")+(CO131&lt;&gt;""),SUMPRODUCT(--($BO$3:$BO$202=$A131))+SUMPRODUCT(--($BU$3:$BU$202=$A131))+SUMPRODUCT(--($CA$3:$CA$202=$A131))+SUMPRODUCT(--($CG$3:$CG$202=$A131))+SUMPRODUCT(--($CM$3:$CM$202=$A131)))</f>
        <v/>
      </c>
      <c r="R131" s="48">
        <f>IF($H131="Tutor",TRIM(IF(AND(BQ131&lt;&gt;"",BR131=""),BP131&amp;"; ","")&amp;IF(AND(BW131&lt;&gt;"",BX131=""),BV131&amp;"; ","")&amp;IF(AND(CC131&lt;&gt;"",CD131=""),CB131&amp;"; ","")&amp;IF(AND(CI131&lt;&gt;"",CJ131=""),CH131&amp;"; ","")&amp;IF(AND(CO131&lt;&gt;"",CP131=""),CN131&amp;"; ","")),IFERROR(INDEX($A$3:$B$202,(SUMPRODUCT(($BO$3:$BO$202=$A131)*($BR$3:$BR$202="")*ROW($BO$3:$BO$202))+SUMPRODUCT(($BU$3:$BU$202=$A131)*($BX$3:$BX$202="")*ROW($BU$3:$BU$202))+SUMPRODUCT(($CA$3:$CA$202=$A131)*($CD$3:$CD$202="")*ROW($CA$3:$CA$202))+SUMPRODUCT(($CG$3:$CG$202=$A131)*($CJ$3:$CJ$202="")*ROW($CG$3:$CG$202))+SUMPRODUCT(($CM$3:$CM$202=$A131)*($CP$3:$CP$202="")*ROW($CM$3:$CM$202)))-2,2),""))</f>
        <v/>
      </c>
      <c r="S131" s="48" t="inlineStr">
        <is>
          <t>NA</t>
        </is>
      </c>
      <c r="T131" s="48" t="inlineStr"/>
      <c r="U131" s="48" t="inlineStr"/>
      <c r="V131" s="49" t="n">
        <v>45890</v>
      </c>
      <c r="W131" s="48" t="inlineStr">
        <is>
          <t>AWST (UTC+8)</t>
        </is>
      </c>
      <c r="X131" s="48" t="inlineStr">
        <is>
          <t>6pm-9pm;</t>
        </is>
      </c>
      <c r="Y131" s="48" t="inlineStr">
        <is>
          <t>6pm-9pm;</t>
        </is>
      </c>
      <c r="Z131" s="48" t="inlineStr">
        <is>
          <t>3pm-6pm;</t>
        </is>
      </c>
      <c r="AA131" s="48" t="inlineStr">
        <is>
          <t>9am-12pm;</t>
        </is>
      </c>
      <c r="AB131" s="48" t="inlineStr">
        <is>
          <t>6pm-9pm;</t>
        </is>
      </c>
      <c r="AC131" s="48" t="inlineStr">
        <is>
          <t>12pm-3pm;6pm-9pm;</t>
        </is>
      </c>
      <c r="AD131" s="48" t="inlineStr">
        <is>
          <t>3pm-6pm;</t>
        </is>
      </c>
      <c r="AE131" s="48" t="inlineStr">
        <is>
          <t>Online</t>
        </is>
      </c>
      <c r="AF131" s="48" t="inlineStr">
        <is>
          <t>Phone</t>
        </is>
      </c>
      <c r="AG131" s="48" t="inlineStr">
        <is>
          <t>Australia</t>
        </is>
      </c>
      <c r="AH131" s="48" t="inlineStr">
        <is>
          <t>Victoria</t>
        </is>
      </c>
      <c r="AI131" s="48" t="inlineStr">
        <is>
          <t>Footscray</t>
        </is>
      </c>
      <c r="AJ131" s="48" t="inlineStr">
        <is>
          <t>3011</t>
        </is>
      </c>
      <c r="AK131" s="49" t="n">
        <v>34731</v>
      </c>
      <c r="AL131" s="48" t="inlineStr">
        <is>
          <t>Male</t>
        </is>
      </c>
      <c r="AM131" s="48" t="inlineStr">
        <is>
          <t>Yes</t>
        </is>
      </c>
      <c r="AN131" s="48" t="inlineStr">
        <is>
          <t>A2</t>
        </is>
      </c>
      <c r="AO131" s="48" t="inlineStr">
        <is>
          <t>Moderate</t>
        </is>
      </c>
      <c r="AP131" s="48" t="inlineStr">
        <is>
          <t>Sudan; Palestine</t>
        </is>
      </c>
      <c r="AQ131" s="48" t="inlineStr">
        <is>
          <t>NA</t>
        </is>
      </c>
      <c r="AR131" s="48" t="inlineStr">
        <is>
          <t>Bengali (C1)</t>
        </is>
      </c>
      <c r="AS131" s="48" t="inlineStr">
        <is>
          <t>Buddhist</t>
        </is>
      </c>
      <c r="AT131" s="48" t="inlineStr">
        <is>
          <t>Law &amp; Legal Services</t>
        </is>
      </c>
      <c r="AU131" s="48" t="inlineStr">
        <is>
          <t>Lawyer</t>
        </is>
      </c>
      <c r="AV131" s="48" t="inlineStr">
        <is>
          <t>Counselling</t>
        </is>
      </c>
      <c r="AW131" s="48" t="inlineStr">
        <is>
          <t>Football; Cooking; Family</t>
        </is>
      </c>
      <c r="AX131" s="48" t="inlineStr">
        <is>
          <t>Asylum Seeker</t>
        </is>
      </c>
      <c r="AY131" s="48" t="inlineStr">
        <is>
          <t>No</t>
        </is>
      </c>
      <c r="AZ131" s="48" t="inlineStr">
        <is>
          <t>NA - Partner Organisation Verified</t>
        </is>
      </c>
      <c r="BA131" s="48" t="inlineStr">
        <is>
          <t>NA</t>
        </is>
      </c>
      <c r="BB131" s="48" t="inlineStr">
        <is>
          <t>NA</t>
        </is>
      </c>
      <c r="BC131" s="48" t="inlineStr">
        <is>
          <t>NA</t>
        </is>
      </c>
      <c r="BD131" s="48" t="inlineStr">
        <is>
          <t>NA</t>
        </is>
      </c>
      <c r="BE131" s="48" t="inlineStr"/>
      <c r="BF131" s="48" t="inlineStr"/>
      <c r="BG131" s="48" t="inlineStr">
        <is>
          <t>NA</t>
        </is>
      </c>
      <c r="BH131" s="48" t="inlineStr">
        <is>
          <t>NA - Student</t>
        </is>
      </c>
      <c r="BI131" s="48" t="inlineStr">
        <is>
          <t>CareerSeekers</t>
        </is>
      </c>
      <c r="BJ131" s="48" t="inlineStr">
        <is>
          <t>ZULMAN Levi</t>
        </is>
      </c>
      <c r="BK131" s="48" t="inlineStr">
        <is>
          <t>SHANAHAN Jack</t>
        </is>
      </c>
      <c r="BL131" s="48" t="inlineStr">
        <is>
          <t>Synthetic test record.</t>
        </is>
      </c>
      <c r="BM131" s="48" t="inlineStr"/>
      <c r="BN131" s="48">
        <f>TRIM(IF(AND($H131="Student",$J131="ADM-ACT-MAT-CNE"),"Invalid: Student cannot be CNE. ","")&amp;IF(AND($H131="Student",ISNUMBER($O131)),"Check: capacity set for a Student. ","")&amp;IF(AND(LEFT($J131,11)="ADM-ACT-MAT",$P131=0),"Check: matched status but 0 active pairings. ","")&amp;IF(AND($H131="Tutor",ISNUMBER($O131),$P131&gt;$O131),"Check: pairings exceed capacity. ","")&amp;IF(AND($BH131="Everyone",NOT(AND($BD131="Yes",$BG131="Yes"))),"Check: approved to tutor children but WWCC not provided/confirmed. ","")&amp;IF(AND($P131&gt;0,NOT(AND(OR(LEFT($AY131,3)="Yes",LEFT($AY131,2)="NA"),OR(LEFT($AZ131,3)="Yes",LEFT($AZ131,2)="NA")))),"Matched but vetting incomplete (interview/reference). ","")&amp;IF(COUNTIF($B$3:$B$600,$B131)&gt;1,"Duplicate participant name. ",""))</f>
        <v/>
      </c>
      <c r="BO131" s="48" t="inlineStr"/>
      <c r="BP131" s="48" t="inlineStr"/>
      <c r="BQ131" s="48" t="inlineStr"/>
      <c r="BR131" s="48" t="inlineStr"/>
      <c r="BS131" s="48" t="inlineStr"/>
      <c r="BT131" s="48" t="inlineStr"/>
      <c r="BU131" s="48" t="inlineStr"/>
      <c r="BV131" s="48" t="inlineStr"/>
      <c r="BW131" s="48" t="inlineStr"/>
      <c r="BX131" s="48" t="inlineStr"/>
      <c r="BY131" s="48" t="inlineStr"/>
      <c r="BZ131" s="48" t="inlineStr"/>
      <c r="CA131" s="48" t="inlineStr"/>
      <c r="CB131" s="48" t="inlineStr"/>
      <c r="CC131" s="48" t="inlineStr"/>
      <c r="CD131" s="48" t="inlineStr"/>
      <c r="CE131" s="48" t="inlineStr"/>
      <c r="CF131" s="48" t="inlineStr"/>
      <c r="CG131" s="48" t="inlineStr"/>
      <c r="CH131" s="48" t="inlineStr"/>
      <c r="CI131" s="48" t="inlineStr"/>
      <c r="CJ131" s="48" t="inlineStr"/>
      <c r="CK131" s="48" t="inlineStr"/>
      <c r="CL131" s="48" t="inlineStr"/>
      <c r="CM131" s="48" t="inlineStr"/>
      <c r="CN131" s="48" t="inlineStr"/>
      <c r="CO131" s="48" t="inlineStr"/>
      <c r="CP131" s="48" t="inlineStr"/>
      <c r="CQ131" s="48" t="inlineStr"/>
      <c r="CR131" s="48" t="inlineStr"/>
      <c r="CS131" s="48">
        <f>IF(LEFT($J131,3)="ERR",0,1)</f>
        <v/>
      </c>
      <c r="CT131" s="48">
        <f>IF(LEFT($J131,3)="ADM",1,0)</f>
        <v/>
      </c>
      <c r="CU131" s="48">
        <f>IF(OR($J131="ADM-ACT-MAT-CNE",$J131="ADM-ACT-MAT-CE",$J131="ADM-INACT-M&amp;T"),1,0)</f>
        <v/>
      </c>
      <c r="CV131" s="48">
        <f>IF(AND(CU131=1,ISNUMBER(M131),ISNUMBER(I131)),M131-I131,"")</f>
        <v/>
      </c>
      <c r="CW131" s="48">
        <f>IF(ISNUMBER(I131),TODAY()-I131,"")</f>
        <v/>
      </c>
      <c r="CX131" s="48">
        <f>IF(ISNUMBER(I131),DATE(YEAR(I131),MONTH(I131),1),"")</f>
        <v/>
      </c>
      <c r="CY131" s="48">
        <f>IFERROR(DATEDIF(AK131,TODAY(),"y"),"")</f>
        <v/>
      </c>
      <c r="CZ131" s="48">
        <f>IF(CY131="","",IF(CY131&lt;28,"18-27",IF(CY131&lt;38,"28-37",IF(CY131&lt;48,"38-47",IF(CY131&lt;58,"48-57",IF(CY131&lt;68,"58-67",IF(CY131&lt;78,"68-77","78+")))))) </f>
        <v/>
      </c>
      <c r="DA131" s="48">
        <f>IF(AND(BQ131&lt;&gt;"",BR131=""),N(BS131),0)+IF(AND(BW131&lt;&gt;"",BX131=""),N(BY131),0)+IF(AND(CC131&lt;&gt;"",CD131=""),N(CE131),0)+IF(AND(CI131&lt;&gt;"",CJ131=""),N(CK131),0)+IF(AND(CO131&lt;&gt;"",CP131=""),N(CQ131),0)</f>
        <v/>
      </c>
      <c r="DB131" s="48">
        <f>ROUND(IF(BQ131&lt;&gt;"",N(BS131)*MAX(0,((IF(BR131="",TODAY(),BR131))-BQ131)/7),0)+IF(BW131&lt;&gt;"",N(BY131)*MAX(0,((IF(BX131="",TODAY(),BX131))-BW131)/7),0)+IF(CC131&lt;&gt;"",N(CE131)*MAX(0,((IF(CD131="",TODAY(),CD131))-CC131)/7),0)+IF(CI131&lt;&gt;"",N(CK131)*MAX(0,((IF(CJ131="",TODAY(),CJ131))-CI131)/7),0)+IF(CO131&lt;&gt;"",N(CQ131)*MAX(0,((IF(CP131="",TODAY(),CP131))-CO131)/7),0),1)</f>
        <v/>
      </c>
      <c r="DC131" s="48">
        <f>IF(OR(TRIM(X131)="",TRIM(X131)="NA;",TRIM(X131)="NA"),0,1)</f>
        <v/>
      </c>
      <c r="DD131" s="48">
        <f>IF(OR(TRIM(Y131)="",TRIM(Y131)="NA;",TRIM(Y131)="NA"),0,1)</f>
        <v/>
      </c>
      <c r="DE131" s="48">
        <f>IF(OR(TRIM(Z131)="",TRIM(Z131)="NA;",TRIM(Z131)="NA"),0,1)</f>
        <v/>
      </c>
      <c r="DF131" s="48">
        <f>IF(OR(TRIM(AA131)="",TRIM(AA131)="NA;",TRIM(AA131)="NA"),0,1)</f>
        <v/>
      </c>
      <c r="DG131" s="48">
        <f>IF(OR(TRIM(AB131)="",TRIM(AB131)="NA;",TRIM(AB131)="NA"),0,1)</f>
        <v/>
      </c>
      <c r="DH131" s="48">
        <f>IF(OR(TRIM(AC131)="",TRIM(AC131)="NA;",TRIM(AC131)="NA"),0,1)</f>
        <v/>
      </c>
      <c r="DI131" s="48">
        <f>IF(OR(TRIM(AD131)="",TRIM(AD131)="NA;",TRIM(AD131)="NA"),0,1)</f>
        <v/>
      </c>
      <c r="DJ131" s="48">
        <f>TRIM(IF(DC131=1,"Mon ","")&amp;IF(DD131=1,"Tue ","")&amp;IF(DE131=1,"Wed ","")&amp;IF(DF131=1,"Thu ","")&amp;IF(DG131=1,"Fri ","")&amp;IF(DH131=1,"Sat ","")&amp;IF(DI131=1,"Sun ",""))</f>
        <v/>
      </c>
    </row>
    <row r="132">
      <c r="A132" s="48" t="inlineStr">
        <is>
          <t>S-O-00030</t>
        </is>
      </c>
      <c r="B132" s="48" t="inlineStr">
        <is>
          <t>Emily King</t>
        </is>
      </c>
      <c r="C132" s="48" t="inlineStr">
        <is>
          <t>emily.king30@example.com</t>
        </is>
      </c>
      <c r="D132" s="48" t="inlineStr">
        <is>
          <t>+61 467 655 654</t>
        </is>
      </c>
      <c r="E132" s="48" t="inlineStr">
        <is>
          <t>Amir Young</t>
        </is>
      </c>
      <c r="F132" s="48" t="inlineStr">
        <is>
          <t>+61 447 193 421</t>
        </is>
      </c>
      <c r="G132" s="48" t="inlineStr">
        <is>
          <t>Friend</t>
        </is>
      </c>
      <c r="H132" s="48" t="inlineStr">
        <is>
          <t>Student</t>
        </is>
      </c>
      <c r="I132" s="49" t="n">
        <v>45514</v>
      </c>
      <c r="J132" s="48" t="inlineStr">
        <is>
          <t>ADM-INACT-M&amp;T</t>
        </is>
      </c>
      <c r="K132" s="48">
        <f>IFERROR(VLOOKUP(J132,'(A) Introduction'!$B$35:$C$45,2,FALSE),"")</f>
        <v/>
      </c>
      <c r="L132" s="48" t="inlineStr">
        <is>
          <t>No</t>
        </is>
      </c>
      <c r="M132" s="49" t="n">
        <v>45544</v>
      </c>
      <c r="N132" s="49" t="n">
        <v>45829</v>
      </c>
      <c r="O132" s="48" t="inlineStr">
        <is>
          <t>NA</t>
        </is>
      </c>
      <c r="P132" s="48">
        <f>IF($H132="Tutor",((BQ132&lt;&gt;"")*(BR132=""))+((BW132&lt;&gt;"")*(BX132=""))+((CC132&lt;&gt;"")*(CD132=""))+((CI132&lt;&gt;"")*(CJ132=""))+((CO132&lt;&gt;"")*(CP132="")),SUMPRODUCT(--($BO$3:$BO$202=$A132),--($BR$3:$BR$202=""))+SUMPRODUCT(--($BU$3:$BU$202=$A132),--($BX$3:$BX$202=""))+SUMPRODUCT(--($CA$3:$CA$202=$A132),--($CD$3:$CD$202=""))+SUMPRODUCT(--($CG$3:$CG$202=$A132),--($CJ$3:$CJ$202=""))+SUMPRODUCT(--($CM$3:$CM$202=$A132),--($CP$3:$CP$202="")))</f>
        <v/>
      </c>
      <c r="Q132" s="48">
        <f>IF($H132="Tutor",(BQ132&lt;&gt;"")+(BW132&lt;&gt;"")+(CC132&lt;&gt;"")+(CI132&lt;&gt;"")+(CO132&lt;&gt;""),SUMPRODUCT(--($BO$3:$BO$202=$A132))+SUMPRODUCT(--($BU$3:$BU$202=$A132))+SUMPRODUCT(--($CA$3:$CA$202=$A132))+SUMPRODUCT(--($CG$3:$CG$202=$A132))+SUMPRODUCT(--($CM$3:$CM$202=$A132)))</f>
        <v/>
      </c>
      <c r="R132" s="48">
        <f>IF($H132="Tutor",TRIM(IF(AND(BQ132&lt;&gt;"",BR132=""),BP132&amp;"; ","")&amp;IF(AND(BW132&lt;&gt;"",BX132=""),BV132&amp;"; ","")&amp;IF(AND(CC132&lt;&gt;"",CD132=""),CB132&amp;"; ","")&amp;IF(AND(CI132&lt;&gt;"",CJ132=""),CH132&amp;"; ","")&amp;IF(AND(CO132&lt;&gt;"",CP132=""),CN132&amp;"; ","")),IFERROR(INDEX($A$3:$B$202,(SUMPRODUCT(($BO$3:$BO$202=$A132)*($BR$3:$BR$202="")*ROW($BO$3:$BO$202))+SUMPRODUCT(($BU$3:$BU$202=$A132)*($BX$3:$BX$202="")*ROW($BU$3:$BU$202))+SUMPRODUCT(($CA$3:$CA$202=$A132)*($CD$3:$CD$202="")*ROW($CA$3:$CA$202))+SUMPRODUCT(($CG$3:$CG$202=$A132)*($CJ$3:$CJ$202="")*ROW($CG$3:$CG$202))+SUMPRODUCT(($CM$3:$CM$202=$A132)*($CP$3:$CP$202="")*ROW($CM$3:$CM$202)))-2,2),""))</f>
        <v/>
      </c>
      <c r="S132" s="48" t="inlineStr">
        <is>
          <t>Not Provided</t>
        </is>
      </c>
      <c r="T132" s="48" t="inlineStr"/>
      <c r="U132" s="48" t="inlineStr"/>
      <c r="V132" s="49" t="n">
        <v>45758</v>
      </c>
      <c r="W132" s="48" t="inlineStr">
        <is>
          <t>AEST (UTC+10)</t>
        </is>
      </c>
      <c r="X132" s="48" t="inlineStr">
        <is>
          <t>6pm-9pm;</t>
        </is>
      </c>
      <c r="Y132" s="48" t="inlineStr">
        <is>
          <t>9am-12pm;12pm-3pm;3pm-6pm;</t>
        </is>
      </c>
      <c r="Z132" s="48" t="inlineStr">
        <is>
          <t>12pm-3pm;</t>
        </is>
      </c>
      <c r="AA132" s="48" t="inlineStr">
        <is>
          <t>6pm-9pm;</t>
        </is>
      </c>
      <c r="AB132" s="48" t="inlineStr">
        <is>
          <t>6pm-9pm;</t>
        </is>
      </c>
      <c r="AC132" s="48" t="inlineStr">
        <is>
          <t>3pm-6pm;</t>
        </is>
      </c>
      <c r="AD132" s="48" t="inlineStr">
        <is>
          <t>6am-9am;9am-12pm;</t>
        </is>
      </c>
      <c r="AE132" s="48" t="inlineStr">
        <is>
          <t>In-Person</t>
        </is>
      </c>
      <c r="AF132" s="48" t="inlineStr">
        <is>
          <t>Tablet</t>
        </is>
      </c>
      <c r="AG132" s="48" t="inlineStr">
        <is>
          <t>Australia</t>
        </is>
      </c>
      <c r="AH132" s="48" t="inlineStr">
        <is>
          <t>New South Wales</t>
        </is>
      </c>
      <c r="AI132" s="48" t="inlineStr">
        <is>
          <t>Bankstown</t>
        </is>
      </c>
      <c r="AJ132" s="48" t="inlineStr">
        <is>
          <t>2200</t>
        </is>
      </c>
      <c r="AK132" s="49" t="n">
        <v>25198</v>
      </c>
      <c r="AL132" s="48" t="inlineStr">
        <is>
          <t>Male</t>
        </is>
      </c>
      <c r="AM132" s="48" t="inlineStr">
        <is>
          <t>No</t>
        </is>
      </c>
      <c r="AN132" s="48" t="inlineStr">
        <is>
          <t>A1</t>
        </is>
      </c>
      <c r="AO132" s="48" t="inlineStr">
        <is>
          <t>Moderate</t>
        </is>
      </c>
      <c r="AP132" s="48" t="inlineStr">
        <is>
          <t>Palestine</t>
        </is>
      </c>
      <c r="AQ132" s="48" t="inlineStr">
        <is>
          <t>NA</t>
        </is>
      </c>
      <c r="AR132" s="48" t="inlineStr">
        <is>
          <t>Somali (C1)</t>
        </is>
      </c>
      <c r="AS132" s="48" t="inlineStr">
        <is>
          <t>Muslim</t>
        </is>
      </c>
      <c r="AT132" s="48" t="inlineStr">
        <is>
          <t>Trades &amp; Construction</t>
        </is>
      </c>
      <c r="AU132" s="48" t="inlineStr">
        <is>
          <t>Lawyer</t>
        </is>
      </c>
      <c r="AV132" s="48" t="inlineStr">
        <is>
          <t>Counselling</t>
        </is>
      </c>
      <c r="AW132" s="48" t="inlineStr">
        <is>
          <t>Art; Photography; Travel</t>
        </is>
      </c>
      <c r="AX132" s="48" t="inlineStr">
        <is>
          <t>Asylum Seeker</t>
        </is>
      </c>
      <c r="AY132" s="48" t="inlineStr">
        <is>
          <t>Yes</t>
        </is>
      </c>
      <c r="AZ132" s="48" t="inlineStr">
        <is>
          <t>NA - Partner Organisation Verified</t>
        </is>
      </c>
      <c r="BA132" s="48" t="inlineStr">
        <is>
          <t>NA</t>
        </is>
      </c>
      <c r="BB132" s="48" t="inlineStr">
        <is>
          <t>NA</t>
        </is>
      </c>
      <c r="BC132" s="48" t="inlineStr">
        <is>
          <t>NA</t>
        </is>
      </c>
      <c r="BD132" s="48" t="inlineStr">
        <is>
          <t>NA</t>
        </is>
      </c>
      <c r="BE132" s="48" t="inlineStr"/>
      <c r="BF132" s="48" t="inlineStr"/>
      <c r="BG132" s="48" t="inlineStr">
        <is>
          <t>NA</t>
        </is>
      </c>
      <c r="BH132" s="48" t="inlineStr">
        <is>
          <t>NA - Student</t>
        </is>
      </c>
      <c r="BI132" s="48" t="inlineStr">
        <is>
          <t>Notice Board</t>
        </is>
      </c>
      <c r="BJ132" s="48" t="inlineStr">
        <is>
          <t>SINGH Veera</t>
        </is>
      </c>
      <c r="BK132" s="48" t="inlineStr">
        <is>
          <t>HERVIR Oliver</t>
        </is>
      </c>
      <c r="BL132" s="48" t="inlineStr">
        <is>
          <t>Synthetic test record.</t>
        </is>
      </c>
      <c r="BM132" s="48" t="inlineStr"/>
      <c r="BN132" s="48">
        <f>TRIM(IF(AND($H132="Student",$J132="ADM-ACT-MAT-CNE"),"Invalid: Student cannot be CNE. ","")&amp;IF(AND($H132="Student",ISNUMBER($O132)),"Check: capacity set for a Student. ","")&amp;IF(AND(LEFT($J132,11)="ADM-ACT-MAT",$P132=0),"Check: matched status but 0 active pairings. ","")&amp;IF(AND($H132="Tutor",ISNUMBER($O132),$P132&gt;$O132),"Check: pairings exceed capacity. ","")&amp;IF(AND($BH132="Everyone",NOT(AND($BD132="Yes",$BG132="Yes"))),"Check: approved to tutor children but WWCC not provided/confirmed. ","")&amp;IF(AND($P132&gt;0,NOT(AND(OR(LEFT($AY132,3)="Yes",LEFT($AY132,2)="NA"),OR(LEFT($AZ132,3)="Yes",LEFT($AZ132,2)="NA")))),"Matched but vetting incomplete (interview/reference). ","")&amp;IF(COUNTIF($B$3:$B$600,$B132)&gt;1,"Duplicate participant name. ",""))</f>
        <v/>
      </c>
      <c r="BO132" s="48" t="inlineStr"/>
      <c r="BP132" s="48" t="inlineStr"/>
      <c r="BQ132" s="48" t="inlineStr"/>
      <c r="BR132" s="48" t="inlineStr"/>
      <c r="BS132" s="48" t="inlineStr"/>
      <c r="BT132" s="48" t="inlineStr"/>
      <c r="BU132" s="48" t="inlineStr"/>
      <c r="BV132" s="48" t="inlineStr"/>
      <c r="BW132" s="48" t="inlineStr"/>
      <c r="BX132" s="48" t="inlineStr"/>
      <c r="BY132" s="48" t="inlineStr"/>
      <c r="BZ132" s="48" t="inlineStr"/>
      <c r="CA132" s="48" t="inlineStr"/>
      <c r="CB132" s="48" t="inlineStr"/>
      <c r="CC132" s="48" t="inlineStr"/>
      <c r="CD132" s="48" t="inlineStr"/>
      <c r="CE132" s="48" t="inlineStr"/>
      <c r="CF132" s="48" t="inlineStr"/>
      <c r="CG132" s="48" t="inlineStr"/>
      <c r="CH132" s="48" t="inlineStr"/>
      <c r="CI132" s="48" t="inlineStr"/>
      <c r="CJ132" s="48" t="inlineStr"/>
      <c r="CK132" s="48" t="inlineStr"/>
      <c r="CL132" s="48" t="inlineStr"/>
      <c r="CM132" s="48" t="inlineStr"/>
      <c r="CN132" s="48" t="inlineStr"/>
      <c r="CO132" s="48" t="inlineStr"/>
      <c r="CP132" s="48" t="inlineStr"/>
      <c r="CQ132" s="48" t="inlineStr"/>
      <c r="CR132" s="48" t="inlineStr"/>
      <c r="CS132" s="48">
        <f>IF(LEFT($J132,3)="ERR",0,1)</f>
        <v/>
      </c>
      <c r="CT132" s="48">
        <f>IF(LEFT($J132,3)="ADM",1,0)</f>
        <v/>
      </c>
      <c r="CU132" s="48">
        <f>IF(OR($J132="ADM-ACT-MAT-CNE",$J132="ADM-ACT-MAT-CE",$J132="ADM-INACT-M&amp;T"),1,0)</f>
        <v/>
      </c>
      <c r="CV132" s="48">
        <f>IF(AND(CU132=1,ISNUMBER(M132),ISNUMBER(I132)),M132-I132,"")</f>
        <v/>
      </c>
      <c r="CW132" s="48">
        <f>IF(ISNUMBER(I132),TODAY()-I132,"")</f>
        <v/>
      </c>
      <c r="CX132" s="48">
        <f>IF(ISNUMBER(I132),DATE(YEAR(I132),MONTH(I132),1),"")</f>
        <v/>
      </c>
      <c r="CY132" s="48">
        <f>IFERROR(DATEDIF(AK132,TODAY(),"y"),"")</f>
        <v/>
      </c>
      <c r="CZ132" s="48">
        <f>IF(CY132="","",IF(CY132&lt;28,"18-27",IF(CY132&lt;38,"28-37",IF(CY132&lt;48,"38-47",IF(CY132&lt;58,"48-57",IF(CY132&lt;68,"58-67",IF(CY132&lt;78,"68-77","78+")))))) </f>
        <v/>
      </c>
      <c r="DA132" s="48">
        <f>IF(AND(BQ132&lt;&gt;"",BR132=""),N(BS132),0)+IF(AND(BW132&lt;&gt;"",BX132=""),N(BY132),0)+IF(AND(CC132&lt;&gt;"",CD132=""),N(CE132),0)+IF(AND(CI132&lt;&gt;"",CJ132=""),N(CK132),0)+IF(AND(CO132&lt;&gt;"",CP132=""),N(CQ132),0)</f>
        <v/>
      </c>
      <c r="DB132" s="48">
        <f>ROUND(IF(BQ132&lt;&gt;"",N(BS132)*MAX(0,((IF(BR132="",TODAY(),BR132))-BQ132)/7),0)+IF(BW132&lt;&gt;"",N(BY132)*MAX(0,((IF(BX132="",TODAY(),BX132))-BW132)/7),0)+IF(CC132&lt;&gt;"",N(CE132)*MAX(0,((IF(CD132="",TODAY(),CD132))-CC132)/7),0)+IF(CI132&lt;&gt;"",N(CK132)*MAX(0,((IF(CJ132="",TODAY(),CJ132))-CI132)/7),0)+IF(CO132&lt;&gt;"",N(CQ132)*MAX(0,((IF(CP132="",TODAY(),CP132))-CO132)/7),0),1)</f>
        <v/>
      </c>
      <c r="DC132" s="48">
        <f>IF(OR(TRIM(X132)="",TRIM(X132)="NA;",TRIM(X132)="NA"),0,1)</f>
        <v/>
      </c>
      <c r="DD132" s="48">
        <f>IF(OR(TRIM(Y132)="",TRIM(Y132)="NA;",TRIM(Y132)="NA"),0,1)</f>
        <v/>
      </c>
      <c r="DE132" s="48">
        <f>IF(OR(TRIM(Z132)="",TRIM(Z132)="NA;",TRIM(Z132)="NA"),0,1)</f>
        <v/>
      </c>
      <c r="DF132" s="48">
        <f>IF(OR(TRIM(AA132)="",TRIM(AA132)="NA;",TRIM(AA132)="NA"),0,1)</f>
        <v/>
      </c>
      <c r="DG132" s="48">
        <f>IF(OR(TRIM(AB132)="",TRIM(AB132)="NA;",TRIM(AB132)="NA"),0,1)</f>
        <v/>
      </c>
      <c r="DH132" s="48">
        <f>IF(OR(TRIM(AC132)="",TRIM(AC132)="NA;",TRIM(AC132)="NA"),0,1)</f>
        <v/>
      </c>
      <c r="DI132" s="48">
        <f>IF(OR(TRIM(AD132)="",TRIM(AD132)="NA;",TRIM(AD132)="NA"),0,1)</f>
        <v/>
      </c>
      <c r="DJ132" s="48">
        <f>TRIM(IF(DC132=1,"Mon ","")&amp;IF(DD132=1,"Tue ","")&amp;IF(DE132=1,"Wed ","")&amp;IF(DF132=1,"Thu ","")&amp;IF(DG132=1,"Fri ","")&amp;IF(DH132=1,"Sat ","")&amp;IF(DI132=1,"Sun ",""))</f>
        <v/>
      </c>
    </row>
    <row r="133">
      <c r="A133" s="48" t="inlineStr">
        <is>
          <t>S-O-00031</t>
        </is>
      </c>
      <c r="B133" s="48" t="inlineStr">
        <is>
          <t>Nour Cohen</t>
        </is>
      </c>
      <c r="C133" s="48" t="inlineStr">
        <is>
          <t>nour.cohen31@example.com</t>
        </is>
      </c>
      <c r="D133" s="48" t="inlineStr">
        <is>
          <t>+61 420 732 754</t>
        </is>
      </c>
      <c r="E133" s="48" t="inlineStr">
        <is>
          <t>Yusuf Nguyen</t>
        </is>
      </c>
      <c r="F133" s="48" t="inlineStr">
        <is>
          <t>+61 436 275 128</t>
        </is>
      </c>
      <c r="G133" s="48" t="inlineStr">
        <is>
          <t>Caseworker</t>
        </is>
      </c>
      <c r="H133" s="48" t="inlineStr">
        <is>
          <t>Student</t>
        </is>
      </c>
      <c r="I133" s="49" t="n">
        <v>45527</v>
      </c>
      <c r="J133" s="48" t="inlineStr">
        <is>
          <t>ADM-ACT-MAT-CE</t>
        </is>
      </c>
      <c r="K133" s="48">
        <f>IFERROR(VLOOKUP(J133,'(A) Introduction'!$B$35:$C$45,2,FALSE),"")</f>
        <v/>
      </c>
      <c r="L133" s="48" t="inlineStr">
        <is>
          <t>No</t>
        </is>
      </c>
      <c r="M133" s="49" t="n">
        <v>45583</v>
      </c>
      <c r="N133" s="48" t="inlineStr"/>
      <c r="O133" s="48" t="inlineStr">
        <is>
          <t>NA</t>
        </is>
      </c>
      <c r="P133" s="48">
        <f>IF($H133="Tutor",((BQ133&lt;&gt;"")*(BR133=""))+((BW133&lt;&gt;"")*(BX133=""))+((CC133&lt;&gt;"")*(CD133=""))+((CI133&lt;&gt;"")*(CJ133=""))+((CO133&lt;&gt;"")*(CP133="")),SUMPRODUCT(--($BO$3:$BO$202=$A133),--($BR$3:$BR$202=""))+SUMPRODUCT(--($BU$3:$BU$202=$A133),--($BX$3:$BX$202=""))+SUMPRODUCT(--($CA$3:$CA$202=$A133),--($CD$3:$CD$202=""))+SUMPRODUCT(--($CG$3:$CG$202=$A133),--($CJ$3:$CJ$202=""))+SUMPRODUCT(--($CM$3:$CM$202=$A133),--($CP$3:$CP$202="")))</f>
        <v/>
      </c>
      <c r="Q133" s="48">
        <f>IF($H133="Tutor",(BQ133&lt;&gt;"")+(BW133&lt;&gt;"")+(CC133&lt;&gt;"")+(CI133&lt;&gt;"")+(CO133&lt;&gt;""),SUMPRODUCT(--($BO$3:$BO$202=$A133))+SUMPRODUCT(--($BU$3:$BU$202=$A133))+SUMPRODUCT(--($CA$3:$CA$202=$A133))+SUMPRODUCT(--($CG$3:$CG$202=$A133))+SUMPRODUCT(--($CM$3:$CM$202=$A133)))</f>
        <v/>
      </c>
      <c r="R133" s="48">
        <f>IF($H133="Tutor",TRIM(IF(AND(BQ133&lt;&gt;"",BR133=""),BP133&amp;"; ","")&amp;IF(AND(BW133&lt;&gt;"",BX133=""),BV133&amp;"; ","")&amp;IF(AND(CC133&lt;&gt;"",CD133=""),CB133&amp;"; ","")&amp;IF(AND(CI133&lt;&gt;"",CJ133=""),CH133&amp;"; ","")&amp;IF(AND(CO133&lt;&gt;"",CP133=""),CN133&amp;"; ","")),IFERROR(INDEX($A$3:$B$202,(SUMPRODUCT(($BO$3:$BO$202=$A133)*($BR$3:$BR$202="")*ROW($BO$3:$BO$202))+SUMPRODUCT(($BU$3:$BU$202=$A133)*($BX$3:$BX$202="")*ROW($BU$3:$BU$202))+SUMPRODUCT(($CA$3:$CA$202=$A133)*($CD$3:$CD$202="")*ROW($CA$3:$CA$202))+SUMPRODUCT(($CG$3:$CG$202=$A133)*($CJ$3:$CJ$202="")*ROW($CG$3:$CG$202))+SUMPRODUCT(($CM$3:$CM$202=$A133)*($CP$3:$CP$202="")*ROW($CM$3:$CM$202)))-2,2),""))</f>
        <v/>
      </c>
      <c r="S133" s="48" t="inlineStr">
        <is>
          <t>Not Provided</t>
        </is>
      </c>
      <c r="T133" s="48" t="inlineStr"/>
      <c r="U133" s="48" t="inlineStr"/>
      <c r="V133" s="49" t="n">
        <v>46184</v>
      </c>
      <c r="W133" s="48" t="inlineStr">
        <is>
          <t>AEST (UTC+10)</t>
        </is>
      </c>
      <c r="X133" s="48" t="inlineStr">
        <is>
          <t>3pm-6pm;</t>
        </is>
      </c>
      <c r="Y133" s="48" t="inlineStr">
        <is>
          <t>6pm-9pm;</t>
        </is>
      </c>
      <c r="Z133" s="48" t="inlineStr">
        <is>
          <t>12pm-3pm;6pm-9pm;</t>
        </is>
      </c>
      <c r="AA133" s="48" t="inlineStr">
        <is>
          <t>12pm-3pm;</t>
        </is>
      </c>
      <c r="AB133" s="48" t="inlineStr">
        <is>
          <t>9am-12pm;12pm-3pm;3pm-6pm;</t>
        </is>
      </c>
      <c r="AC133" s="48" t="inlineStr">
        <is>
          <t>3pm-6pm;</t>
        </is>
      </c>
      <c r="AD133" s="48" t="inlineStr">
        <is>
          <t>3pm-6pm;</t>
        </is>
      </c>
      <c r="AE133" s="48" t="inlineStr">
        <is>
          <t>Either</t>
        </is>
      </c>
      <c r="AF133" s="48" t="inlineStr">
        <is>
          <t>Tablet</t>
        </is>
      </c>
      <c r="AG133" s="48" t="inlineStr">
        <is>
          <t>Australia</t>
        </is>
      </c>
      <c r="AH133" s="48" t="inlineStr">
        <is>
          <t>New South Wales</t>
        </is>
      </c>
      <c r="AI133" s="48" t="inlineStr">
        <is>
          <t>Eastlakes</t>
        </is>
      </c>
      <c r="AJ133" s="48" t="inlineStr">
        <is>
          <t>2018</t>
        </is>
      </c>
      <c r="AK133" s="49" t="n">
        <v>29412</v>
      </c>
      <c r="AL133" s="48" t="inlineStr">
        <is>
          <t>Female</t>
        </is>
      </c>
      <c r="AM133" s="48" t="inlineStr">
        <is>
          <t>No</t>
        </is>
      </c>
      <c r="AN133" s="48" t="inlineStr">
        <is>
          <t>A2</t>
        </is>
      </c>
      <c r="AO133" s="48" t="inlineStr">
        <is>
          <t>Moderate</t>
        </is>
      </c>
      <c r="AP133" s="48" t="inlineStr">
        <is>
          <t>Somalia; Eritrea</t>
        </is>
      </c>
      <c r="AQ133" s="48" t="inlineStr">
        <is>
          <t>NA</t>
        </is>
      </c>
      <c r="AR133" s="48" t="inlineStr">
        <is>
          <t>Pashto (B2)</t>
        </is>
      </c>
      <c r="AS133" s="48" t="inlineStr">
        <is>
          <t>NA</t>
        </is>
      </c>
      <c r="AT133" s="48" t="inlineStr">
        <is>
          <t>Health &amp; Medicine</t>
        </is>
      </c>
      <c r="AU133" s="48" t="inlineStr">
        <is>
          <t>Aged Care Worker</t>
        </is>
      </c>
      <c r="AV133" s="48" t="inlineStr">
        <is>
          <t>Medicine</t>
        </is>
      </c>
      <c r="AW133" s="48" t="inlineStr">
        <is>
          <t>Travel; Sport; Movies</t>
        </is>
      </c>
      <c r="AX133" s="48" t="inlineStr">
        <is>
          <t>Asylum Seeker</t>
        </is>
      </c>
      <c r="AY133" s="48" t="inlineStr">
        <is>
          <t>Yes</t>
        </is>
      </c>
      <c r="AZ133" s="48" t="inlineStr">
        <is>
          <t>Yes</t>
        </is>
      </c>
      <c r="BA133" s="48" t="inlineStr">
        <is>
          <t>NA</t>
        </is>
      </c>
      <c r="BB133" s="48" t="inlineStr">
        <is>
          <t>NA</t>
        </is>
      </c>
      <c r="BC133" s="48" t="inlineStr">
        <is>
          <t>NA</t>
        </is>
      </c>
      <c r="BD133" s="48" t="inlineStr">
        <is>
          <t>NA</t>
        </is>
      </c>
      <c r="BE133" s="48" t="inlineStr"/>
      <c r="BF133" s="48" t="inlineStr"/>
      <c r="BG133" s="48" t="inlineStr">
        <is>
          <t>NA</t>
        </is>
      </c>
      <c r="BH133" s="48" t="inlineStr">
        <is>
          <t>NA - Student</t>
        </is>
      </c>
      <c r="BI133" s="48" t="inlineStr">
        <is>
          <t>Asylum Seeker Resource Centre</t>
        </is>
      </c>
      <c r="BJ133" s="48" t="inlineStr">
        <is>
          <t>SHANAHAN Jack</t>
        </is>
      </c>
      <c r="BK133" s="48" t="inlineStr">
        <is>
          <t>AGARWAL Akanksha</t>
        </is>
      </c>
      <c r="BL133" s="48" t="inlineStr">
        <is>
          <t>Synthetic test record.</t>
        </is>
      </c>
      <c r="BM133" s="48" t="inlineStr"/>
      <c r="BN133" s="48">
        <f>TRIM(IF(AND($H133="Student",$J133="ADM-ACT-MAT-CNE"),"Invalid: Student cannot be CNE. ","")&amp;IF(AND($H133="Student",ISNUMBER($O133)),"Check: capacity set for a Student. ","")&amp;IF(AND(LEFT($J133,11)="ADM-ACT-MAT",$P133=0),"Check: matched status but 0 active pairings. ","")&amp;IF(AND($H133="Tutor",ISNUMBER($O133),$P133&gt;$O133),"Check: pairings exceed capacity. ","")&amp;IF(AND($BH133="Everyone",NOT(AND($BD133="Yes",$BG133="Yes"))),"Check: approved to tutor children but WWCC not provided/confirmed. ","")&amp;IF(AND($P133&gt;0,NOT(AND(OR(LEFT($AY133,3)="Yes",LEFT($AY133,2)="NA"),OR(LEFT($AZ133,3)="Yes",LEFT($AZ133,2)="NA")))),"Matched but vetting incomplete (interview/reference). ","")&amp;IF(COUNTIF($B$3:$B$600,$B133)&gt;1,"Duplicate participant name. ",""))</f>
        <v/>
      </c>
      <c r="BO133" s="48" t="inlineStr"/>
      <c r="BP133" s="48" t="inlineStr"/>
      <c r="BQ133" s="48" t="inlineStr"/>
      <c r="BR133" s="48" t="inlineStr"/>
      <c r="BS133" s="48" t="inlineStr"/>
      <c r="BT133" s="48" t="inlineStr"/>
      <c r="BU133" s="48" t="inlineStr"/>
      <c r="BV133" s="48" t="inlineStr"/>
      <c r="BW133" s="48" t="inlineStr"/>
      <c r="BX133" s="48" t="inlineStr"/>
      <c r="BY133" s="48" t="inlineStr"/>
      <c r="BZ133" s="48" t="inlineStr"/>
      <c r="CA133" s="48" t="inlineStr"/>
      <c r="CB133" s="48" t="inlineStr"/>
      <c r="CC133" s="48" t="inlineStr"/>
      <c r="CD133" s="48" t="inlineStr"/>
      <c r="CE133" s="48" t="inlineStr"/>
      <c r="CF133" s="48" t="inlineStr"/>
      <c r="CG133" s="48" t="inlineStr"/>
      <c r="CH133" s="48" t="inlineStr"/>
      <c r="CI133" s="48" t="inlineStr"/>
      <c r="CJ133" s="48" t="inlineStr"/>
      <c r="CK133" s="48" t="inlineStr"/>
      <c r="CL133" s="48" t="inlineStr"/>
      <c r="CM133" s="48" t="inlineStr"/>
      <c r="CN133" s="48" t="inlineStr"/>
      <c r="CO133" s="48" t="inlineStr"/>
      <c r="CP133" s="48" t="inlineStr"/>
      <c r="CQ133" s="48" t="inlineStr"/>
      <c r="CR133" s="48" t="inlineStr"/>
      <c r="CS133" s="48">
        <f>IF(LEFT($J133,3)="ERR",0,1)</f>
        <v/>
      </c>
      <c r="CT133" s="48">
        <f>IF(LEFT($J133,3)="ADM",1,0)</f>
        <v/>
      </c>
      <c r="CU133" s="48">
        <f>IF(OR($J133="ADM-ACT-MAT-CNE",$J133="ADM-ACT-MAT-CE",$J133="ADM-INACT-M&amp;T"),1,0)</f>
        <v/>
      </c>
      <c r="CV133" s="48">
        <f>IF(AND(CU133=1,ISNUMBER(M133),ISNUMBER(I133)),M133-I133,"")</f>
        <v/>
      </c>
      <c r="CW133" s="48">
        <f>IF(ISNUMBER(I133),TODAY()-I133,"")</f>
        <v/>
      </c>
      <c r="CX133" s="48">
        <f>IF(ISNUMBER(I133),DATE(YEAR(I133),MONTH(I133),1),"")</f>
        <v/>
      </c>
      <c r="CY133" s="48">
        <f>IFERROR(DATEDIF(AK133,TODAY(),"y"),"")</f>
        <v/>
      </c>
      <c r="CZ133" s="48">
        <f>IF(CY133="","",IF(CY133&lt;28,"18-27",IF(CY133&lt;38,"28-37",IF(CY133&lt;48,"38-47",IF(CY133&lt;58,"48-57",IF(CY133&lt;68,"58-67",IF(CY133&lt;78,"68-77","78+")))))) </f>
        <v/>
      </c>
      <c r="DA133" s="48">
        <f>IF(AND(BQ133&lt;&gt;"",BR133=""),N(BS133),0)+IF(AND(BW133&lt;&gt;"",BX133=""),N(BY133),0)+IF(AND(CC133&lt;&gt;"",CD133=""),N(CE133),0)+IF(AND(CI133&lt;&gt;"",CJ133=""),N(CK133),0)+IF(AND(CO133&lt;&gt;"",CP133=""),N(CQ133),0)</f>
        <v/>
      </c>
      <c r="DB133" s="48">
        <f>ROUND(IF(BQ133&lt;&gt;"",N(BS133)*MAX(0,((IF(BR133="",TODAY(),BR133))-BQ133)/7),0)+IF(BW133&lt;&gt;"",N(BY133)*MAX(0,((IF(BX133="",TODAY(),BX133))-BW133)/7),0)+IF(CC133&lt;&gt;"",N(CE133)*MAX(0,((IF(CD133="",TODAY(),CD133))-CC133)/7),0)+IF(CI133&lt;&gt;"",N(CK133)*MAX(0,((IF(CJ133="",TODAY(),CJ133))-CI133)/7),0)+IF(CO133&lt;&gt;"",N(CQ133)*MAX(0,((IF(CP133="",TODAY(),CP133))-CO133)/7),0),1)</f>
        <v/>
      </c>
      <c r="DC133" s="48">
        <f>IF(OR(TRIM(X133)="",TRIM(X133)="NA;",TRIM(X133)="NA"),0,1)</f>
        <v/>
      </c>
      <c r="DD133" s="48">
        <f>IF(OR(TRIM(Y133)="",TRIM(Y133)="NA;",TRIM(Y133)="NA"),0,1)</f>
        <v/>
      </c>
      <c r="DE133" s="48">
        <f>IF(OR(TRIM(Z133)="",TRIM(Z133)="NA;",TRIM(Z133)="NA"),0,1)</f>
        <v/>
      </c>
      <c r="DF133" s="48">
        <f>IF(OR(TRIM(AA133)="",TRIM(AA133)="NA;",TRIM(AA133)="NA"),0,1)</f>
        <v/>
      </c>
      <c r="DG133" s="48">
        <f>IF(OR(TRIM(AB133)="",TRIM(AB133)="NA;",TRIM(AB133)="NA"),0,1)</f>
        <v/>
      </c>
      <c r="DH133" s="48">
        <f>IF(OR(TRIM(AC133)="",TRIM(AC133)="NA;",TRIM(AC133)="NA"),0,1)</f>
        <v/>
      </c>
      <c r="DI133" s="48">
        <f>IF(OR(TRIM(AD133)="",TRIM(AD133)="NA;",TRIM(AD133)="NA"),0,1)</f>
        <v/>
      </c>
      <c r="DJ133" s="48">
        <f>TRIM(IF(DC133=1,"Mon ","")&amp;IF(DD133=1,"Tue ","")&amp;IF(DE133=1,"Wed ","")&amp;IF(DF133=1,"Thu ","")&amp;IF(DG133=1,"Fri ","")&amp;IF(DH133=1,"Sat ","")&amp;IF(DI133=1,"Sun ",""))</f>
        <v/>
      </c>
    </row>
    <row r="134">
      <c r="A134" s="48" t="inlineStr">
        <is>
          <t>S-O-00032</t>
        </is>
      </c>
      <c r="B134" s="48" t="inlineStr">
        <is>
          <t>Bilal Hadaya</t>
        </is>
      </c>
      <c r="C134" s="48" t="inlineStr">
        <is>
          <t>bilal.hadaya32@example.com</t>
        </is>
      </c>
      <c r="D134" s="48" t="inlineStr">
        <is>
          <t>+61 411 154 015</t>
        </is>
      </c>
      <c r="E134" s="48" t="inlineStr">
        <is>
          <t>Elena Jones</t>
        </is>
      </c>
      <c r="F134" s="48" t="inlineStr">
        <is>
          <t>+61 494 789 096</t>
        </is>
      </c>
      <c r="G134" s="48" t="inlineStr">
        <is>
          <t>Friend</t>
        </is>
      </c>
      <c r="H134" s="48" t="inlineStr">
        <is>
          <t>Student</t>
        </is>
      </c>
      <c r="I134" s="49" t="n">
        <v>45527</v>
      </c>
      <c r="J134" s="48" t="inlineStr">
        <is>
          <t>ADM-ACT-MAT-CE</t>
        </is>
      </c>
      <c r="K134" s="48">
        <f>IFERROR(VLOOKUP(J134,'(A) Introduction'!$B$35:$C$45,2,FALSE),"")</f>
        <v/>
      </c>
      <c r="L134" s="48" t="inlineStr">
        <is>
          <t>No</t>
        </is>
      </c>
      <c r="M134" s="49" t="n">
        <v>45557</v>
      </c>
      <c r="N134" s="48" t="inlineStr"/>
      <c r="O134" s="48" t="inlineStr">
        <is>
          <t>NA</t>
        </is>
      </c>
      <c r="P134" s="48">
        <f>IF($H134="Tutor",((BQ134&lt;&gt;"")*(BR134=""))+((BW134&lt;&gt;"")*(BX134=""))+((CC134&lt;&gt;"")*(CD134=""))+((CI134&lt;&gt;"")*(CJ134=""))+((CO134&lt;&gt;"")*(CP134="")),SUMPRODUCT(--($BO$3:$BO$202=$A134),--($BR$3:$BR$202=""))+SUMPRODUCT(--($BU$3:$BU$202=$A134),--($BX$3:$BX$202=""))+SUMPRODUCT(--($CA$3:$CA$202=$A134),--($CD$3:$CD$202=""))+SUMPRODUCT(--($CG$3:$CG$202=$A134),--($CJ$3:$CJ$202=""))+SUMPRODUCT(--($CM$3:$CM$202=$A134),--($CP$3:$CP$202="")))</f>
        <v/>
      </c>
      <c r="Q134" s="48">
        <f>IF($H134="Tutor",(BQ134&lt;&gt;"")+(BW134&lt;&gt;"")+(CC134&lt;&gt;"")+(CI134&lt;&gt;"")+(CO134&lt;&gt;""),SUMPRODUCT(--($BO$3:$BO$202=$A134))+SUMPRODUCT(--($BU$3:$BU$202=$A134))+SUMPRODUCT(--($CA$3:$CA$202=$A134))+SUMPRODUCT(--($CG$3:$CG$202=$A134))+SUMPRODUCT(--($CM$3:$CM$202=$A134)))</f>
        <v/>
      </c>
      <c r="R134" s="48">
        <f>IF($H134="Tutor",TRIM(IF(AND(BQ134&lt;&gt;"",BR134=""),BP134&amp;"; ","")&amp;IF(AND(BW134&lt;&gt;"",BX134=""),BV134&amp;"; ","")&amp;IF(AND(CC134&lt;&gt;"",CD134=""),CB134&amp;"; ","")&amp;IF(AND(CI134&lt;&gt;"",CJ134=""),CH134&amp;"; ","")&amp;IF(AND(CO134&lt;&gt;"",CP134=""),CN134&amp;"; ","")),IFERROR(INDEX($A$3:$B$202,(SUMPRODUCT(($BO$3:$BO$202=$A134)*($BR$3:$BR$202="")*ROW($BO$3:$BO$202))+SUMPRODUCT(($BU$3:$BU$202=$A134)*($BX$3:$BX$202="")*ROW($BU$3:$BU$202))+SUMPRODUCT(($CA$3:$CA$202=$A134)*($CD$3:$CD$202="")*ROW($CA$3:$CA$202))+SUMPRODUCT(($CG$3:$CG$202=$A134)*($CJ$3:$CJ$202="")*ROW($CG$3:$CG$202))+SUMPRODUCT(($CM$3:$CM$202=$A134)*($CP$3:$CP$202="")*ROW($CM$3:$CM$202)))-2,2),""))</f>
        <v/>
      </c>
      <c r="S134" s="48" t="inlineStr">
        <is>
          <t>Provided</t>
        </is>
      </c>
      <c r="T134" s="48" t="inlineStr"/>
      <c r="U134" s="48" t="inlineStr"/>
      <c r="V134" s="49" t="n">
        <v>46175</v>
      </c>
      <c r="W134" s="48" t="inlineStr">
        <is>
          <t>AEST (UTC+10)</t>
        </is>
      </c>
      <c r="X134" s="48" t="inlineStr">
        <is>
          <t>12pm-3pm;6pm-9pm;</t>
        </is>
      </c>
      <c r="Y134" s="48" t="inlineStr">
        <is>
          <t>3pm-6pm;</t>
        </is>
      </c>
      <c r="Z134" s="48" t="inlineStr">
        <is>
          <t>6pm-9pm;</t>
        </is>
      </c>
      <c r="AA134" s="48" t="inlineStr">
        <is>
          <t>6am-9am;9am-12pm;</t>
        </is>
      </c>
      <c r="AB134" s="48" t="inlineStr">
        <is>
          <t>6pm-9pm;</t>
        </is>
      </c>
      <c r="AC134" s="48" t="inlineStr">
        <is>
          <t>NA;</t>
        </is>
      </c>
      <c r="AD134" s="48" t="inlineStr">
        <is>
          <t>6am-9am;9am-12pm;</t>
        </is>
      </c>
      <c r="AE134" s="48" t="inlineStr">
        <is>
          <t>Online</t>
        </is>
      </c>
      <c r="AF134" s="48" t="inlineStr">
        <is>
          <t>Phone</t>
        </is>
      </c>
      <c r="AG134" s="48" t="inlineStr">
        <is>
          <t>Australia</t>
        </is>
      </c>
      <c r="AH134" s="48" t="inlineStr">
        <is>
          <t>New South Wales</t>
        </is>
      </c>
      <c r="AI134" s="48" t="inlineStr">
        <is>
          <t>Eastlakes</t>
        </is>
      </c>
      <c r="AJ134" s="48" t="inlineStr">
        <is>
          <t>2018</t>
        </is>
      </c>
      <c r="AK134" s="49" t="n">
        <v>23565</v>
      </c>
      <c r="AL134" s="48" t="inlineStr">
        <is>
          <t>Male</t>
        </is>
      </c>
      <c r="AM134" s="48" t="inlineStr">
        <is>
          <t>Yes</t>
        </is>
      </c>
      <c r="AN134" s="48" t="inlineStr">
        <is>
          <t>A1</t>
        </is>
      </c>
      <c r="AO134" s="48" t="inlineStr">
        <is>
          <t>Outstanding</t>
        </is>
      </c>
      <c r="AP134" s="48" t="inlineStr">
        <is>
          <t>Sudan; Venezuela</t>
        </is>
      </c>
      <c r="AQ134" s="48" t="inlineStr">
        <is>
          <t>NA</t>
        </is>
      </c>
      <c r="AR134" s="48" t="inlineStr">
        <is>
          <t>Dari (B2)</t>
        </is>
      </c>
      <c r="AS134" s="48" t="inlineStr">
        <is>
          <t>Hindu</t>
        </is>
      </c>
      <c r="AT134" s="48" t="inlineStr">
        <is>
          <t>Arts, Media &amp; Design</t>
        </is>
      </c>
      <c r="AU134" s="48" t="inlineStr">
        <is>
          <t>Teacher</t>
        </is>
      </c>
      <c r="AV134" s="48" t="inlineStr">
        <is>
          <t>Counselling</t>
        </is>
      </c>
      <c r="AW134" s="48" t="inlineStr">
        <is>
          <t>Reading; Politics; Music</t>
        </is>
      </c>
      <c r="AX134" s="48" t="inlineStr">
        <is>
          <t>Refugee</t>
        </is>
      </c>
      <c r="AY134" s="48" t="inlineStr">
        <is>
          <t>NA - RELT Member Verified</t>
        </is>
      </c>
      <c r="AZ134" s="48" t="inlineStr">
        <is>
          <t>NA - Partner Organisation Verified</t>
        </is>
      </c>
      <c r="BA134" s="48" t="inlineStr">
        <is>
          <t>NA</t>
        </is>
      </c>
      <c r="BB134" s="48" t="inlineStr">
        <is>
          <t>NA</t>
        </is>
      </c>
      <c r="BC134" s="48" t="inlineStr">
        <is>
          <t>NA</t>
        </is>
      </c>
      <c r="BD134" s="48" t="inlineStr">
        <is>
          <t>NA</t>
        </is>
      </c>
      <c r="BE134" s="48" t="inlineStr"/>
      <c r="BF134" s="48" t="inlineStr"/>
      <c r="BG134" s="48" t="inlineStr">
        <is>
          <t>NA</t>
        </is>
      </c>
      <c r="BH134" s="48" t="inlineStr">
        <is>
          <t>NA - Student</t>
        </is>
      </c>
      <c r="BI134" s="48" t="inlineStr">
        <is>
          <t>Kaldor Centre for International Refugee Law</t>
        </is>
      </c>
      <c r="BJ134" s="48" t="inlineStr">
        <is>
          <t>ZULMAN Levi</t>
        </is>
      </c>
      <c r="BK134" s="48" t="inlineStr">
        <is>
          <t>AGARWAL Akanksha</t>
        </is>
      </c>
      <c r="BL134" s="48" t="inlineStr">
        <is>
          <t>Synthetic test record.</t>
        </is>
      </c>
      <c r="BM134" s="48" t="inlineStr"/>
      <c r="BN134" s="48">
        <f>TRIM(IF(AND($H134="Student",$J134="ADM-ACT-MAT-CNE"),"Invalid: Student cannot be CNE. ","")&amp;IF(AND($H134="Student",ISNUMBER($O134)),"Check: capacity set for a Student. ","")&amp;IF(AND(LEFT($J134,11)="ADM-ACT-MAT",$P134=0),"Check: matched status but 0 active pairings. ","")&amp;IF(AND($H134="Tutor",ISNUMBER($O134),$P134&gt;$O134),"Check: pairings exceed capacity. ","")&amp;IF(AND($BH134="Everyone",NOT(AND($BD134="Yes",$BG134="Yes"))),"Check: approved to tutor children but WWCC not provided/confirmed. ","")&amp;IF(AND($P134&gt;0,NOT(AND(OR(LEFT($AY134,3)="Yes",LEFT($AY134,2)="NA"),OR(LEFT($AZ134,3)="Yes",LEFT($AZ134,2)="NA")))),"Matched but vetting incomplete (interview/reference). ","")&amp;IF(COUNTIF($B$3:$B$600,$B134)&gt;1,"Duplicate participant name. ",""))</f>
        <v/>
      </c>
      <c r="BO134" s="48" t="inlineStr"/>
      <c r="BP134" s="48" t="inlineStr"/>
      <c r="BQ134" s="48" t="inlineStr"/>
      <c r="BR134" s="48" t="inlineStr"/>
      <c r="BS134" s="48" t="inlineStr"/>
      <c r="BT134" s="48" t="inlineStr"/>
      <c r="BU134" s="48" t="inlineStr"/>
      <c r="BV134" s="48" t="inlineStr"/>
      <c r="BW134" s="48" t="inlineStr"/>
      <c r="BX134" s="48" t="inlineStr"/>
      <c r="BY134" s="48" t="inlineStr"/>
      <c r="BZ134" s="48" t="inlineStr"/>
      <c r="CA134" s="48" t="inlineStr"/>
      <c r="CB134" s="48" t="inlineStr"/>
      <c r="CC134" s="48" t="inlineStr"/>
      <c r="CD134" s="48" t="inlineStr"/>
      <c r="CE134" s="48" t="inlineStr"/>
      <c r="CF134" s="48" t="inlineStr"/>
      <c r="CG134" s="48" t="inlineStr"/>
      <c r="CH134" s="48" t="inlineStr"/>
      <c r="CI134" s="48" t="inlineStr"/>
      <c r="CJ134" s="48" t="inlineStr"/>
      <c r="CK134" s="48" t="inlineStr"/>
      <c r="CL134" s="48" t="inlineStr"/>
      <c r="CM134" s="48" t="inlineStr"/>
      <c r="CN134" s="48" t="inlineStr"/>
      <c r="CO134" s="48" t="inlineStr"/>
      <c r="CP134" s="48" t="inlineStr"/>
      <c r="CQ134" s="48" t="inlineStr"/>
      <c r="CR134" s="48" t="inlineStr"/>
      <c r="CS134" s="48">
        <f>IF(LEFT($J134,3)="ERR",0,1)</f>
        <v/>
      </c>
      <c r="CT134" s="48">
        <f>IF(LEFT($J134,3)="ADM",1,0)</f>
        <v/>
      </c>
      <c r="CU134" s="48">
        <f>IF(OR($J134="ADM-ACT-MAT-CNE",$J134="ADM-ACT-MAT-CE",$J134="ADM-INACT-M&amp;T"),1,0)</f>
        <v/>
      </c>
      <c r="CV134" s="48">
        <f>IF(AND(CU134=1,ISNUMBER(M134),ISNUMBER(I134)),M134-I134,"")</f>
        <v/>
      </c>
      <c r="CW134" s="48">
        <f>IF(ISNUMBER(I134),TODAY()-I134,"")</f>
        <v/>
      </c>
      <c r="CX134" s="48">
        <f>IF(ISNUMBER(I134),DATE(YEAR(I134),MONTH(I134),1),"")</f>
        <v/>
      </c>
      <c r="CY134" s="48">
        <f>IFERROR(DATEDIF(AK134,TODAY(),"y"),"")</f>
        <v/>
      </c>
      <c r="CZ134" s="48">
        <f>IF(CY134="","",IF(CY134&lt;28,"18-27",IF(CY134&lt;38,"28-37",IF(CY134&lt;48,"38-47",IF(CY134&lt;58,"48-57",IF(CY134&lt;68,"58-67",IF(CY134&lt;78,"68-77","78+")))))) </f>
        <v/>
      </c>
      <c r="DA134" s="48">
        <f>IF(AND(BQ134&lt;&gt;"",BR134=""),N(BS134),0)+IF(AND(BW134&lt;&gt;"",BX134=""),N(BY134),0)+IF(AND(CC134&lt;&gt;"",CD134=""),N(CE134),0)+IF(AND(CI134&lt;&gt;"",CJ134=""),N(CK134),0)+IF(AND(CO134&lt;&gt;"",CP134=""),N(CQ134),0)</f>
        <v/>
      </c>
      <c r="DB134" s="48">
        <f>ROUND(IF(BQ134&lt;&gt;"",N(BS134)*MAX(0,((IF(BR134="",TODAY(),BR134))-BQ134)/7),0)+IF(BW134&lt;&gt;"",N(BY134)*MAX(0,((IF(BX134="",TODAY(),BX134))-BW134)/7),0)+IF(CC134&lt;&gt;"",N(CE134)*MAX(0,((IF(CD134="",TODAY(),CD134))-CC134)/7),0)+IF(CI134&lt;&gt;"",N(CK134)*MAX(0,((IF(CJ134="",TODAY(),CJ134))-CI134)/7),0)+IF(CO134&lt;&gt;"",N(CQ134)*MAX(0,((IF(CP134="",TODAY(),CP134))-CO134)/7),0),1)</f>
        <v/>
      </c>
      <c r="DC134" s="48">
        <f>IF(OR(TRIM(X134)="",TRIM(X134)="NA;",TRIM(X134)="NA"),0,1)</f>
        <v/>
      </c>
      <c r="DD134" s="48">
        <f>IF(OR(TRIM(Y134)="",TRIM(Y134)="NA;",TRIM(Y134)="NA"),0,1)</f>
        <v/>
      </c>
      <c r="DE134" s="48">
        <f>IF(OR(TRIM(Z134)="",TRIM(Z134)="NA;",TRIM(Z134)="NA"),0,1)</f>
        <v/>
      </c>
      <c r="DF134" s="48">
        <f>IF(OR(TRIM(AA134)="",TRIM(AA134)="NA;",TRIM(AA134)="NA"),0,1)</f>
        <v/>
      </c>
      <c r="DG134" s="48">
        <f>IF(OR(TRIM(AB134)="",TRIM(AB134)="NA;",TRIM(AB134)="NA"),0,1)</f>
        <v/>
      </c>
      <c r="DH134" s="48">
        <f>IF(OR(TRIM(AC134)="",TRIM(AC134)="NA;",TRIM(AC134)="NA"),0,1)</f>
        <v/>
      </c>
      <c r="DI134" s="48">
        <f>IF(OR(TRIM(AD134)="",TRIM(AD134)="NA;",TRIM(AD134)="NA"),0,1)</f>
        <v/>
      </c>
      <c r="DJ134" s="48">
        <f>TRIM(IF(DC134=1,"Mon ","")&amp;IF(DD134=1,"Tue ","")&amp;IF(DE134=1,"Wed ","")&amp;IF(DF134=1,"Thu ","")&amp;IF(DG134=1,"Fri ","")&amp;IF(DH134=1,"Sat ","")&amp;IF(DI134=1,"Sun ",""))</f>
        <v/>
      </c>
    </row>
    <row r="135">
      <c r="A135" s="48" t="inlineStr">
        <is>
          <t>S-O-00033</t>
        </is>
      </c>
      <c r="B135" s="48" t="inlineStr">
        <is>
          <t>Hannah Ibrahim</t>
        </is>
      </c>
      <c r="C135" s="48" t="inlineStr">
        <is>
          <t>hannah.ibrahim33@example.com</t>
        </is>
      </c>
      <c r="D135" s="48" t="inlineStr">
        <is>
          <t>+61 449 697 984</t>
        </is>
      </c>
      <c r="E135" s="48" t="inlineStr">
        <is>
          <t>Laura Green</t>
        </is>
      </c>
      <c r="F135" s="48" t="inlineStr">
        <is>
          <t>+61 419 380 789</t>
        </is>
      </c>
      <c r="G135" s="48" t="inlineStr">
        <is>
          <t>Spouse</t>
        </is>
      </c>
      <c r="H135" s="48" t="inlineStr">
        <is>
          <t>Student</t>
        </is>
      </c>
      <c r="I135" s="49" t="n">
        <v>45528</v>
      </c>
      <c r="J135" s="48" t="inlineStr">
        <is>
          <t>ADM-ACT-MAT-CE</t>
        </is>
      </c>
      <c r="K135" s="48">
        <f>IFERROR(VLOOKUP(J135,'(A) Introduction'!$B$35:$C$45,2,FALSE),"")</f>
        <v/>
      </c>
      <c r="L135" s="48" t="inlineStr">
        <is>
          <t>No</t>
        </is>
      </c>
      <c r="M135" s="49" t="n">
        <v>45575</v>
      </c>
      <c r="N135" s="48" t="inlineStr"/>
      <c r="O135" s="48" t="inlineStr">
        <is>
          <t>NA</t>
        </is>
      </c>
      <c r="P135" s="48">
        <f>IF($H135="Tutor",((BQ135&lt;&gt;"")*(BR135=""))+((BW135&lt;&gt;"")*(BX135=""))+((CC135&lt;&gt;"")*(CD135=""))+((CI135&lt;&gt;"")*(CJ135=""))+((CO135&lt;&gt;"")*(CP135="")),SUMPRODUCT(--($BO$3:$BO$202=$A135),--($BR$3:$BR$202=""))+SUMPRODUCT(--($BU$3:$BU$202=$A135),--($BX$3:$BX$202=""))+SUMPRODUCT(--($CA$3:$CA$202=$A135),--($CD$3:$CD$202=""))+SUMPRODUCT(--($CG$3:$CG$202=$A135),--($CJ$3:$CJ$202=""))+SUMPRODUCT(--($CM$3:$CM$202=$A135),--($CP$3:$CP$202="")))</f>
        <v/>
      </c>
      <c r="Q135" s="48">
        <f>IF($H135="Tutor",(BQ135&lt;&gt;"")+(BW135&lt;&gt;"")+(CC135&lt;&gt;"")+(CI135&lt;&gt;"")+(CO135&lt;&gt;""),SUMPRODUCT(--($BO$3:$BO$202=$A135))+SUMPRODUCT(--($BU$3:$BU$202=$A135))+SUMPRODUCT(--($CA$3:$CA$202=$A135))+SUMPRODUCT(--($CG$3:$CG$202=$A135))+SUMPRODUCT(--($CM$3:$CM$202=$A135)))</f>
        <v/>
      </c>
      <c r="R135" s="48">
        <f>IF($H135="Tutor",TRIM(IF(AND(BQ135&lt;&gt;"",BR135=""),BP135&amp;"; ","")&amp;IF(AND(BW135&lt;&gt;"",BX135=""),BV135&amp;"; ","")&amp;IF(AND(CC135&lt;&gt;"",CD135=""),CB135&amp;"; ","")&amp;IF(AND(CI135&lt;&gt;"",CJ135=""),CH135&amp;"; ","")&amp;IF(AND(CO135&lt;&gt;"",CP135=""),CN135&amp;"; ","")),IFERROR(INDEX($A$3:$B$202,(SUMPRODUCT(($BO$3:$BO$202=$A135)*($BR$3:$BR$202="")*ROW($BO$3:$BO$202))+SUMPRODUCT(($BU$3:$BU$202=$A135)*($BX$3:$BX$202="")*ROW($BU$3:$BU$202))+SUMPRODUCT(($CA$3:$CA$202=$A135)*($CD$3:$CD$202="")*ROW($CA$3:$CA$202))+SUMPRODUCT(($CG$3:$CG$202=$A135)*($CJ$3:$CJ$202="")*ROW($CG$3:$CG$202))+SUMPRODUCT(($CM$3:$CM$202=$A135)*($CP$3:$CP$202="")*ROW($CM$3:$CM$202)))-2,2),""))</f>
        <v/>
      </c>
      <c r="S135" s="48" t="inlineStr">
        <is>
          <t>Not Provided</t>
        </is>
      </c>
      <c r="T135" s="48" t="inlineStr"/>
      <c r="U135" s="48" t="inlineStr"/>
      <c r="V135" s="49" t="n">
        <v>46036</v>
      </c>
      <c r="W135" s="48" t="inlineStr">
        <is>
          <t>AEST (UTC+10)</t>
        </is>
      </c>
      <c r="X135" s="48" t="inlineStr">
        <is>
          <t>NA;</t>
        </is>
      </c>
      <c r="Y135" s="48" t="inlineStr">
        <is>
          <t>9am-12pm;12pm-3pm;3pm-6pm;</t>
        </is>
      </c>
      <c r="Z135" s="48" t="inlineStr">
        <is>
          <t>9am-12pm;12pm-3pm;3pm-6pm;</t>
        </is>
      </c>
      <c r="AA135" s="48" t="inlineStr">
        <is>
          <t>6pm-9pm;</t>
        </is>
      </c>
      <c r="AB135" s="48" t="inlineStr">
        <is>
          <t>3pm-6pm;</t>
        </is>
      </c>
      <c r="AC135" s="48" t="inlineStr">
        <is>
          <t>6pm-9pm;</t>
        </is>
      </c>
      <c r="AD135" s="48" t="inlineStr">
        <is>
          <t>3pm-6pm;</t>
        </is>
      </c>
      <c r="AE135" s="48" t="inlineStr">
        <is>
          <t>Online</t>
        </is>
      </c>
      <c r="AF135" s="48" t="inlineStr">
        <is>
          <t>Tablet</t>
        </is>
      </c>
      <c r="AG135" s="48" t="inlineStr">
        <is>
          <t>Australia</t>
        </is>
      </c>
      <c r="AH135" s="48" t="inlineStr">
        <is>
          <t>Victoria</t>
        </is>
      </c>
      <c r="AI135" s="48" t="inlineStr">
        <is>
          <t>Footscray</t>
        </is>
      </c>
      <c r="AJ135" s="48" t="inlineStr">
        <is>
          <t>3011</t>
        </is>
      </c>
      <c r="AK135" s="49" t="n">
        <v>37188</v>
      </c>
      <c r="AL135" s="48" t="inlineStr">
        <is>
          <t>Female</t>
        </is>
      </c>
      <c r="AM135" s="48" t="inlineStr">
        <is>
          <t>No</t>
        </is>
      </c>
      <c r="AN135" s="48" t="inlineStr">
        <is>
          <t>A1</t>
        </is>
      </c>
      <c r="AO135" s="48" t="inlineStr">
        <is>
          <t>Moderate</t>
        </is>
      </c>
      <c r="AP135" s="48" t="inlineStr">
        <is>
          <t>Colombia</t>
        </is>
      </c>
      <c r="AQ135" s="48" t="inlineStr">
        <is>
          <t>NA</t>
        </is>
      </c>
      <c r="AR135" s="48" t="inlineStr">
        <is>
          <t>Spanish (C1)</t>
        </is>
      </c>
      <c r="AS135" s="48" t="inlineStr">
        <is>
          <t>None</t>
        </is>
      </c>
      <c r="AT135" s="48" t="inlineStr">
        <is>
          <t>Social &amp; Community Services</t>
        </is>
      </c>
      <c r="AU135" s="48" t="inlineStr">
        <is>
          <t>Teacher</t>
        </is>
      </c>
      <c r="AV135" s="48" t="inlineStr">
        <is>
          <t>Medicine</t>
        </is>
      </c>
      <c r="AW135" s="48" t="inlineStr">
        <is>
          <t>Gardening; Cooking; Walking</t>
        </is>
      </c>
      <c r="AX135" s="48" t="inlineStr">
        <is>
          <t>Refugee</t>
        </is>
      </c>
      <c r="AY135" s="48" t="inlineStr">
        <is>
          <t>Yes</t>
        </is>
      </c>
      <c r="AZ135" s="48" t="inlineStr">
        <is>
          <t>Yes</t>
        </is>
      </c>
      <c r="BA135" s="48" t="inlineStr">
        <is>
          <t>NA</t>
        </is>
      </c>
      <c r="BB135" s="48" t="inlineStr">
        <is>
          <t>NA</t>
        </is>
      </c>
      <c r="BC135" s="48" t="inlineStr">
        <is>
          <t>NA</t>
        </is>
      </c>
      <c r="BD135" s="48" t="inlineStr">
        <is>
          <t>NA</t>
        </is>
      </c>
      <c r="BE135" s="48" t="inlineStr"/>
      <c r="BF135" s="48" t="inlineStr"/>
      <c r="BG135" s="48" t="inlineStr">
        <is>
          <t>NA</t>
        </is>
      </c>
      <c r="BH135" s="48" t="inlineStr">
        <is>
          <t>NA - Student</t>
        </is>
      </c>
      <c r="BI135" s="48" t="inlineStr">
        <is>
          <t>University of Western Sydney (including the Law Students' Society)</t>
        </is>
      </c>
      <c r="BJ135" s="48" t="inlineStr">
        <is>
          <t>ZULMAN Levi</t>
        </is>
      </c>
      <c r="BK135" s="48" t="inlineStr">
        <is>
          <t>NUICH Curtis</t>
        </is>
      </c>
      <c r="BL135" s="48" t="inlineStr">
        <is>
          <t>Synthetic test record.</t>
        </is>
      </c>
      <c r="BM135" s="48" t="inlineStr"/>
      <c r="BN135" s="48">
        <f>TRIM(IF(AND($H135="Student",$J135="ADM-ACT-MAT-CNE"),"Invalid: Student cannot be CNE. ","")&amp;IF(AND($H135="Student",ISNUMBER($O135)),"Check: capacity set for a Student. ","")&amp;IF(AND(LEFT($J135,11)="ADM-ACT-MAT",$P135=0),"Check: matched status but 0 active pairings. ","")&amp;IF(AND($H135="Tutor",ISNUMBER($O135),$P135&gt;$O135),"Check: pairings exceed capacity. ","")&amp;IF(AND($BH135="Everyone",NOT(AND($BD135="Yes",$BG135="Yes"))),"Check: approved to tutor children but WWCC not provided/confirmed. ","")&amp;IF(AND($P135&gt;0,NOT(AND(OR(LEFT($AY135,3)="Yes",LEFT($AY135,2)="NA"),OR(LEFT($AZ135,3)="Yes",LEFT($AZ135,2)="NA")))),"Matched but vetting incomplete (interview/reference). ","")&amp;IF(COUNTIF($B$3:$B$600,$B135)&gt;1,"Duplicate participant name. ",""))</f>
        <v/>
      </c>
      <c r="BO135" s="48" t="inlineStr"/>
      <c r="BP135" s="48" t="inlineStr"/>
      <c r="BQ135" s="48" t="inlineStr"/>
      <c r="BR135" s="48" t="inlineStr"/>
      <c r="BS135" s="48" t="inlineStr"/>
      <c r="BT135" s="48" t="inlineStr"/>
      <c r="BU135" s="48" t="inlineStr"/>
      <c r="BV135" s="48" t="inlineStr"/>
      <c r="BW135" s="48" t="inlineStr"/>
      <c r="BX135" s="48" t="inlineStr"/>
      <c r="BY135" s="48" t="inlineStr"/>
      <c r="BZ135" s="48" t="inlineStr"/>
      <c r="CA135" s="48" t="inlineStr"/>
      <c r="CB135" s="48" t="inlineStr"/>
      <c r="CC135" s="48" t="inlineStr"/>
      <c r="CD135" s="48" t="inlineStr"/>
      <c r="CE135" s="48" t="inlineStr"/>
      <c r="CF135" s="48" t="inlineStr"/>
      <c r="CG135" s="48" t="inlineStr"/>
      <c r="CH135" s="48" t="inlineStr"/>
      <c r="CI135" s="48" t="inlineStr"/>
      <c r="CJ135" s="48" t="inlineStr"/>
      <c r="CK135" s="48" t="inlineStr"/>
      <c r="CL135" s="48" t="inlineStr"/>
      <c r="CM135" s="48" t="inlineStr"/>
      <c r="CN135" s="48" t="inlineStr"/>
      <c r="CO135" s="48" t="inlineStr"/>
      <c r="CP135" s="48" t="inlineStr"/>
      <c r="CQ135" s="48" t="inlineStr"/>
      <c r="CR135" s="48" t="inlineStr"/>
      <c r="CS135" s="48">
        <f>IF(LEFT($J135,3)="ERR",0,1)</f>
        <v/>
      </c>
      <c r="CT135" s="48">
        <f>IF(LEFT($J135,3)="ADM",1,0)</f>
        <v/>
      </c>
      <c r="CU135" s="48">
        <f>IF(OR($J135="ADM-ACT-MAT-CNE",$J135="ADM-ACT-MAT-CE",$J135="ADM-INACT-M&amp;T"),1,0)</f>
        <v/>
      </c>
      <c r="CV135" s="48">
        <f>IF(AND(CU135=1,ISNUMBER(M135),ISNUMBER(I135)),M135-I135,"")</f>
        <v/>
      </c>
      <c r="CW135" s="48">
        <f>IF(ISNUMBER(I135),TODAY()-I135,"")</f>
        <v/>
      </c>
      <c r="CX135" s="48">
        <f>IF(ISNUMBER(I135),DATE(YEAR(I135),MONTH(I135),1),"")</f>
        <v/>
      </c>
      <c r="CY135" s="48">
        <f>IFERROR(DATEDIF(AK135,TODAY(),"y"),"")</f>
        <v/>
      </c>
      <c r="CZ135" s="48">
        <f>IF(CY135="","",IF(CY135&lt;28,"18-27",IF(CY135&lt;38,"28-37",IF(CY135&lt;48,"38-47",IF(CY135&lt;58,"48-57",IF(CY135&lt;68,"58-67",IF(CY135&lt;78,"68-77","78+")))))) </f>
        <v/>
      </c>
      <c r="DA135" s="48">
        <f>IF(AND(BQ135&lt;&gt;"",BR135=""),N(BS135),0)+IF(AND(BW135&lt;&gt;"",BX135=""),N(BY135),0)+IF(AND(CC135&lt;&gt;"",CD135=""),N(CE135),0)+IF(AND(CI135&lt;&gt;"",CJ135=""),N(CK135),0)+IF(AND(CO135&lt;&gt;"",CP135=""),N(CQ135),0)</f>
        <v/>
      </c>
      <c r="DB135" s="48">
        <f>ROUND(IF(BQ135&lt;&gt;"",N(BS135)*MAX(0,((IF(BR135="",TODAY(),BR135))-BQ135)/7),0)+IF(BW135&lt;&gt;"",N(BY135)*MAX(0,((IF(BX135="",TODAY(),BX135))-BW135)/7),0)+IF(CC135&lt;&gt;"",N(CE135)*MAX(0,((IF(CD135="",TODAY(),CD135))-CC135)/7),0)+IF(CI135&lt;&gt;"",N(CK135)*MAX(0,((IF(CJ135="",TODAY(),CJ135))-CI135)/7),0)+IF(CO135&lt;&gt;"",N(CQ135)*MAX(0,((IF(CP135="",TODAY(),CP135))-CO135)/7),0),1)</f>
        <v/>
      </c>
      <c r="DC135" s="48">
        <f>IF(OR(TRIM(X135)="",TRIM(X135)="NA;",TRIM(X135)="NA"),0,1)</f>
        <v/>
      </c>
      <c r="DD135" s="48">
        <f>IF(OR(TRIM(Y135)="",TRIM(Y135)="NA;",TRIM(Y135)="NA"),0,1)</f>
        <v/>
      </c>
      <c r="DE135" s="48">
        <f>IF(OR(TRIM(Z135)="",TRIM(Z135)="NA;",TRIM(Z135)="NA"),0,1)</f>
        <v/>
      </c>
      <c r="DF135" s="48">
        <f>IF(OR(TRIM(AA135)="",TRIM(AA135)="NA;",TRIM(AA135)="NA"),0,1)</f>
        <v/>
      </c>
      <c r="DG135" s="48">
        <f>IF(OR(TRIM(AB135)="",TRIM(AB135)="NA;",TRIM(AB135)="NA"),0,1)</f>
        <v/>
      </c>
      <c r="DH135" s="48">
        <f>IF(OR(TRIM(AC135)="",TRIM(AC135)="NA;",TRIM(AC135)="NA"),0,1)</f>
        <v/>
      </c>
      <c r="DI135" s="48">
        <f>IF(OR(TRIM(AD135)="",TRIM(AD135)="NA;",TRIM(AD135)="NA"),0,1)</f>
        <v/>
      </c>
      <c r="DJ135" s="48">
        <f>TRIM(IF(DC135=1,"Mon ","")&amp;IF(DD135=1,"Tue ","")&amp;IF(DE135=1,"Wed ","")&amp;IF(DF135=1,"Thu ","")&amp;IF(DG135=1,"Fri ","")&amp;IF(DH135=1,"Sat ","")&amp;IF(DI135=1,"Sun ",""))</f>
        <v/>
      </c>
    </row>
    <row r="136">
      <c r="A136" s="48" t="inlineStr">
        <is>
          <t>S-O-00034</t>
        </is>
      </c>
      <c r="B136" s="48" t="inlineStr">
        <is>
          <t>Omar Silva</t>
        </is>
      </c>
      <c r="C136" s="48" t="inlineStr">
        <is>
          <t>omar.silva34@example.com</t>
        </is>
      </c>
      <c r="D136" s="48" t="inlineStr">
        <is>
          <t>+61 411 702 633</t>
        </is>
      </c>
      <c r="E136" s="48" t="inlineStr">
        <is>
          <t>Elena King</t>
        </is>
      </c>
      <c r="F136" s="48" t="inlineStr">
        <is>
          <t>+61 423 556 356</t>
        </is>
      </c>
      <c r="G136" s="48" t="inlineStr">
        <is>
          <t>Sibling</t>
        </is>
      </c>
      <c r="H136" s="48" t="inlineStr">
        <is>
          <t>Student</t>
        </is>
      </c>
      <c r="I136" s="49" t="n">
        <v>45535</v>
      </c>
      <c r="J136" s="48" t="inlineStr">
        <is>
          <t>ADM-ACT-MAT-CE</t>
        </is>
      </c>
      <c r="K136" s="48">
        <f>IFERROR(VLOOKUP(J136,'(A) Introduction'!$B$35:$C$45,2,FALSE),"")</f>
        <v/>
      </c>
      <c r="L136" s="48" t="inlineStr">
        <is>
          <t>No</t>
        </is>
      </c>
      <c r="M136" s="49" t="n">
        <v>45563</v>
      </c>
      <c r="N136" s="48" t="inlineStr"/>
      <c r="O136" s="48" t="inlineStr">
        <is>
          <t>NA</t>
        </is>
      </c>
      <c r="P136" s="48">
        <f>IF($H136="Tutor",((BQ136&lt;&gt;"")*(BR136=""))+((BW136&lt;&gt;"")*(BX136=""))+((CC136&lt;&gt;"")*(CD136=""))+((CI136&lt;&gt;"")*(CJ136=""))+((CO136&lt;&gt;"")*(CP136="")),SUMPRODUCT(--($BO$3:$BO$202=$A136),--($BR$3:$BR$202=""))+SUMPRODUCT(--($BU$3:$BU$202=$A136),--($BX$3:$BX$202=""))+SUMPRODUCT(--($CA$3:$CA$202=$A136),--($CD$3:$CD$202=""))+SUMPRODUCT(--($CG$3:$CG$202=$A136),--($CJ$3:$CJ$202=""))+SUMPRODUCT(--($CM$3:$CM$202=$A136),--($CP$3:$CP$202="")))</f>
        <v/>
      </c>
      <c r="Q136" s="48">
        <f>IF($H136="Tutor",(BQ136&lt;&gt;"")+(BW136&lt;&gt;"")+(CC136&lt;&gt;"")+(CI136&lt;&gt;"")+(CO136&lt;&gt;""),SUMPRODUCT(--($BO$3:$BO$202=$A136))+SUMPRODUCT(--($BU$3:$BU$202=$A136))+SUMPRODUCT(--($CA$3:$CA$202=$A136))+SUMPRODUCT(--($CG$3:$CG$202=$A136))+SUMPRODUCT(--($CM$3:$CM$202=$A136)))</f>
        <v/>
      </c>
      <c r="R136" s="48">
        <f>IF($H136="Tutor",TRIM(IF(AND(BQ136&lt;&gt;"",BR136=""),BP136&amp;"; ","")&amp;IF(AND(BW136&lt;&gt;"",BX136=""),BV136&amp;"; ","")&amp;IF(AND(CC136&lt;&gt;"",CD136=""),CB136&amp;"; ","")&amp;IF(AND(CI136&lt;&gt;"",CJ136=""),CH136&amp;"; ","")&amp;IF(AND(CO136&lt;&gt;"",CP136=""),CN136&amp;"; ","")),IFERROR(INDEX($A$3:$B$202,(SUMPRODUCT(($BO$3:$BO$202=$A136)*($BR$3:$BR$202="")*ROW($BO$3:$BO$202))+SUMPRODUCT(($BU$3:$BU$202=$A136)*($BX$3:$BX$202="")*ROW($BU$3:$BU$202))+SUMPRODUCT(($CA$3:$CA$202=$A136)*($CD$3:$CD$202="")*ROW($CA$3:$CA$202))+SUMPRODUCT(($CG$3:$CG$202=$A136)*($CJ$3:$CJ$202="")*ROW($CG$3:$CG$202))+SUMPRODUCT(($CM$3:$CM$202=$A136)*($CP$3:$CP$202="")*ROW($CM$3:$CM$202)))-2,2),""))</f>
        <v/>
      </c>
      <c r="S136" s="48" t="inlineStr">
        <is>
          <t>NA</t>
        </is>
      </c>
      <c r="T136" s="48" t="inlineStr"/>
      <c r="U136" s="48" t="inlineStr"/>
      <c r="V136" s="49" t="n">
        <v>46040</v>
      </c>
      <c r="W136" s="48" t="inlineStr">
        <is>
          <t>AEST (UTC+10)</t>
        </is>
      </c>
      <c r="X136" s="48" t="inlineStr">
        <is>
          <t>NA;</t>
        </is>
      </c>
      <c r="Y136" s="48" t="inlineStr">
        <is>
          <t>6am-9am;9am-12pm;</t>
        </is>
      </c>
      <c r="Z136" s="48" t="inlineStr">
        <is>
          <t>9am-12pm;</t>
        </is>
      </c>
      <c r="AA136" s="48" t="inlineStr">
        <is>
          <t>9am-12pm;12pm-3pm;3pm-6pm;</t>
        </is>
      </c>
      <c r="AB136" s="48" t="inlineStr">
        <is>
          <t>6pm-9pm;</t>
        </is>
      </c>
      <c r="AC136" s="48" t="inlineStr">
        <is>
          <t>9am-12pm;</t>
        </is>
      </c>
      <c r="AD136" s="48" t="inlineStr">
        <is>
          <t>6pm-9pm;</t>
        </is>
      </c>
      <c r="AE136" s="48" t="inlineStr">
        <is>
          <t>Online</t>
        </is>
      </c>
      <c r="AF136" s="48" t="inlineStr">
        <is>
          <t>Tablet</t>
        </is>
      </c>
      <c r="AG136" s="48" t="inlineStr">
        <is>
          <t>Australia</t>
        </is>
      </c>
      <c r="AH136" s="48" t="inlineStr">
        <is>
          <t>Victoria</t>
        </is>
      </c>
      <c r="AI136" s="48" t="inlineStr">
        <is>
          <t>Footscray</t>
        </is>
      </c>
      <c r="AJ136" s="48" t="inlineStr">
        <is>
          <t>3011</t>
        </is>
      </c>
      <c r="AK136" s="49" t="n">
        <v>31795</v>
      </c>
      <c r="AL136" s="48" t="inlineStr">
        <is>
          <t>Other</t>
        </is>
      </c>
      <c r="AM136" s="48" t="inlineStr">
        <is>
          <t>No</t>
        </is>
      </c>
      <c r="AN136" s="48" t="inlineStr">
        <is>
          <t>B2</t>
        </is>
      </c>
      <c r="AO136" s="48" t="inlineStr">
        <is>
          <t>Moderate</t>
        </is>
      </c>
      <c r="AP136" s="48" t="inlineStr">
        <is>
          <t>Iraq</t>
        </is>
      </c>
      <c r="AQ136" s="48" t="inlineStr">
        <is>
          <t>NA</t>
        </is>
      </c>
      <c r="AR136" s="48" t="inlineStr">
        <is>
          <t>Bengali (C1)</t>
        </is>
      </c>
      <c r="AS136" s="48" t="inlineStr">
        <is>
          <t>Christian (Catholic)</t>
        </is>
      </c>
      <c r="AT136" s="48" t="inlineStr">
        <is>
          <t>Health &amp; Medicine</t>
        </is>
      </c>
      <c r="AU136" s="48" t="inlineStr">
        <is>
          <t>Engineer</t>
        </is>
      </c>
      <c r="AV136" s="48" t="inlineStr">
        <is>
          <t>Medicine</t>
        </is>
      </c>
      <c r="AW136" s="48" t="inlineStr">
        <is>
          <t>Reading; Politics; Music</t>
        </is>
      </c>
      <c r="AX136" s="48" t="inlineStr">
        <is>
          <t>Asylum Seeker</t>
        </is>
      </c>
      <c r="AY136" s="48" t="inlineStr">
        <is>
          <t>No</t>
        </is>
      </c>
      <c r="AZ136" s="48" t="inlineStr">
        <is>
          <t>No</t>
        </is>
      </c>
      <c r="BA136" s="48" t="inlineStr">
        <is>
          <t>NA</t>
        </is>
      </c>
      <c r="BB136" s="48" t="inlineStr">
        <is>
          <t>NA</t>
        </is>
      </c>
      <c r="BC136" s="48" t="inlineStr">
        <is>
          <t>NA</t>
        </is>
      </c>
      <c r="BD136" s="48" t="inlineStr">
        <is>
          <t>NA</t>
        </is>
      </c>
      <c r="BE136" s="48" t="inlineStr"/>
      <c r="BF136" s="48" t="inlineStr"/>
      <c r="BG136" s="48" t="inlineStr">
        <is>
          <t>NA</t>
        </is>
      </c>
      <c r="BH136" s="48" t="inlineStr">
        <is>
          <t>NA - Student</t>
        </is>
      </c>
      <c r="BI136" s="48" t="inlineStr">
        <is>
          <t>University of Technology Sydney (including the Brennan Justice Program)</t>
        </is>
      </c>
      <c r="BJ136" s="48" t="inlineStr">
        <is>
          <t>ZULMAN Levi</t>
        </is>
      </c>
      <c r="BK136" s="48" t="inlineStr">
        <is>
          <t>NUICH Curtis</t>
        </is>
      </c>
      <c r="BL136" s="48" t="inlineStr">
        <is>
          <t>Synthetic test record.</t>
        </is>
      </c>
      <c r="BM136" s="48" t="inlineStr"/>
      <c r="BN136" s="48">
        <f>TRIM(IF(AND($H136="Student",$J136="ADM-ACT-MAT-CNE"),"Invalid: Student cannot be CNE. ","")&amp;IF(AND($H136="Student",ISNUMBER($O136)),"Check: capacity set for a Student. ","")&amp;IF(AND(LEFT($J136,11)="ADM-ACT-MAT",$P136=0),"Check: matched status but 0 active pairings. ","")&amp;IF(AND($H136="Tutor",ISNUMBER($O136),$P136&gt;$O136),"Check: pairings exceed capacity. ","")&amp;IF(AND($BH136="Everyone",NOT(AND($BD136="Yes",$BG136="Yes"))),"Check: approved to tutor children but WWCC not provided/confirmed. ","")&amp;IF(AND($P136&gt;0,NOT(AND(OR(LEFT($AY136,3)="Yes",LEFT($AY136,2)="NA"),OR(LEFT($AZ136,3)="Yes",LEFT($AZ136,2)="NA")))),"Matched but vetting incomplete (interview/reference). ","")&amp;IF(COUNTIF($B$3:$B$600,$B136)&gt;1,"Duplicate participant name. ",""))</f>
        <v/>
      </c>
      <c r="BO136" s="48" t="inlineStr"/>
      <c r="BP136" s="48" t="inlineStr"/>
      <c r="BQ136" s="48" t="inlineStr"/>
      <c r="BR136" s="48" t="inlineStr"/>
      <c r="BS136" s="48" t="inlineStr"/>
      <c r="BT136" s="48" t="inlineStr"/>
      <c r="BU136" s="48" t="inlineStr"/>
      <c r="BV136" s="48" t="inlineStr"/>
      <c r="BW136" s="48" t="inlineStr"/>
      <c r="BX136" s="48" t="inlineStr"/>
      <c r="BY136" s="48" t="inlineStr"/>
      <c r="BZ136" s="48" t="inlineStr"/>
      <c r="CA136" s="48" t="inlineStr"/>
      <c r="CB136" s="48" t="inlineStr"/>
      <c r="CC136" s="48" t="inlineStr"/>
      <c r="CD136" s="48" t="inlineStr"/>
      <c r="CE136" s="48" t="inlineStr"/>
      <c r="CF136" s="48" t="inlineStr"/>
      <c r="CG136" s="48" t="inlineStr"/>
      <c r="CH136" s="48" t="inlineStr"/>
      <c r="CI136" s="48" t="inlineStr"/>
      <c r="CJ136" s="48" t="inlineStr"/>
      <c r="CK136" s="48" t="inlineStr"/>
      <c r="CL136" s="48" t="inlineStr"/>
      <c r="CM136" s="48" t="inlineStr"/>
      <c r="CN136" s="48" t="inlineStr"/>
      <c r="CO136" s="48" t="inlineStr"/>
      <c r="CP136" s="48" t="inlineStr"/>
      <c r="CQ136" s="48" t="inlineStr"/>
      <c r="CR136" s="48" t="inlineStr"/>
      <c r="CS136" s="48">
        <f>IF(LEFT($J136,3)="ERR",0,1)</f>
        <v/>
      </c>
      <c r="CT136" s="48">
        <f>IF(LEFT($J136,3)="ADM",1,0)</f>
        <v/>
      </c>
      <c r="CU136" s="48">
        <f>IF(OR($J136="ADM-ACT-MAT-CNE",$J136="ADM-ACT-MAT-CE",$J136="ADM-INACT-M&amp;T"),1,0)</f>
        <v/>
      </c>
      <c r="CV136" s="48">
        <f>IF(AND(CU136=1,ISNUMBER(M136),ISNUMBER(I136)),M136-I136,"")</f>
        <v/>
      </c>
      <c r="CW136" s="48">
        <f>IF(ISNUMBER(I136),TODAY()-I136,"")</f>
        <v/>
      </c>
      <c r="CX136" s="48">
        <f>IF(ISNUMBER(I136),DATE(YEAR(I136),MONTH(I136),1),"")</f>
        <v/>
      </c>
      <c r="CY136" s="48">
        <f>IFERROR(DATEDIF(AK136,TODAY(),"y"),"")</f>
        <v/>
      </c>
      <c r="CZ136" s="48">
        <f>IF(CY136="","",IF(CY136&lt;28,"18-27",IF(CY136&lt;38,"28-37",IF(CY136&lt;48,"38-47",IF(CY136&lt;58,"48-57",IF(CY136&lt;68,"58-67",IF(CY136&lt;78,"68-77","78+")))))) </f>
        <v/>
      </c>
      <c r="DA136" s="48">
        <f>IF(AND(BQ136&lt;&gt;"",BR136=""),N(BS136),0)+IF(AND(BW136&lt;&gt;"",BX136=""),N(BY136),0)+IF(AND(CC136&lt;&gt;"",CD136=""),N(CE136),0)+IF(AND(CI136&lt;&gt;"",CJ136=""),N(CK136),0)+IF(AND(CO136&lt;&gt;"",CP136=""),N(CQ136),0)</f>
        <v/>
      </c>
      <c r="DB136" s="48">
        <f>ROUND(IF(BQ136&lt;&gt;"",N(BS136)*MAX(0,((IF(BR136="",TODAY(),BR136))-BQ136)/7),0)+IF(BW136&lt;&gt;"",N(BY136)*MAX(0,((IF(BX136="",TODAY(),BX136))-BW136)/7),0)+IF(CC136&lt;&gt;"",N(CE136)*MAX(0,((IF(CD136="",TODAY(),CD136))-CC136)/7),0)+IF(CI136&lt;&gt;"",N(CK136)*MAX(0,((IF(CJ136="",TODAY(),CJ136))-CI136)/7),0)+IF(CO136&lt;&gt;"",N(CQ136)*MAX(0,((IF(CP136="",TODAY(),CP136))-CO136)/7),0),1)</f>
        <v/>
      </c>
      <c r="DC136" s="48">
        <f>IF(OR(TRIM(X136)="",TRIM(X136)="NA;",TRIM(X136)="NA"),0,1)</f>
        <v/>
      </c>
      <c r="DD136" s="48">
        <f>IF(OR(TRIM(Y136)="",TRIM(Y136)="NA;",TRIM(Y136)="NA"),0,1)</f>
        <v/>
      </c>
      <c r="DE136" s="48">
        <f>IF(OR(TRIM(Z136)="",TRIM(Z136)="NA;",TRIM(Z136)="NA"),0,1)</f>
        <v/>
      </c>
      <c r="DF136" s="48">
        <f>IF(OR(TRIM(AA136)="",TRIM(AA136)="NA;",TRIM(AA136)="NA"),0,1)</f>
        <v/>
      </c>
      <c r="DG136" s="48">
        <f>IF(OR(TRIM(AB136)="",TRIM(AB136)="NA;",TRIM(AB136)="NA"),0,1)</f>
        <v/>
      </c>
      <c r="DH136" s="48">
        <f>IF(OR(TRIM(AC136)="",TRIM(AC136)="NA;",TRIM(AC136)="NA"),0,1)</f>
        <v/>
      </c>
      <c r="DI136" s="48">
        <f>IF(OR(TRIM(AD136)="",TRIM(AD136)="NA;",TRIM(AD136)="NA"),0,1)</f>
        <v/>
      </c>
      <c r="DJ136" s="48">
        <f>TRIM(IF(DC136=1,"Mon ","")&amp;IF(DD136=1,"Tue ","")&amp;IF(DE136=1,"Wed ","")&amp;IF(DF136=1,"Thu ","")&amp;IF(DG136=1,"Fri ","")&amp;IF(DH136=1,"Sat ","")&amp;IF(DI136=1,"Sun ",""))</f>
        <v/>
      </c>
    </row>
    <row r="137">
      <c r="A137" s="48" t="inlineStr">
        <is>
          <t>S-O-00035</t>
        </is>
      </c>
      <c r="B137" s="48" t="inlineStr">
        <is>
          <t>Chloe Jones</t>
        </is>
      </c>
      <c r="C137" s="48" t="inlineStr">
        <is>
          <t>chloe.jones35@example.com</t>
        </is>
      </c>
      <c r="D137" s="48" t="inlineStr">
        <is>
          <t>+61 476 936 881</t>
        </is>
      </c>
      <c r="E137" s="48" t="inlineStr">
        <is>
          <t>Anya Marks</t>
        </is>
      </c>
      <c r="F137" s="48" t="inlineStr">
        <is>
          <t>+61 452 656 329</t>
        </is>
      </c>
      <c r="G137" s="48" t="inlineStr">
        <is>
          <t>Spouse</t>
        </is>
      </c>
      <c r="H137" s="48" t="inlineStr">
        <is>
          <t>Student</t>
        </is>
      </c>
      <c r="I137" s="49" t="n">
        <v>45556</v>
      </c>
      <c r="J137" s="48" t="inlineStr">
        <is>
          <t>ADM-ACT-MAT-CE</t>
        </is>
      </c>
      <c r="K137" s="48">
        <f>IFERROR(VLOOKUP(J137,'(A) Introduction'!$B$35:$C$45,2,FALSE),"")</f>
        <v/>
      </c>
      <c r="L137" s="48" t="inlineStr">
        <is>
          <t>No</t>
        </is>
      </c>
      <c r="M137" s="49" t="n">
        <v>45640</v>
      </c>
      <c r="N137" s="48" t="inlineStr"/>
      <c r="O137" s="48" t="inlineStr">
        <is>
          <t>NA</t>
        </is>
      </c>
      <c r="P137" s="48">
        <f>IF($H137="Tutor",((BQ137&lt;&gt;"")*(BR137=""))+((BW137&lt;&gt;"")*(BX137=""))+((CC137&lt;&gt;"")*(CD137=""))+((CI137&lt;&gt;"")*(CJ137=""))+((CO137&lt;&gt;"")*(CP137="")),SUMPRODUCT(--($BO$3:$BO$202=$A137),--($BR$3:$BR$202=""))+SUMPRODUCT(--($BU$3:$BU$202=$A137),--($BX$3:$BX$202=""))+SUMPRODUCT(--($CA$3:$CA$202=$A137),--($CD$3:$CD$202=""))+SUMPRODUCT(--($CG$3:$CG$202=$A137),--($CJ$3:$CJ$202=""))+SUMPRODUCT(--($CM$3:$CM$202=$A137),--($CP$3:$CP$202="")))</f>
        <v/>
      </c>
      <c r="Q137" s="48">
        <f>IF($H137="Tutor",(BQ137&lt;&gt;"")+(BW137&lt;&gt;"")+(CC137&lt;&gt;"")+(CI137&lt;&gt;"")+(CO137&lt;&gt;""),SUMPRODUCT(--($BO$3:$BO$202=$A137))+SUMPRODUCT(--($BU$3:$BU$202=$A137))+SUMPRODUCT(--($CA$3:$CA$202=$A137))+SUMPRODUCT(--($CG$3:$CG$202=$A137))+SUMPRODUCT(--($CM$3:$CM$202=$A137)))</f>
        <v/>
      </c>
      <c r="R137" s="48">
        <f>IF($H137="Tutor",TRIM(IF(AND(BQ137&lt;&gt;"",BR137=""),BP137&amp;"; ","")&amp;IF(AND(BW137&lt;&gt;"",BX137=""),BV137&amp;"; ","")&amp;IF(AND(CC137&lt;&gt;"",CD137=""),CB137&amp;"; ","")&amp;IF(AND(CI137&lt;&gt;"",CJ137=""),CH137&amp;"; ","")&amp;IF(AND(CO137&lt;&gt;"",CP137=""),CN137&amp;"; ","")),IFERROR(INDEX($A$3:$B$202,(SUMPRODUCT(($BO$3:$BO$202=$A137)*($BR$3:$BR$202="")*ROW($BO$3:$BO$202))+SUMPRODUCT(($BU$3:$BU$202=$A137)*($BX$3:$BX$202="")*ROW($BU$3:$BU$202))+SUMPRODUCT(($CA$3:$CA$202=$A137)*($CD$3:$CD$202="")*ROW($CA$3:$CA$202))+SUMPRODUCT(($CG$3:$CG$202=$A137)*($CJ$3:$CJ$202="")*ROW($CG$3:$CG$202))+SUMPRODUCT(($CM$3:$CM$202=$A137)*($CP$3:$CP$202="")*ROW($CM$3:$CM$202)))-2,2),""))</f>
        <v/>
      </c>
      <c r="S137" s="48" t="inlineStr">
        <is>
          <t>Provided</t>
        </is>
      </c>
      <c r="T137" s="48" t="inlineStr"/>
      <c r="U137" s="48" t="inlineStr"/>
      <c r="V137" s="49" t="n">
        <v>46003</v>
      </c>
      <c r="W137" s="48" t="inlineStr">
        <is>
          <t>AEST (UTC+10)</t>
        </is>
      </c>
      <c r="X137" s="48" t="inlineStr">
        <is>
          <t>9am-12pm;12pm-3pm;3pm-6pm;</t>
        </is>
      </c>
      <c r="Y137" s="48" t="inlineStr">
        <is>
          <t>9am-12pm;</t>
        </is>
      </c>
      <c r="Z137" s="48" t="inlineStr">
        <is>
          <t>6pm-9pm;</t>
        </is>
      </c>
      <c r="AA137" s="48" t="inlineStr">
        <is>
          <t>3pm-6pm;</t>
        </is>
      </c>
      <c r="AB137" s="48" t="inlineStr">
        <is>
          <t>3pm-6pm;</t>
        </is>
      </c>
      <c r="AC137" s="48" t="inlineStr">
        <is>
          <t>9am-12pm;12pm-3pm;3pm-6pm;</t>
        </is>
      </c>
      <c r="AD137" s="48" t="inlineStr">
        <is>
          <t>6am-9am;9am-12pm;</t>
        </is>
      </c>
      <c r="AE137" s="48" t="inlineStr">
        <is>
          <t>In-Person</t>
        </is>
      </c>
      <c r="AF137" s="48" t="inlineStr">
        <is>
          <t>Computer</t>
        </is>
      </c>
      <c r="AG137" s="48" t="inlineStr">
        <is>
          <t>Australia</t>
        </is>
      </c>
      <c r="AH137" s="48" t="inlineStr">
        <is>
          <t>New South Wales</t>
        </is>
      </c>
      <c r="AI137" s="48" t="inlineStr">
        <is>
          <t>Doonside</t>
        </is>
      </c>
      <c r="AJ137" s="48" t="inlineStr">
        <is>
          <t>2767</t>
        </is>
      </c>
      <c r="AK137" s="49" t="n">
        <v>35359</v>
      </c>
      <c r="AL137" s="48" t="inlineStr">
        <is>
          <t>Other</t>
        </is>
      </c>
      <c r="AM137" s="48" t="inlineStr">
        <is>
          <t>Yes</t>
        </is>
      </c>
      <c r="AN137" s="48" t="inlineStr">
        <is>
          <t>A2</t>
        </is>
      </c>
      <c r="AO137" s="48" t="inlineStr">
        <is>
          <t>Low</t>
        </is>
      </c>
      <c r="AP137" s="48" t="inlineStr">
        <is>
          <t>Palestine</t>
        </is>
      </c>
      <c r="AQ137" s="48" t="inlineStr">
        <is>
          <t>NA</t>
        </is>
      </c>
      <c r="AR137" s="48" t="inlineStr">
        <is>
          <t>Farsi (C1)</t>
        </is>
      </c>
      <c r="AS137" s="48" t="inlineStr">
        <is>
          <t>Buddhist</t>
        </is>
      </c>
      <c r="AT137" s="48" t="inlineStr">
        <is>
          <t>Trades &amp; Construction</t>
        </is>
      </c>
      <c r="AU137" s="48" t="inlineStr">
        <is>
          <t>Teacher</t>
        </is>
      </c>
      <c r="AV137" s="48" t="inlineStr">
        <is>
          <t>Child Care</t>
        </is>
      </c>
      <c r="AW137" s="48" t="inlineStr">
        <is>
          <t>Football; Cooking; Family</t>
        </is>
      </c>
      <c r="AX137" s="48" t="inlineStr">
        <is>
          <t>Asylum Seeker</t>
        </is>
      </c>
      <c r="AY137" s="48" t="inlineStr">
        <is>
          <t>Yes</t>
        </is>
      </c>
      <c r="AZ137" s="48" t="inlineStr">
        <is>
          <t>NA - Partner Organisation Verified</t>
        </is>
      </c>
      <c r="BA137" s="48" t="inlineStr">
        <is>
          <t>NA</t>
        </is>
      </c>
      <c r="BB137" s="48" t="inlineStr">
        <is>
          <t>NA</t>
        </is>
      </c>
      <c r="BC137" s="48" t="inlineStr">
        <is>
          <t>NA</t>
        </is>
      </c>
      <c r="BD137" s="48" t="inlineStr">
        <is>
          <t>NA</t>
        </is>
      </c>
      <c r="BE137" s="48" t="inlineStr"/>
      <c r="BF137" s="48" t="inlineStr"/>
      <c r="BG137" s="48" t="inlineStr">
        <is>
          <t>NA</t>
        </is>
      </c>
      <c r="BH137" s="48" t="inlineStr">
        <is>
          <t>NA - Student</t>
        </is>
      </c>
      <c r="BI137" s="48" t="inlineStr">
        <is>
          <t>University of Technology Sydney (including the Brennan Justice Program)</t>
        </is>
      </c>
      <c r="BJ137" s="48" t="inlineStr">
        <is>
          <t>HALLORAN Isobel</t>
        </is>
      </c>
      <c r="BK137" s="48" t="inlineStr">
        <is>
          <t>SINGH Veera</t>
        </is>
      </c>
      <c r="BL137" s="48" t="inlineStr">
        <is>
          <t>Synthetic test record.</t>
        </is>
      </c>
      <c r="BM137" s="48" t="inlineStr"/>
      <c r="BN137" s="48">
        <f>TRIM(IF(AND($H137="Student",$J137="ADM-ACT-MAT-CNE"),"Invalid: Student cannot be CNE. ","")&amp;IF(AND($H137="Student",ISNUMBER($O137)),"Check: capacity set for a Student. ","")&amp;IF(AND(LEFT($J137,11)="ADM-ACT-MAT",$P137=0),"Check: matched status but 0 active pairings. ","")&amp;IF(AND($H137="Tutor",ISNUMBER($O137),$P137&gt;$O137),"Check: pairings exceed capacity. ","")&amp;IF(AND($BH137="Everyone",NOT(AND($BD137="Yes",$BG137="Yes"))),"Check: approved to tutor children but WWCC not provided/confirmed. ","")&amp;IF(AND($P137&gt;0,NOT(AND(OR(LEFT($AY137,3)="Yes",LEFT($AY137,2)="NA"),OR(LEFT($AZ137,3)="Yes",LEFT($AZ137,2)="NA")))),"Matched but vetting incomplete (interview/reference). ","")&amp;IF(COUNTIF($B$3:$B$600,$B137)&gt;1,"Duplicate participant name. ",""))</f>
        <v/>
      </c>
      <c r="BO137" s="48" t="inlineStr"/>
      <c r="BP137" s="48" t="inlineStr"/>
      <c r="BQ137" s="48" t="inlineStr"/>
      <c r="BR137" s="48" t="inlineStr"/>
      <c r="BS137" s="48" t="inlineStr"/>
      <c r="BT137" s="48" t="inlineStr"/>
      <c r="BU137" s="48" t="inlineStr"/>
      <c r="BV137" s="48" t="inlineStr"/>
      <c r="BW137" s="48" t="inlineStr"/>
      <c r="BX137" s="48" t="inlineStr"/>
      <c r="BY137" s="48" t="inlineStr"/>
      <c r="BZ137" s="48" t="inlineStr"/>
      <c r="CA137" s="48" t="inlineStr"/>
      <c r="CB137" s="48" t="inlineStr"/>
      <c r="CC137" s="48" t="inlineStr"/>
      <c r="CD137" s="48" t="inlineStr"/>
      <c r="CE137" s="48" t="inlineStr"/>
      <c r="CF137" s="48" t="inlineStr"/>
      <c r="CG137" s="48" t="inlineStr"/>
      <c r="CH137" s="48" t="inlineStr"/>
      <c r="CI137" s="48" t="inlineStr"/>
      <c r="CJ137" s="48" t="inlineStr"/>
      <c r="CK137" s="48" t="inlineStr"/>
      <c r="CL137" s="48" t="inlineStr"/>
      <c r="CM137" s="48" t="inlineStr"/>
      <c r="CN137" s="48" t="inlineStr"/>
      <c r="CO137" s="48" t="inlineStr"/>
      <c r="CP137" s="48" t="inlineStr"/>
      <c r="CQ137" s="48" t="inlineStr"/>
      <c r="CR137" s="48" t="inlineStr"/>
      <c r="CS137" s="48">
        <f>IF(LEFT($J137,3)="ERR",0,1)</f>
        <v/>
      </c>
      <c r="CT137" s="48">
        <f>IF(LEFT($J137,3)="ADM",1,0)</f>
        <v/>
      </c>
      <c r="CU137" s="48">
        <f>IF(OR($J137="ADM-ACT-MAT-CNE",$J137="ADM-ACT-MAT-CE",$J137="ADM-INACT-M&amp;T"),1,0)</f>
        <v/>
      </c>
      <c r="CV137" s="48">
        <f>IF(AND(CU137=1,ISNUMBER(M137),ISNUMBER(I137)),M137-I137,"")</f>
        <v/>
      </c>
      <c r="CW137" s="48">
        <f>IF(ISNUMBER(I137),TODAY()-I137,"")</f>
        <v/>
      </c>
      <c r="CX137" s="48">
        <f>IF(ISNUMBER(I137),DATE(YEAR(I137),MONTH(I137),1),"")</f>
        <v/>
      </c>
      <c r="CY137" s="48">
        <f>IFERROR(DATEDIF(AK137,TODAY(),"y"),"")</f>
        <v/>
      </c>
      <c r="CZ137" s="48">
        <f>IF(CY137="","",IF(CY137&lt;28,"18-27",IF(CY137&lt;38,"28-37",IF(CY137&lt;48,"38-47",IF(CY137&lt;58,"48-57",IF(CY137&lt;68,"58-67",IF(CY137&lt;78,"68-77","78+")))))) </f>
        <v/>
      </c>
      <c r="DA137" s="48">
        <f>IF(AND(BQ137&lt;&gt;"",BR137=""),N(BS137),0)+IF(AND(BW137&lt;&gt;"",BX137=""),N(BY137),0)+IF(AND(CC137&lt;&gt;"",CD137=""),N(CE137),0)+IF(AND(CI137&lt;&gt;"",CJ137=""),N(CK137),0)+IF(AND(CO137&lt;&gt;"",CP137=""),N(CQ137),0)</f>
        <v/>
      </c>
      <c r="DB137" s="48">
        <f>ROUND(IF(BQ137&lt;&gt;"",N(BS137)*MAX(0,((IF(BR137="",TODAY(),BR137))-BQ137)/7),0)+IF(BW137&lt;&gt;"",N(BY137)*MAX(0,((IF(BX137="",TODAY(),BX137))-BW137)/7),0)+IF(CC137&lt;&gt;"",N(CE137)*MAX(0,((IF(CD137="",TODAY(),CD137))-CC137)/7),0)+IF(CI137&lt;&gt;"",N(CK137)*MAX(0,((IF(CJ137="",TODAY(),CJ137))-CI137)/7),0)+IF(CO137&lt;&gt;"",N(CQ137)*MAX(0,((IF(CP137="",TODAY(),CP137))-CO137)/7),0),1)</f>
        <v/>
      </c>
      <c r="DC137" s="48">
        <f>IF(OR(TRIM(X137)="",TRIM(X137)="NA;",TRIM(X137)="NA"),0,1)</f>
        <v/>
      </c>
      <c r="DD137" s="48">
        <f>IF(OR(TRIM(Y137)="",TRIM(Y137)="NA;",TRIM(Y137)="NA"),0,1)</f>
        <v/>
      </c>
      <c r="DE137" s="48">
        <f>IF(OR(TRIM(Z137)="",TRIM(Z137)="NA;",TRIM(Z137)="NA"),0,1)</f>
        <v/>
      </c>
      <c r="DF137" s="48">
        <f>IF(OR(TRIM(AA137)="",TRIM(AA137)="NA;",TRIM(AA137)="NA"),0,1)</f>
        <v/>
      </c>
      <c r="DG137" s="48">
        <f>IF(OR(TRIM(AB137)="",TRIM(AB137)="NA;",TRIM(AB137)="NA"),0,1)</f>
        <v/>
      </c>
      <c r="DH137" s="48">
        <f>IF(OR(TRIM(AC137)="",TRIM(AC137)="NA;",TRIM(AC137)="NA"),0,1)</f>
        <v/>
      </c>
      <c r="DI137" s="48">
        <f>IF(OR(TRIM(AD137)="",TRIM(AD137)="NA;",TRIM(AD137)="NA"),0,1)</f>
        <v/>
      </c>
      <c r="DJ137" s="48">
        <f>TRIM(IF(DC137=1,"Mon ","")&amp;IF(DD137=1,"Tue ","")&amp;IF(DE137=1,"Wed ","")&amp;IF(DF137=1,"Thu ","")&amp;IF(DG137=1,"Fri ","")&amp;IF(DH137=1,"Sat ","")&amp;IF(DI137=1,"Sun ",""))</f>
        <v/>
      </c>
    </row>
    <row r="138">
      <c r="A138" s="48" t="inlineStr">
        <is>
          <t>S-O-00036</t>
        </is>
      </c>
      <c r="B138" s="48" t="inlineStr">
        <is>
          <t>Fatima Walker</t>
        </is>
      </c>
      <c r="C138" s="48" t="inlineStr">
        <is>
          <t>fatima.walker36@example.com</t>
        </is>
      </c>
      <c r="D138" s="48" t="inlineStr">
        <is>
          <t>+61 405 855 960</t>
        </is>
      </c>
      <c r="E138" s="48" t="inlineStr">
        <is>
          <t>Karim Rafipour</t>
        </is>
      </c>
      <c r="F138" s="48" t="inlineStr">
        <is>
          <t>+61 478 272 541</t>
        </is>
      </c>
      <c r="G138" s="48" t="inlineStr">
        <is>
          <t>Spouse</t>
        </is>
      </c>
      <c r="H138" s="48" t="inlineStr">
        <is>
          <t>Student</t>
        </is>
      </c>
      <c r="I138" s="49" t="n">
        <v>45557</v>
      </c>
      <c r="J138" s="48" t="inlineStr">
        <is>
          <t>ADM-ACT-MAT-CE</t>
        </is>
      </c>
      <c r="K138" s="48">
        <f>IFERROR(VLOOKUP(J138,'(A) Introduction'!$B$35:$C$45,2,FALSE),"")</f>
        <v/>
      </c>
      <c r="L138" s="48" t="inlineStr">
        <is>
          <t>No</t>
        </is>
      </c>
      <c r="M138" s="49" t="n">
        <v>45663</v>
      </c>
      <c r="N138" s="48" t="inlineStr"/>
      <c r="O138" s="48" t="inlineStr">
        <is>
          <t>NA</t>
        </is>
      </c>
      <c r="P138" s="48">
        <f>IF($H138="Tutor",((BQ138&lt;&gt;"")*(BR138=""))+((BW138&lt;&gt;"")*(BX138=""))+((CC138&lt;&gt;"")*(CD138=""))+((CI138&lt;&gt;"")*(CJ138=""))+((CO138&lt;&gt;"")*(CP138="")),SUMPRODUCT(--($BO$3:$BO$202=$A138),--($BR$3:$BR$202=""))+SUMPRODUCT(--($BU$3:$BU$202=$A138),--($BX$3:$BX$202=""))+SUMPRODUCT(--($CA$3:$CA$202=$A138),--($CD$3:$CD$202=""))+SUMPRODUCT(--($CG$3:$CG$202=$A138),--($CJ$3:$CJ$202=""))+SUMPRODUCT(--($CM$3:$CM$202=$A138),--($CP$3:$CP$202="")))</f>
        <v/>
      </c>
      <c r="Q138" s="48">
        <f>IF($H138="Tutor",(BQ138&lt;&gt;"")+(BW138&lt;&gt;"")+(CC138&lt;&gt;"")+(CI138&lt;&gt;"")+(CO138&lt;&gt;""),SUMPRODUCT(--($BO$3:$BO$202=$A138))+SUMPRODUCT(--($BU$3:$BU$202=$A138))+SUMPRODUCT(--($CA$3:$CA$202=$A138))+SUMPRODUCT(--($CG$3:$CG$202=$A138))+SUMPRODUCT(--($CM$3:$CM$202=$A138)))</f>
        <v/>
      </c>
      <c r="R138" s="48">
        <f>IF($H138="Tutor",TRIM(IF(AND(BQ138&lt;&gt;"",BR138=""),BP138&amp;"; ","")&amp;IF(AND(BW138&lt;&gt;"",BX138=""),BV138&amp;"; ","")&amp;IF(AND(CC138&lt;&gt;"",CD138=""),CB138&amp;"; ","")&amp;IF(AND(CI138&lt;&gt;"",CJ138=""),CH138&amp;"; ","")&amp;IF(AND(CO138&lt;&gt;"",CP138=""),CN138&amp;"; ","")),IFERROR(INDEX($A$3:$B$202,(SUMPRODUCT(($BO$3:$BO$202=$A138)*($BR$3:$BR$202="")*ROW($BO$3:$BO$202))+SUMPRODUCT(($BU$3:$BU$202=$A138)*($BX$3:$BX$202="")*ROW($BU$3:$BU$202))+SUMPRODUCT(($CA$3:$CA$202=$A138)*($CD$3:$CD$202="")*ROW($CA$3:$CA$202))+SUMPRODUCT(($CG$3:$CG$202=$A138)*($CJ$3:$CJ$202="")*ROW($CG$3:$CG$202))+SUMPRODUCT(($CM$3:$CM$202=$A138)*($CP$3:$CP$202="")*ROW($CM$3:$CM$202)))-2,2),""))</f>
        <v/>
      </c>
      <c r="S138" s="48" t="inlineStr">
        <is>
          <t>Provided</t>
        </is>
      </c>
      <c r="T138" s="48" t="inlineStr"/>
      <c r="U138" s="48" t="inlineStr"/>
      <c r="V138" s="49" t="n">
        <v>46125</v>
      </c>
      <c r="W138" s="48" t="inlineStr">
        <is>
          <t>AWST (UTC+8)</t>
        </is>
      </c>
      <c r="X138" s="48" t="inlineStr">
        <is>
          <t>NA;</t>
        </is>
      </c>
      <c r="Y138" s="48" t="inlineStr">
        <is>
          <t>12pm-3pm;</t>
        </is>
      </c>
      <c r="Z138" s="48" t="inlineStr">
        <is>
          <t>6pm-9pm;</t>
        </is>
      </c>
      <c r="AA138" s="48" t="inlineStr">
        <is>
          <t>6pm-9pm;</t>
        </is>
      </c>
      <c r="AB138" s="48" t="inlineStr">
        <is>
          <t>12pm-3pm;</t>
        </is>
      </c>
      <c r="AC138" s="48" t="inlineStr">
        <is>
          <t>6pm-9pm;</t>
        </is>
      </c>
      <c r="AD138" s="48" t="inlineStr">
        <is>
          <t>NA;</t>
        </is>
      </c>
      <c r="AE138" s="48" t="inlineStr">
        <is>
          <t>Either</t>
        </is>
      </c>
      <c r="AF138" s="48" t="inlineStr">
        <is>
          <t>Multiple devices</t>
        </is>
      </c>
      <c r="AG138" s="48" t="inlineStr">
        <is>
          <t>Australia</t>
        </is>
      </c>
      <c r="AH138" s="48" t="inlineStr">
        <is>
          <t>New South Wales</t>
        </is>
      </c>
      <c r="AI138" s="48" t="inlineStr">
        <is>
          <t>Parramatta</t>
        </is>
      </c>
      <c r="AJ138" s="48" t="inlineStr">
        <is>
          <t>2150</t>
        </is>
      </c>
      <c r="AK138" s="49" t="n">
        <v>33426</v>
      </c>
      <c r="AL138" s="48" t="inlineStr">
        <is>
          <t>Male</t>
        </is>
      </c>
      <c r="AM138" s="48" t="inlineStr">
        <is>
          <t>No</t>
        </is>
      </c>
      <c r="AN138" s="48" t="inlineStr">
        <is>
          <t>A1</t>
        </is>
      </c>
      <c r="AO138" s="48" t="inlineStr">
        <is>
          <t>High</t>
        </is>
      </c>
      <c r="AP138" s="48" t="inlineStr">
        <is>
          <t>Eritrea</t>
        </is>
      </c>
      <c r="AQ138" s="48" t="inlineStr">
        <is>
          <t>NA</t>
        </is>
      </c>
      <c r="AR138" s="48" t="inlineStr">
        <is>
          <t>Ukrainian (C1)</t>
        </is>
      </c>
      <c r="AS138" s="48" t="inlineStr">
        <is>
          <t>Muslim</t>
        </is>
      </c>
      <c r="AT138" s="48" t="inlineStr">
        <is>
          <t>Education &amp; Academia</t>
        </is>
      </c>
      <c r="AU138" s="48" t="inlineStr">
        <is>
          <t>Lawyer</t>
        </is>
      </c>
      <c r="AV138" s="48" t="inlineStr">
        <is>
          <t>Counselling</t>
        </is>
      </c>
      <c r="AW138" s="48" t="inlineStr">
        <is>
          <t>Cooking; Reading; Music</t>
        </is>
      </c>
      <c r="AX138" s="48" t="inlineStr">
        <is>
          <t>Asylum Seeker</t>
        </is>
      </c>
      <c r="AY138" s="48" t="inlineStr">
        <is>
          <t>Yes</t>
        </is>
      </c>
      <c r="AZ138" s="48" t="inlineStr">
        <is>
          <t>No</t>
        </is>
      </c>
      <c r="BA138" s="48" t="inlineStr">
        <is>
          <t>NA</t>
        </is>
      </c>
      <c r="BB138" s="48" t="inlineStr">
        <is>
          <t>NA</t>
        </is>
      </c>
      <c r="BC138" s="48" t="inlineStr">
        <is>
          <t>NA</t>
        </is>
      </c>
      <c r="BD138" s="48" t="inlineStr">
        <is>
          <t>NA</t>
        </is>
      </c>
      <c r="BE138" s="48" t="inlineStr"/>
      <c r="BF138" s="48" t="inlineStr"/>
      <c r="BG138" s="48" t="inlineStr">
        <is>
          <t>NA</t>
        </is>
      </c>
      <c r="BH138" s="48" t="inlineStr">
        <is>
          <t>NA - Student</t>
        </is>
      </c>
      <c r="BI138" s="48" t="inlineStr">
        <is>
          <t>University of Technology Sydney (including the Brennan Justice Program)</t>
        </is>
      </c>
      <c r="BJ138" s="48" t="inlineStr">
        <is>
          <t>ZULMAN Levi</t>
        </is>
      </c>
      <c r="BK138" s="48" t="inlineStr">
        <is>
          <t>MCCRORIE John</t>
        </is>
      </c>
      <c r="BL138" s="48" t="inlineStr">
        <is>
          <t>Synthetic test record.</t>
        </is>
      </c>
      <c r="BM138" s="48" t="inlineStr"/>
      <c r="BN138" s="48">
        <f>TRIM(IF(AND($H138="Student",$J138="ADM-ACT-MAT-CNE"),"Invalid: Student cannot be CNE. ","")&amp;IF(AND($H138="Student",ISNUMBER($O138)),"Check: capacity set for a Student. ","")&amp;IF(AND(LEFT($J138,11)="ADM-ACT-MAT",$P138=0),"Check: matched status but 0 active pairings. ","")&amp;IF(AND($H138="Tutor",ISNUMBER($O138),$P138&gt;$O138),"Check: pairings exceed capacity. ","")&amp;IF(AND($BH138="Everyone",NOT(AND($BD138="Yes",$BG138="Yes"))),"Check: approved to tutor children but WWCC not provided/confirmed. ","")&amp;IF(AND($P138&gt;0,NOT(AND(OR(LEFT($AY138,3)="Yes",LEFT($AY138,2)="NA"),OR(LEFT($AZ138,3)="Yes",LEFT($AZ138,2)="NA")))),"Matched but vetting incomplete (interview/reference). ","")&amp;IF(COUNTIF($B$3:$B$600,$B138)&gt;1,"Duplicate participant name. ",""))</f>
        <v/>
      </c>
      <c r="BO138" s="48" t="inlineStr"/>
      <c r="BP138" s="48" t="inlineStr"/>
      <c r="BQ138" s="48" t="inlineStr"/>
      <c r="BR138" s="48" t="inlineStr"/>
      <c r="BS138" s="48" t="inlineStr"/>
      <c r="BT138" s="48" t="inlineStr"/>
      <c r="BU138" s="48" t="inlineStr"/>
      <c r="BV138" s="48" t="inlineStr"/>
      <c r="BW138" s="48" t="inlineStr"/>
      <c r="BX138" s="48" t="inlineStr"/>
      <c r="BY138" s="48" t="inlineStr"/>
      <c r="BZ138" s="48" t="inlineStr"/>
      <c r="CA138" s="48" t="inlineStr"/>
      <c r="CB138" s="48" t="inlineStr"/>
      <c r="CC138" s="48" t="inlineStr"/>
      <c r="CD138" s="48" t="inlineStr"/>
      <c r="CE138" s="48" t="inlineStr"/>
      <c r="CF138" s="48" t="inlineStr"/>
      <c r="CG138" s="48" t="inlineStr"/>
      <c r="CH138" s="48" t="inlineStr"/>
      <c r="CI138" s="48" t="inlineStr"/>
      <c r="CJ138" s="48" t="inlineStr"/>
      <c r="CK138" s="48" t="inlineStr"/>
      <c r="CL138" s="48" t="inlineStr"/>
      <c r="CM138" s="48" t="inlineStr"/>
      <c r="CN138" s="48" t="inlineStr"/>
      <c r="CO138" s="48" t="inlineStr"/>
      <c r="CP138" s="48" t="inlineStr"/>
      <c r="CQ138" s="48" t="inlineStr"/>
      <c r="CR138" s="48" t="inlineStr"/>
      <c r="CS138" s="48">
        <f>IF(LEFT($J138,3)="ERR",0,1)</f>
        <v/>
      </c>
      <c r="CT138" s="48">
        <f>IF(LEFT($J138,3)="ADM",1,0)</f>
        <v/>
      </c>
      <c r="CU138" s="48">
        <f>IF(OR($J138="ADM-ACT-MAT-CNE",$J138="ADM-ACT-MAT-CE",$J138="ADM-INACT-M&amp;T"),1,0)</f>
        <v/>
      </c>
      <c r="CV138" s="48">
        <f>IF(AND(CU138=1,ISNUMBER(M138),ISNUMBER(I138)),M138-I138,"")</f>
        <v/>
      </c>
      <c r="CW138" s="48">
        <f>IF(ISNUMBER(I138),TODAY()-I138,"")</f>
        <v/>
      </c>
      <c r="CX138" s="48">
        <f>IF(ISNUMBER(I138),DATE(YEAR(I138),MONTH(I138),1),"")</f>
        <v/>
      </c>
      <c r="CY138" s="48">
        <f>IFERROR(DATEDIF(AK138,TODAY(),"y"),"")</f>
        <v/>
      </c>
      <c r="CZ138" s="48">
        <f>IF(CY138="","",IF(CY138&lt;28,"18-27",IF(CY138&lt;38,"28-37",IF(CY138&lt;48,"38-47",IF(CY138&lt;58,"48-57",IF(CY138&lt;68,"58-67",IF(CY138&lt;78,"68-77","78+")))))) </f>
        <v/>
      </c>
      <c r="DA138" s="48">
        <f>IF(AND(BQ138&lt;&gt;"",BR138=""),N(BS138),0)+IF(AND(BW138&lt;&gt;"",BX138=""),N(BY138),0)+IF(AND(CC138&lt;&gt;"",CD138=""),N(CE138),0)+IF(AND(CI138&lt;&gt;"",CJ138=""),N(CK138),0)+IF(AND(CO138&lt;&gt;"",CP138=""),N(CQ138),0)</f>
        <v/>
      </c>
      <c r="DB138" s="48">
        <f>ROUND(IF(BQ138&lt;&gt;"",N(BS138)*MAX(0,((IF(BR138="",TODAY(),BR138))-BQ138)/7),0)+IF(BW138&lt;&gt;"",N(BY138)*MAX(0,((IF(BX138="",TODAY(),BX138))-BW138)/7),0)+IF(CC138&lt;&gt;"",N(CE138)*MAX(0,((IF(CD138="",TODAY(),CD138))-CC138)/7),0)+IF(CI138&lt;&gt;"",N(CK138)*MAX(0,((IF(CJ138="",TODAY(),CJ138))-CI138)/7),0)+IF(CO138&lt;&gt;"",N(CQ138)*MAX(0,((IF(CP138="",TODAY(),CP138))-CO138)/7),0),1)</f>
        <v/>
      </c>
      <c r="DC138" s="48">
        <f>IF(OR(TRIM(X138)="",TRIM(X138)="NA;",TRIM(X138)="NA"),0,1)</f>
        <v/>
      </c>
      <c r="DD138" s="48">
        <f>IF(OR(TRIM(Y138)="",TRIM(Y138)="NA;",TRIM(Y138)="NA"),0,1)</f>
        <v/>
      </c>
      <c r="DE138" s="48">
        <f>IF(OR(TRIM(Z138)="",TRIM(Z138)="NA;",TRIM(Z138)="NA"),0,1)</f>
        <v/>
      </c>
      <c r="DF138" s="48">
        <f>IF(OR(TRIM(AA138)="",TRIM(AA138)="NA;",TRIM(AA138)="NA"),0,1)</f>
        <v/>
      </c>
      <c r="DG138" s="48">
        <f>IF(OR(TRIM(AB138)="",TRIM(AB138)="NA;",TRIM(AB138)="NA"),0,1)</f>
        <v/>
      </c>
      <c r="DH138" s="48">
        <f>IF(OR(TRIM(AC138)="",TRIM(AC138)="NA;",TRIM(AC138)="NA"),0,1)</f>
        <v/>
      </c>
      <c r="DI138" s="48">
        <f>IF(OR(TRIM(AD138)="",TRIM(AD138)="NA;",TRIM(AD138)="NA"),0,1)</f>
        <v/>
      </c>
      <c r="DJ138" s="48">
        <f>TRIM(IF(DC138=1,"Mon ","")&amp;IF(DD138=1,"Tue ","")&amp;IF(DE138=1,"Wed ","")&amp;IF(DF138=1,"Thu ","")&amp;IF(DG138=1,"Fri ","")&amp;IF(DH138=1,"Sat ","")&amp;IF(DI138=1,"Sun ",""))</f>
        <v/>
      </c>
    </row>
    <row r="139">
      <c r="A139" s="48" t="inlineStr">
        <is>
          <t>S-O-00037</t>
        </is>
      </c>
      <c r="B139" s="48" t="inlineStr">
        <is>
          <t>Chloe Hassan</t>
        </is>
      </c>
      <c r="C139" s="48" t="inlineStr">
        <is>
          <t>chloe.hassan37@example.com</t>
        </is>
      </c>
      <c r="D139" s="48" t="inlineStr">
        <is>
          <t>+61 409 967 221</t>
        </is>
      </c>
      <c r="E139" s="48" t="inlineStr">
        <is>
          <t>Mariam Morris</t>
        </is>
      </c>
      <c r="F139" s="48" t="inlineStr">
        <is>
          <t>+61 452 782 648</t>
        </is>
      </c>
      <c r="G139" s="48" t="inlineStr">
        <is>
          <t>Adult Child</t>
        </is>
      </c>
      <c r="H139" s="48" t="inlineStr">
        <is>
          <t>Student</t>
        </is>
      </c>
      <c r="I139" s="49" t="n">
        <v>45563</v>
      </c>
      <c r="J139" s="48" t="inlineStr">
        <is>
          <t>ERR-DUP</t>
        </is>
      </c>
      <c r="K139" s="48">
        <f>IFERROR(VLOOKUP(J139,'(A) Introduction'!$B$35:$C$45,2,FALSE),"")</f>
        <v/>
      </c>
      <c r="L139" s="48" t="inlineStr">
        <is>
          <t>No</t>
        </is>
      </c>
      <c r="M139" s="48" t="inlineStr"/>
      <c r="N139" s="48" t="inlineStr"/>
      <c r="O139" s="48" t="inlineStr">
        <is>
          <t>NA</t>
        </is>
      </c>
      <c r="P139" s="48">
        <f>IF($H139="Tutor",((BQ139&lt;&gt;"")*(BR139=""))+((BW139&lt;&gt;"")*(BX139=""))+((CC139&lt;&gt;"")*(CD139=""))+((CI139&lt;&gt;"")*(CJ139=""))+((CO139&lt;&gt;"")*(CP139="")),SUMPRODUCT(--($BO$3:$BO$202=$A139),--($BR$3:$BR$202=""))+SUMPRODUCT(--($BU$3:$BU$202=$A139),--($BX$3:$BX$202=""))+SUMPRODUCT(--($CA$3:$CA$202=$A139),--($CD$3:$CD$202=""))+SUMPRODUCT(--($CG$3:$CG$202=$A139),--($CJ$3:$CJ$202=""))+SUMPRODUCT(--($CM$3:$CM$202=$A139),--($CP$3:$CP$202="")))</f>
        <v/>
      </c>
      <c r="Q139" s="48">
        <f>IF($H139="Tutor",(BQ139&lt;&gt;"")+(BW139&lt;&gt;"")+(CC139&lt;&gt;"")+(CI139&lt;&gt;"")+(CO139&lt;&gt;""),SUMPRODUCT(--($BO$3:$BO$202=$A139))+SUMPRODUCT(--($BU$3:$BU$202=$A139))+SUMPRODUCT(--($CA$3:$CA$202=$A139))+SUMPRODUCT(--($CG$3:$CG$202=$A139))+SUMPRODUCT(--($CM$3:$CM$202=$A139)))</f>
        <v/>
      </c>
      <c r="R139" s="48">
        <f>IF($H139="Tutor",TRIM(IF(AND(BQ139&lt;&gt;"",BR139=""),BP139&amp;"; ","")&amp;IF(AND(BW139&lt;&gt;"",BX139=""),BV139&amp;"; ","")&amp;IF(AND(CC139&lt;&gt;"",CD139=""),CB139&amp;"; ","")&amp;IF(AND(CI139&lt;&gt;"",CJ139=""),CH139&amp;"; ","")&amp;IF(AND(CO139&lt;&gt;"",CP139=""),CN139&amp;"; ","")),IFERROR(INDEX($A$3:$B$202,(SUMPRODUCT(($BO$3:$BO$202=$A139)*($BR$3:$BR$202="")*ROW($BO$3:$BO$202))+SUMPRODUCT(($BU$3:$BU$202=$A139)*($BX$3:$BX$202="")*ROW($BU$3:$BU$202))+SUMPRODUCT(($CA$3:$CA$202=$A139)*($CD$3:$CD$202="")*ROW($CA$3:$CA$202))+SUMPRODUCT(($CG$3:$CG$202=$A139)*($CJ$3:$CJ$202="")*ROW($CG$3:$CG$202))+SUMPRODUCT(($CM$3:$CM$202=$A139)*($CP$3:$CP$202="")*ROW($CM$3:$CM$202)))-2,2),""))</f>
        <v/>
      </c>
      <c r="S139" s="48" t="inlineStr">
        <is>
          <t>Provided</t>
        </is>
      </c>
      <c r="T139" s="48" t="inlineStr"/>
      <c r="U139" s="48" t="inlineStr"/>
      <c r="V139" s="48" t="inlineStr"/>
      <c r="W139" s="48" t="inlineStr">
        <is>
          <t>AEST (UTC+10)</t>
        </is>
      </c>
      <c r="X139" s="48" t="inlineStr">
        <is>
          <t>12pm-3pm;</t>
        </is>
      </c>
      <c r="Y139" s="48" t="inlineStr">
        <is>
          <t>9am-12pm;12pm-3pm;3pm-6pm;</t>
        </is>
      </c>
      <c r="Z139" s="48" t="inlineStr">
        <is>
          <t>12pm-3pm;6pm-9pm;</t>
        </is>
      </c>
      <c r="AA139" s="48" t="inlineStr">
        <is>
          <t>12pm-3pm;</t>
        </is>
      </c>
      <c r="AB139" s="48" t="inlineStr">
        <is>
          <t>12pm-3pm;</t>
        </is>
      </c>
      <c r="AC139" s="48" t="inlineStr">
        <is>
          <t>9am-12pm;12pm-3pm;3pm-6pm;</t>
        </is>
      </c>
      <c r="AD139" s="48" t="inlineStr">
        <is>
          <t>12pm-3pm;</t>
        </is>
      </c>
      <c r="AE139" s="48" t="inlineStr">
        <is>
          <t>Either</t>
        </is>
      </c>
      <c r="AF139" s="48" t="inlineStr">
        <is>
          <t>Phone</t>
        </is>
      </c>
      <c r="AG139" s="48" t="inlineStr">
        <is>
          <t>Australia</t>
        </is>
      </c>
      <c r="AH139" s="48" t="inlineStr">
        <is>
          <t>New South Wales</t>
        </is>
      </c>
      <c r="AI139" s="48" t="inlineStr">
        <is>
          <t>Auburn</t>
        </is>
      </c>
      <c r="AJ139" s="48" t="inlineStr">
        <is>
          <t>2144</t>
        </is>
      </c>
      <c r="AK139" s="49" t="n">
        <v>31796</v>
      </c>
      <c r="AL139" s="48" t="inlineStr">
        <is>
          <t>Other</t>
        </is>
      </c>
      <c r="AM139" s="48" t="inlineStr">
        <is>
          <t>Yes</t>
        </is>
      </c>
      <c r="AN139" s="48" t="inlineStr">
        <is>
          <t>A1</t>
        </is>
      </c>
      <c r="AO139" s="48" t="inlineStr">
        <is>
          <t>High</t>
        </is>
      </c>
      <c r="AP139" s="48" t="inlineStr">
        <is>
          <t>Venezuela</t>
        </is>
      </c>
      <c r="AQ139" s="48" t="inlineStr">
        <is>
          <t>NA</t>
        </is>
      </c>
      <c r="AR139" s="48" t="inlineStr">
        <is>
          <t>Tigrinya (C1)</t>
        </is>
      </c>
      <c r="AS139" s="48" t="inlineStr">
        <is>
          <t>Christian</t>
        </is>
      </c>
      <c r="AT139" s="48" t="inlineStr">
        <is>
          <t>Childcare &amp; Aged Care</t>
        </is>
      </c>
      <c r="AU139" s="48" t="inlineStr">
        <is>
          <t>Nurse</t>
        </is>
      </c>
      <c r="AV139" s="48" t="inlineStr">
        <is>
          <t>Construction</t>
        </is>
      </c>
      <c r="AW139" s="48" t="inlineStr">
        <is>
          <t>Art; Photography; Travel</t>
        </is>
      </c>
      <c r="AX139" s="48" t="inlineStr">
        <is>
          <t>Asylum Seeker</t>
        </is>
      </c>
      <c r="AY139" s="48" t="inlineStr">
        <is>
          <t>Yes</t>
        </is>
      </c>
      <c r="AZ139" s="48" t="inlineStr">
        <is>
          <t>NA - Partner Organisation Verified</t>
        </is>
      </c>
      <c r="BA139" s="48" t="inlineStr">
        <is>
          <t>NA</t>
        </is>
      </c>
      <c r="BB139" s="48" t="inlineStr">
        <is>
          <t>NA</t>
        </is>
      </c>
      <c r="BC139" s="48" t="inlineStr">
        <is>
          <t>NA</t>
        </is>
      </c>
      <c r="BD139" s="48" t="inlineStr">
        <is>
          <t>NA</t>
        </is>
      </c>
      <c r="BE139" s="48" t="inlineStr"/>
      <c r="BF139" s="48" t="inlineStr"/>
      <c r="BG139" s="48" t="inlineStr">
        <is>
          <t>NA</t>
        </is>
      </c>
      <c r="BH139" s="48" t="inlineStr">
        <is>
          <t>NA - Student</t>
        </is>
      </c>
      <c r="BI139" s="48" t="inlineStr">
        <is>
          <t>Refugee Council of Australia</t>
        </is>
      </c>
      <c r="BJ139" s="48" t="inlineStr">
        <is>
          <t>MCCLELLAND Reeve</t>
        </is>
      </c>
      <c r="BK139" s="48" t="inlineStr">
        <is>
          <t>SHANAHAN Jack</t>
        </is>
      </c>
      <c r="BL139" s="48" t="inlineStr">
        <is>
          <t>Synthetic test record.</t>
        </is>
      </c>
      <c r="BM139" s="48" t="inlineStr"/>
      <c r="BN139" s="48">
        <f>TRIM(IF(AND($H139="Student",$J139="ADM-ACT-MAT-CNE"),"Invalid: Student cannot be CNE. ","")&amp;IF(AND($H139="Student",ISNUMBER($O139)),"Check: capacity set for a Student. ","")&amp;IF(AND(LEFT($J139,11)="ADM-ACT-MAT",$P139=0),"Check: matched status but 0 active pairings. ","")&amp;IF(AND($H139="Tutor",ISNUMBER($O139),$P139&gt;$O139),"Check: pairings exceed capacity. ","")&amp;IF(AND($BH139="Everyone",NOT(AND($BD139="Yes",$BG139="Yes"))),"Check: approved to tutor children but WWCC not provided/confirmed. ","")&amp;IF(AND($P139&gt;0,NOT(AND(OR(LEFT($AY139,3)="Yes",LEFT($AY139,2)="NA"),OR(LEFT($AZ139,3)="Yes",LEFT($AZ139,2)="NA")))),"Matched but vetting incomplete (interview/reference). ","")&amp;IF(COUNTIF($B$3:$B$600,$B139)&gt;1,"Duplicate participant name. ",""))</f>
        <v/>
      </c>
      <c r="BO139" s="48" t="inlineStr"/>
      <c r="BP139" s="48" t="inlineStr"/>
      <c r="BQ139" s="48" t="inlineStr"/>
      <c r="BR139" s="48" t="inlineStr"/>
      <c r="BS139" s="48" t="inlineStr"/>
      <c r="BT139" s="48" t="inlineStr"/>
      <c r="BU139" s="48" t="inlineStr"/>
      <c r="BV139" s="48" t="inlineStr"/>
      <c r="BW139" s="48" t="inlineStr"/>
      <c r="BX139" s="48" t="inlineStr"/>
      <c r="BY139" s="48" t="inlineStr"/>
      <c r="BZ139" s="48" t="inlineStr"/>
      <c r="CA139" s="48" t="inlineStr"/>
      <c r="CB139" s="48" t="inlineStr"/>
      <c r="CC139" s="48" t="inlineStr"/>
      <c r="CD139" s="48" t="inlineStr"/>
      <c r="CE139" s="48" t="inlineStr"/>
      <c r="CF139" s="48" t="inlineStr"/>
      <c r="CG139" s="48" t="inlineStr"/>
      <c r="CH139" s="48" t="inlineStr"/>
      <c r="CI139" s="48" t="inlineStr"/>
      <c r="CJ139" s="48" t="inlineStr"/>
      <c r="CK139" s="48" t="inlineStr"/>
      <c r="CL139" s="48" t="inlineStr"/>
      <c r="CM139" s="48" t="inlineStr"/>
      <c r="CN139" s="48" t="inlineStr"/>
      <c r="CO139" s="48" t="inlineStr"/>
      <c r="CP139" s="48" t="inlineStr"/>
      <c r="CQ139" s="48" t="inlineStr"/>
      <c r="CR139" s="48" t="inlineStr"/>
      <c r="CS139" s="48">
        <f>IF(LEFT($J139,3)="ERR",0,1)</f>
        <v/>
      </c>
      <c r="CT139" s="48">
        <f>IF(LEFT($J139,3)="ADM",1,0)</f>
        <v/>
      </c>
      <c r="CU139" s="48">
        <f>IF(OR($J139="ADM-ACT-MAT-CNE",$J139="ADM-ACT-MAT-CE",$J139="ADM-INACT-M&amp;T"),1,0)</f>
        <v/>
      </c>
      <c r="CV139" s="48">
        <f>IF(AND(CU139=1,ISNUMBER(M139),ISNUMBER(I139)),M139-I139,"")</f>
        <v/>
      </c>
      <c r="CW139" s="48">
        <f>IF(ISNUMBER(I139),TODAY()-I139,"")</f>
        <v/>
      </c>
      <c r="CX139" s="48">
        <f>IF(ISNUMBER(I139),DATE(YEAR(I139),MONTH(I139),1),"")</f>
        <v/>
      </c>
      <c r="CY139" s="48">
        <f>IFERROR(DATEDIF(AK139,TODAY(),"y"),"")</f>
        <v/>
      </c>
      <c r="CZ139" s="48">
        <f>IF(CY139="","",IF(CY139&lt;28,"18-27",IF(CY139&lt;38,"28-37",IF(CY139&lt;48,"38-47",IF(CY139&lt;58,"48-57",IF(CY139&lt;68,"58-67",IF(CY139&lt;78,"68-77","78+")))))) </f>
        <v/>
      </c>
      <c r="DA139" s="48">
        <f>IF(AND(BQ139&lt;&gt;"",BR139=""),N(BS139),0)+IF(AND(BW139&lt;&gt;"",BX139=""),N(BY139),0)+IF(AND(CC139&lt;&gt;"",CD139=""),N(CE139),0)+IF(AND(CI139&lt;&gt;"",CJ139=""),N(CK139),0)+IF(AND(CO139&lt;&gt;"",CP139=""),N(CQ139),0)</f>
        <v/>
      </c>
      <c r="DB139" s="48">
        <f>ROUND(IF(BQ139&lt;&gt;"",N(BS139)*MAX(0,((IF(BR139="",TODAY(),BR139))-BQ139)/7),0)+IF(BW139&lt;&gt;"",N(BY139)*MAX(0,((IF(BX139="",TODAY(),BX139))-BW139)/7),0)+IF(CC139&lt;&gt;"",N(CE139)*MAX(0,((IF(CD139="",TODAY(),CD139))-CC139)/7),0)+IF(CI139&lt;&gt;"",N(CK139)*MAX(0,((IF(CJ139="",TODAY(),CJ139))-CI139)/7),0)+IF(CO139&lt;&gt;"",N(CQ139)*MAX(0,((IF(CP139="",TODAY(),CP139))-CO139)/7),0),1)</f>
        <v/>
      </c>
      <c r="DC139" s="48">
        <f>IF(OR(TRIM(X139)="",TRIM(X139)="NA;",TRIM(X139)="NA"),0,1)</f>
        <v/>
      </c>
      <c r="DD139" s="48">
        <f>IF(OR(TRIM(Y139)="",TRIM(Y139)="NA;",TRIM(Y139)="NA"),0,1)</f>
        <v/>
      </c>
      <c r="DE139" s="48">
        <f>IF(OR(TRIM(Z139)="",TRIM(Z139)="NA;",TRIM(Z139)="NA"),0,1)</f>
        <v/>
      </c>
      <c r="DF139" s="48">
        <f>IF(OR(TRIM(AA139)="",TRIM(AA139)="NA;",TRIM(AA139)="NA"),0,1)</f>
        <v/>
      </c>
      <c r="DG139" s="48">
        <f>IF(OR(TRIM(AB139)="",TRIM(AB139)="NA;",TRIM(AB139)="NA"),0,1)</f>
        <v/>
      </c>
      <c r="DH139" s="48">
        <f>IF(OR(TRIM(AC139)="",TRIM(AC139)="NA;",TRIM(AC139)="NA"),0,1)</f>
        <v/>
      </c>
      <c r="DI139" s="48">
        <f>IF(OR(TRIM(AD139)="",TRIM(AD139)="NA;",TRIM(AD139)="NA"),0,1)</f>
        <v/>
      </c>
      <c r="DJ139" s="48">
        <f>TRIM(IF(DC139=1,"Mon ","")&amp;IF(DD139=1,"Tue ","")&amp;IF(DE139=1,"Wed ","")&amp;IF(DF139=1,"Thu ","")&amp;IF(DG139=1,"Fri ","")&amp;IF(DH139=1,"Sat ","")&amp;IF(DI139=1,"Sun ",""))</f>
        <v/>
      </c>
    </row>
    <row r="140">
      <c r="A140" s="48" t="inlineStr">
        <is>
          <t>S-O-00038</t>
        </is>
      </c>
      <c r="B140" s="48" t="inlineStr">
        <is>
          <t>Chloe Marks</t>
        </is>
      </c>
      <c r="C140" s="48" t="inlineStr">
        <is>
          <t>chloe.marks38@example.com</t>
        </is>
      </c>
      <c r="D140" s="48" t="inlineStr">
        <is>
          <t>+61 430 576 558</t>
        </is>
      </c>
      <c r="E140" s="48" t="inlineStr">
        <is>
          <t>Sara Petrov</t>
        </is>
      </c>
      <c r="F140" s="48" t="inlineStr">
        <is>
          <t>+61 417 271 375</t>
        </is>
      </c>
      <c r="G140" s="48" t="inlineStr">
        <is>
          <t>Friend</t>
        </is>
      </c>
      <c r="H140" s="48" t="inlineStr">
        <is>
          <t>Student</t>
        </is>
      </c>
      <c r="I140" s="49" t="n">
        <v>45568</v>
      </c>
      <c r="J140" s="48" t="inlineStr">
        <is>
          <t>ADM-ACT-MAT-CE</t>
        </is>
      </c>
      <c r="K140" s="48">
        <f>IFERROR(VLOOKUP(J140,'(A) Introduction'!$B$35:$C$45,2,FALSE),"")</f>
        <v/>
      </c>
      <c r="L140" s="48" t="inlineStr">
        <is>
          <t>No</t>
        </is>
      </c>
      <c r="M140" s="49" t="n">
        <v>45628</v>
      </c>
      <c r="N140" s="48" t="inlineStr"/>
      <c r="O140" s="48" t="inlineStr">
        <is>
          <t>NA</t>
        </is>
      </c>
      <c r="P140" s="48">
        <f>IF($H140="Tutor",((BQ140&lt;&gt;"")*(BR140=""))+((BW140&lt;&gt;"")*(BX140=""))+((CC140&lt;&gt;"")*(CD140=""))+((CI140&lt;&gt;"")*(CJ140=""))+((CO140&lt;&gt;"")*(CP140="")),SUMPRODUCT(--($BO$3:$BO$202=$A140),--($BR$3:$BR$202=""))+SUMPRODUCT(--($BU$3:$BU$202=$A140),--($BX$3:$BX$202=""))+SUMPRODUCT(--($CA$3:$CA$202=$A140),--($CD$3:$CD$202=""))+SUMPRODUCT(--($CG$3:$CG$202=$A140),--($CJ$3:$CJ$202=""))+SUMPRODUCT(--($CM$3:$CM$202=$A140),--($CP$3:$CP$202="")))</f>
        <v/>
      </c>
      <c r="Q140" s="48">
        <f>IF($H140="Tutor",(BQ140&lt;&gt;"")+(BW140&lt;&gt;"")+(CC140&lt;&gt;"")+(CI140&lt;&gt;"")+(CO140&lt;&gt;""),SUMPRODUCT(--($BO$3:$BO$202=$A140))+SUMPRODUCT(--($BU$3:$BU$202=$A140))+SUMPRODUCT(--($CA$3:$CA$202=$A140))+SUMPRODUCT(--($CG$3:$CG$202=$A140))+SUMPRODUCT(--($CM$3:$CM$202=$A140)))</f>
        <v/>
      </c>
      <c r="R140" s="48">
        <f>IF($H140="Tutor",TRIM(IF(AND(BQ140&lt;&gt;"",BR140=""),BP140&amp;"; ","")&amp;IF(AND(BW140&lt;&gt;"",BX140=""),BV140&amp;"; ","")&amp;IF(AND(CC140&lt;&gt;"",CD140=""),CB140&amp;"; ","")&amp;IF(AND(CI140&lt;&gt;"",CJ140=""),CH140&amp;"; ","")&amp;IF(AND(CO140&lt;&gt;"",CP140=""),CN140&amp;"; ","")),IFERROR(INDEX($A$3:$B$202,(SUMPRODUCT(($BO$3:$BO$202=$A140)*($BR$3:$BR$202="")*ROW($BO$3:$BO$202))+SUMPRODUCT(($BU$3:$BU$202=$A140)*($BX$3:$BX$202="")*ROW($BU$3:$BU$202))+SUMPRODUCT(($CA$3:$CA$202=$A140)*($CD$3:$CD$202="")*ROW($CA$3:$CA$202))+SUMPRODUCT(($CG$3:$CG$202=$A140)*($CJ$3:$CJ$202="")*ROW($CG$3:$CG$202))+SUMPRODUCT(($CM$3:$CM$202=$A140)*($CP$3:$CP$202="")*ROW($CM$3:$CM$202)))-2,2),""))</f>
        <v/>
      </c>
      <c r="S140" s="48" t="inlineStr">
        <is>
          <t>Not Provided</t>
        </is>
      </c>
      <c r="T140" s="48" t="inlineStr"/>
      <c r="U140" s="48" t="inlineStr"/>
      <c r="V140" s="49" t="n">
        <v>46033</v>
      </c>
      <c r="W140" s="48" t="inlineStr">
        <is>
          <t>AWST (UTC+8)</t>
        </is>
      </c>
      <c r="X140" s="48" t="inlineStr">
        <is>
          <t>9am-12pm;12pm-3pm;3pm-6pm;</t>
        </is>
      </c>
      <c r="Y140" s="48" t="inlineStr">
        <is>
          <t>3pm-6pm;</t>
        </is>
      </c>
      <c r="Z140" s="48" t="inlineStr">
        <is>
          <t>6am-9am;9am-12pm;</t>
        </is>
      </c>
      <c r="AA140" s="48" t="inlineStr">
        <is>
          <t>6pm-9pm;</t>
        </is>
      </c>
      <c r="AB140" s="48" t="inlineStr">
        <is>
          <t>6pm-9pm;</t>
        </is>
      </c>
      <c r="AC140" s="48" t="inlineStr">
        <is>
          <t>12pm-3pm;6pm-9pm;</t>
        </is>
      </c>
      <c r="AD140" s="48" t="inlineStr">
        <is>
          <t>NA;</t>
        </is>
      </c>
      <c r="AE140" s="48" t="inlineStr">
        <is>
          <t>Either</t>
        </is>
      </c>
      <c r="AF140" s="48" t="inlineStr">
        <is>
          <t>Computer</t>
        </is>
      </c>
      <c r="AG140" s="48" t="inlineStr">
        <is>
          <t>Australia</t>
        </is>
      </c>
      <c r="AH140" s="48" t="inlineStr">
        <is>
          <t>South Australia</t>
        </is>
      </c>
      <c r="AI140" s="48" t="inlineStr">
        <is>
          <t>Salisbury</t>
        </is>
      </c>
      <c r="AJ140" s="48" t="inlineStr">
        <is>
          <t>5108</t>
        </is>
      </c>
      <c r="AK140" s="49" t="n">
        <v>27307</v>
      </c>
      <c r="AL140" s="48" t="inlineStr">
        <is>
          <t>Other</t>
        </is>
      </c>
      <c r="AM140" s="48" t="inlineStr">
        <is>
          <t>No</t>
        </is>
      </c>
      <c r="AN140" s="48" t="inlineStr">
        <is>
          <t>A2</t>
        </is>
      </c>
      <c r="AO140" s="48" t="inlineStr">
        <is>
          <t>High</t>
        </is>
      </c>
      <c r="AP140" s="48" t="inlineStr">
        <is>
          <t>Iraq</t>
        </is>
      </c>
      <c r="AQ140" s="48" t="inlineStr">
        <is>
          <t>NA</t>
        </is>
      </c>
      <c r="AR140" s="48" t="inlineStr">
        <is>
          <t>Farsi (C1)</t>
        </is>
      </c>
      <c r="AS140" s="48" t="inlineStr">
        <is>
          <t>Christian (Orthodox)</t>
        </is>
      </c>
      <c r="AT140" s="48" t="inlineStr">
        <is>
          <t>Hospitality &amp; Retail</t>
        </is>
      </c>
      <c r="AU140" s="48" t="inlineStr">
        <is>
          <t>Engineer</t>
        </is>
      </c>
      <c r="AV140" s="48" t="inlineStr">
        <is>
          <t>Counselling</t>
        </is>
      </c>
      <c r="AW140" s="48" t="inlineStr">
        <is>
          <t>Gardening; Cooking; Walking</t>
        </is>
      </c>
      <c r="AX140" s="48" t="inlineStr">
        <is>
          <t>Asylum Seeker</t>
        </is>
      </c>
      <c r="AY140" s="48" t="inlineStr">
        <is>
          <t>No</t>
        </is>
      </c>
      <c r="AZ140" s="48" t="inlineStr">
        <is>
          <t>Yes</t>
        </is>
      </c>
      <c r="BA140" s="48" t="inlineStr">
        <is>
          <t>NA</t>
        </is>
      </c>
      <c r="BB140" s="48" t="inlineStr">
        <is>
          <t>NA</t>
        </is>
      </c>
      <c r="BC140" s="48" t="inlineStr">
        <is>
          <t>NA</t>
        </is>
      </c>
      <c r="BD140" s="48" t="inlineStr">
        <is>
          <t>NA</t>
        </is>
      </c>
      <c r="BE140" s="48" t="inlineStr"/>
      <c r="BF140" s="48" t="inlineStr"/>
      <c r="BG140" s="48" t="inlineStr">
        <is>
          <t>NA</t>
        </is>
      </c>
      <c r="BH140" s="48" t="inlineStr">
        <is>
          <t>NA - Student</t>
        </is>
      </c>
      <c r="BI140" s="48" t="inlineStr">
        <is>
          <t>Bread &amp; Butter Project</t>
        </is>
      </c>
      <c r="BJ140" s="48" t="inlineStr">
        <is>
          <t>AGARWAL Akanksha</t>
        </is>
      </c>
      <c r="BK140" s="48" t="inlineStr">
        <is>
          <t>NUICH Curtis</t>
        </is>
      </c>
      <c r="BL140" s="48" t="inlineStr">
        <is>
          <t>Synthetic test record.</t>
        </is>
      </c>
      <c r="BM140" s="48" t="inlineStr"/>
      <c r="BN140" s="48">
        <f>TRIM(IF(AND($H140="Student",$J140="ADM-ACT-MAT-CNE"),"Invalid: Student cannot be CNE. ","")&amp;IF(AND($H140="Student",ISNUMBER($O140)),"Check: capacity set for a Student. ","")&amp;IF(AND(LEFT($J140,11)="ADM-ACT-MAT",$P140=0),"Check: matched status but 0 active pairings. ","")&amp;IF(AND($H140="Tutor",ISNUMBER($O140),$P140&gt;$O140),"Check: pairings exceed capacity. ","")&amp;IF(AND($BH140="Everyone",NOT(AND($BD140="Yes",$BG140="Yes"))),"Check: approved to tutor children but WWCC not provided/confirmed. ","")&amp;IF(AND($P140&gt;0,NOT(AND(OR(LEFT($AY140,3)="Yes",LEFT($AY140,2)="NA"),OR(LEFT($AZ140,3)="Yes",LEFT($AZ140,2)="NA")))),"Matched but vetting incomplete (interview/reference). ","")&amp;IF(COUNTIF($B$3:$B$600,$B140)&gt;1,"Duplicate participant name. ",""))</f>
        <v/>
      </c>
      <c r="BO140" s="48" t="inlineStr"/>
      <c r="BP140" s="48" t="inlineStr"/>
      <c r="BQ140" s="48" t="inlineStr"/>
      <c r="BR140" s="48" t="inlineStr"/>
      <c r="BS140" s="48" t="inlineStr"/>
      <c r="BT140" s="48" t="inlineStr"/>
      <c r="BU140" s="48" t="inlineStr"/>
      <c r="BV140" s="48" t="inlineStr"/>
      <c r="BW140" s="48" t="inlineStr"/>
      <c r="BX140" s="48" t="inlineStr"/>
      <c r="BY140" s="48" t="inlineStr"/>
      <c r="BZ140" s="48" t="inlineStr"/>
      <c r="CA140" s="48" t="inlineStr"/>
      <c r="CB140" s="48" t="inlineStr"/>
      <c r="CC140" s="48" t="inlineStr"/>
      <c r="CD140" s="48" t="inlineStr"/>
      <c r="CE140" s="48" t="inlineStr"/>
      <c r="CF140" s="48" t="inlineStr"/>
      <c r="CG140" s="48" t="inlineStr"/>
      <c r="CH140" s="48" t="inlineStr"/>
      <c r="CI140" s="48" t="inlineStr"/>
      <c r="CJ140" s="48" t="inlineStr"/>
      <c r="CK140" s="48" t="inlineStr"/>
      <c r="CL140" s="48" t="inlineStr"/>
      <c r="CM140" s="48" t="inlineStr"/>
      <c r="CN140" s="48" t="inlineStr"/>
      <c r="CO140" s="48" t="inlineStr"/>
      <c r="CP140" s="48" t="inlineStr"/>
      <c r="CQ140" s="48" t="inlineStr"/>
      <c r="CR140" s="48" t="inlineStr"/>
      <c r="CS140" s="48">
        <f>IF(LEFT($J140,3)="ERR",0,1)</f>
        <v/>
      </c>
      <c r="CT140" s="48">
        <f>IF(LEFT($J140,3)="ADM",1,0)</f>
        <v/>
      </c>
      <c r="CU140" s="48">
        <f>IF(OR($J140="ADM-ACT-MAT-CNE",$J140="ADM-ACT-MAT-CE",$J140="ADM-INACT-M&amp;T"),1,0)</f>
        <v/>
      </c>
      <c r="CV140" s="48">
        <f>IF(AND(CU140=1,ISNUMBER(M140),ISNUMBER(I140)),M140-I140,"")</f>
        <v/>
      </c>
      <c r="CW140" s="48">
        <f>IF(ISNUMBER(I140),TODAY()-I140,"")</f>
        <v/>
      </c>
      <c r="CX140" s="48">
        <f>IF(ISNUMBER(I140),DATE(YEAR(I140),MONTH(I140),1),"")</f>
        <v/>
      </c>
      <c r="CY140" s="48">
        <f>IFERROR(DATEDIF(AK140,TODAY(),"y"),"")</f>
        <v/>
      </c>
      <c r="CZ140" s="48">
        <f>IF(CY140="","",IF(CY140&lt;28,"18-27",IF(CY140&lt;38,"28-37",IF(CY140&lt;48,"38-47",IF(CY140&lt;58,"48-57",IF(CY140&lt;68,"58-67",IF(CY140&lt;78,"68-77","78+")))))) </f>
        <v/>
      </c>
      <c r="DA140" s="48">
        <f>IF(AND(BQ140&lt;&gt;"",BR140=""),N(BS140),0)+IF(AND(BW140&lt;&gt;"",BX140=""),N(BY140),0)+IF(AND(CC140&lt;&gt;"",CD140=""),N(CE140),0)+IF(AND(CI140&lt;&gt;"",CJ140=""),N(CK140),0)+IF(AND(CO140&lt;&gt;"",CP140=""),N(CQ140),0)</f>
        <v/>
      </c>
      <c r="DB140" s="48">
        <f>ROUND(IF(BQ140&lt;&gt;"",N(BS140)*MAX(0,((IF(BR140="",TODAY(),BR140))-BQ140)/7),0)+IF(BW140&lt;&gt;"",N(BY140)*MAX(0,((IF(BX140="",TODAY(),BX140))-BW140)/7),0)+IF(CC140&lt;&gt;"",N(CE140)*MAX(0,((IF(CD140="",TODAY(),CD140))-CC140)/7),0)+IF(CI140&lt;&gt;"",N(CK140)*MAX(0,((IF(CJ140="",TODAY(),CJ140))-CI140)/7),0)+IF(CO140&lt;&gt;"",N(CQ140)*MAX(0,((IF(CP140="",TODAY(),CP140))-CO140)/7),0),1)</f>
        <v/>
      </c>
      <c r="DC140" s="48">
        <f>IF(OR(TRIM(X140)="",TRIM(X140)="NA;",TRIM(X140)="NA"),0,1)</f>
        <v/>
      </c>
      <c r="DD140" s="48">
        <f>IF(OR(TRIM(Y140)="",TRIM(Y140)="NA;",TRIM(Y140)="NA"),0,1)</f>
        <v/>
      </c>
      <c r="DE140" s="48">
        <f>IF(OR(TRIM(Z140)="",TRIM(Z140)="NA;",TRIM(Z140)="NA"),0,1)</f>
        <v/>
      </c>
      <c r="DF140" s="48">
        <f>IF(OR(TRIM(AA140)="",TRIM(AA140)="NA;",TRIM(AA140)="NA"),0,1)</f>
        <v/>
      </c>
      <c r="DG140" s="48">
        <f>IF(OR(TRIM(AB140)="",TRIM(AB140)="NA;",TRIM(AB140)="NA"),0,1)</f>
        <v/>
      </c>
      <c r="DH140" s="48">
        <f>IF(OR(TRIM(AC140)="",TRIM(AC140)="NA;",TRIM(AC140)="NA"),0,1)</f>
        <v/>
      </c>
      <c r="DI140" s="48">
        <f>IF(OR(TRIM(AD140)="",TRIM(AD140)="NA;",TRIM(AD140)="NA"),0,1)</f>
        <v/>
      </c>
      <c r="DJ140" s="48">
        <f>TRIM(IF(DC140=1,"Mon ","")&amp;IF(DD140=1,"Tue ","")&amp;IF(DE140=1,"Wed ","")&amp;IF(DF140=1,"Thu ","")&amp;IF(DG140=1,"Fri ","")&amp;IF(DH140=1,"Sat ","")&amp;IF(DI140=1,"Sun ",""))</f>
        <v/>
      </c>
    </row>
    <row r="141">
      <c r="A141" s="48" t="inlineStr">
        <is>
          <t>S-O-00039</t>
        </is>
      </c>
      <c r="B141" s="48" t="inlineStr">
        <is>
          <t>Omar Lopez</t>
        </is>
      </c>
      <c r="C141" s="48" t="inlineStr">
        <is>
          <t>omar.lopez39@example.com</t>
        </is>
      </c>
      <c r="D141" s="48" t="inlineStr">
        <is>
          <t>+61 438 094 584</t>
        </is>
      </c>
      <c r="E141" s="48" t="inlineStr">
        <is>
          <t>Aisha King</t>
        </is>
      </c>
      <c r="F141" s="48" t="inlineStr">
        <is>
          <t>+61 419 334 514</t>
        </is>
      </c>
      <c r="G141" s="48" t="inlineStr">
        <is>
          <t>Caseworker</t>
        </is>
      </c>
      <c r="H141" s="48" t="inlineStr">
        <is>
          <t>Student</t>
        </is>
      </c>
      <c r="I141" s="49" t="n">
        <v>45580</v>
      </c>
      <c r="J141" s="48" t="inlineStr">
        <is>
          <t>ADM-ACT-MAT-CE</t>
        </is>
      </c>
      <c r="K141" s="48">
        <f>IFERROR(VLOOKUP(J141,'(A) Introduction'!$B$35:$C$45,2,FALSE),"")</f>
        <v/>
      </c>
      <c r="L141" s="48" t="inlineStr">
        <is>
          <t>No</t>
        </is>
      </c>
      <c r="M141" s="49" t="n">
        <v>45619</v>
      </c>
      <c r="N141" s="48" t="inlineStr"/>
      <c r="O141" s="48" t="inlineStr">
        <is>
          <t>NA</t>
        </is>
      </c>
      <c r="P141" s="48">
        <f>IF($H141="Tutor",((BQ141&lt;&gt;"")*(BR141=""))+((BW141&lt;&gt;"")*(BX141=""))+((CC141&lt;&gt;"")*(CD141=""))+((CI141&lt;&gt;"")*(CJ141=""))+((CO141&lt;&gt;"")*(CP141="")),SUMPRODUCT(--($BO$3:$BO$202=$A141),--($BR$3:$BR$202=""))+SUMPRODUCT(--($BU$3:$BU$202=$A141),--($BX$3:$BX$202=""))+SUMPRODUCT(--($CA$3:$CA$202=$A141),--($CD$3:$CD$202=""))+SUMPRODUCT(--($CG$3:$CG$202=$A141),--($CJ$3:$CJ$202=""))+SUMPRODUCT(--($CM$3:$CM$202=$A141),--($CP$3:$CP$202="")))</f>
        <v/>
      </c>
      <c r="Q141" s="48">
        <f>IF($H141="Tutor",(BQ141&lt;&gt;"")+(BW141&lt;&gt;"")+(CC141&lt;&gt;"")+(CI141&lt;&gt;"")+(CO141&lt;&gt;""),SUMPRODUCT(--($BO$3:$BO$202=$A141))+SUMPRODUCT(--($BU$3:$BU$202=$A141))+SUMPRODUCT(--($CA$3:$CA$202=$A141))+SUMPRODUCT(--($CG$3:$CG$202=$A141))+SUMPRODUCT(--($CM$3:$CM$202=$A141)))</f>
        <v/>
      </c>
      <c r="R141" s="48">
        <f>IF($H141="Tutor",TRIM(IF(AND(BQ141&lt;&gt;"",BR141=""),BP141&amp;"; ","")&amp;IF(AND(BW141&lt;&gt;"",BX141=""),BV141&amp;"; ","")&amp;IF(AND(CC141&lt;&gt;"",CD141=""),CB141&amp;"; ","")&amp;IF(AND(CI141&lt;&gt;"",CJ141=""),CH141&amp;"; ","")&amp;IF(AND(CO141&lt;&gt;"",CP141=""),CN141&amp;"; ","")),IFERROR(INDEX($A$3:$B$202,(SUMPRODUCT(($BO$3:$BO$202=$A141)*($BR$3:$BR$202="")*ROW($BO$3:$BO$202))+SUMPRODUCT(($BU$3:$BU$202=$A141)*($BX$3:$BX$202="")*ROW($BU$3:$BU$202))+SUMPRODUCT(($CA$3:$CA$202=$A141)*($CD$3:$CD$202="")*ROW($CA$3:$CA$202))+SUMPRODUCT(($CG$3:$CG$202=$A141)*($CJ$3:$CJ$202="")*ROW($CG$3:$CG$202))+SUMPRODUCT(($CM$3:$CM$202=$A141)*($CP$3:$CP$202="")*ROW($CM$3:$CM$202)))-2,2),""))</f>
        <v/>
      </c>
      <c r="S141" s="48" t="inlineStr">
        <is>
          <t>NA</t>
        </is>
      </c>
      <c r="T141" s="48" t="inlineStr"/>
      <c r="U141" s="48" t="inlineStr"/>
      <c r="V141" s="49" t="n">
        <v>45863</v>
      </c>
      <c r="W141" s="48" t="inlineStr">
        <is>
          <t>AEST (UTC+10)</t>
        </is>
      </c>
      <c r="X141" s="48" t="inlineStr">
        <is>
          <t>6pm-9pm;</t>
        </is>
      </c>
      <c r="Y141" s="48" t="inlineStr">
        <is>
          <t>6am-9am;9am-12pm;</t>
        </is>
      </c>
      <c r="Z141" s="48" t="inlineStr">
        <is>
          <t>6pm-9pm;</t>
        </is>
      </c>
      <c r="AA141" s="48" t="inlineStr">
        <is>
          <t>9am-12pm;</t>
        </is>
      </c>
      <c r="AB141" s="48" t="inlineStr">
        <is>
          <t>6pm-9pm;</t>
        </is>
      </c>
      <c r="AC141" s="48" t="inlineStr">
        <is>
          <t>6pm-9pm;</t>
        </is>
      </c>
      <c r="AD141" s="48" t="inlineStr">
        <is>
          <t>3pm-6pm;</t>
        </is>
      </c>
      <c r="AE141" s="48" t="inlineStr">
        <is>
          <t>Online</t>
        </is>
      </c>
      <c r="AF141" s="48" t="inlineStr">
        <is>
          <t>Multiple devices</t>
        </is>
      </c>
      <c r="AG141" s="48" t="inlineStr">
        <is>
          <t>Australia</t>
        </is>
      </c>
      <c r="AH141" s="48" t="inlineStr">
        <is>
          <t>New South Wales</t>
        </is>
      </c>
      <c r="AI141" s="48" t="inlineStr">
        <is>
          <t>Doonside</t>
        </is>
      </c>
      <c r="AJ141" s="48" t="inlineStr">
        <is>
          <t>2767</t>
        </is>
      </c>
      <c r="AK141" s="49" t="n">
        <v>23932</v>
      </c>
      <c r="AL141" s="48" t="inlineStr">
        <is>
          <t>Female</t>
        </is>
      </c>
      <c r="AM141" s="48" t="inlineStr">
        <is>
          <t>No</t>
        </is>
      </c>
      <c r="AN141" s="48" t="inlineStr">
        <is>
          <t>B1</t>
        </is>
      </c>
      <c r="AO141" s="48" t="inlineStr">
        <is>
          <t>Outstanding</t>
        </is>
      </c>
      <c r="AP141" s="48" t="inlineStr">
        <is>
          <t>Colombia</t>
        </is>
      </c>
      <c r="AQ141" s="48" t="inlineStr">
        <is>
          <t>NA</t>
        </is>
      </c>
      <c r="AR141" s="48" t="inlineStr">
        <is>
          <t>Ukrainian (C1)</t>
        </is>
      </c>
      <c r="AS141" s="48" t="inlineStr">
        <is>
          <t>Christian (Orthodox)</t>
        </is>
      </c>
      <c r="AT141" s="48" t="inlineStr">
        <is>
          <t>Trades &amp; Construction</t>
        </is>
      </c>
      <c r="AU141" s="48" t="inlineStr">
        <is>
          <t>Aged Care Worker</t>
        </is>
      </c>
      <c r="AV141" s="48" t="inlineStr">
        <is>
          <t>Engineering</t>
        </is>
      </c>
      <c r="AW141" s="48" t="inlineStr">
        <is>
          <t>Reading; Politics; Music</t>
        </is>
      </c>
      <c r="AX141" s="48" t="inlineStr">
        <is>
          <t>Asylum Seeker</t>
        </is>
      </c>
      <c r="AY141" s="48" t="inlineStr">
        <is>
          <t>Yes</t>
        </is>
      </c>
      <c r="AZ141" s="48" t="inlineStr">
        <is>
          <t>No</t>
        </is>
      </c>
      <c r="BA141" s="48" t="inlineStr">
        <is>
          <t>NA</t>
        </is>
      </c>
      <c r="BB141" s="48" t="inlineStr">
        <is>
          <t>NA</t>
        </is>
      </c>
      <c r="BC141" s="48" t="inlineStr">
        <is>
          <t>NA</t>
        </is>
      </c>
      <c r="BD141" s="48" t="inlineStr">
        <is>
          <t>NA</t>
        </is>
      </c>
      <c r="BE141" s="48" t="inlineStr"/>
      <c r="BF141" s="48" t="inlineStr"/>
      <c r="BG141" s="48" t="inlineStr">
        <is>
          <t>NA</t>
        </is>
      </c>
      <c r="BH141" s="48" t="inlineStr">
        <is>
          <t>NA - Student</t>
        </is>
      </c>
      <c r="BI141" s="48" t="inlineStr">
        <is>
          <t>University of Sydney (including St. Paul's College)</t>
        </is>
      </c>
      <c r="BJ141" s="48" t="inlineStr">
        <is>
          <t>AGARWAL Akanksha</t>
        </is>
      </c>
      <c r="BK141" s="48" t="inlineStr">
        <is>
          <t>MCCLELLAND Reeve</t>
        </is>
      </c>
      <c r="BL141" s="48" t="inlineStr">
        <is>
          <t>Synthetic test record.</t>
        </is>
      </c>
      <c r="BM141" s="48" t="inlineStr"/>
      <c r="BN141" s="48">
        <f>TRIM(IF(AND($H141="Student",$J141="ADM-ACT-MAT-CNE"),"Invalid: Student cannot be CNE. ","")&amp;IF(AND($H141="Student",ISNUMBER($O141)),"Check: capacity set for a Student. ","")&amp;IF(AND(LEFT($J141,11)="ADM-ACT-MAT",$P141=0),"Check: matched status but 0 active pairings. ","")&amp;IF(AND($H141="Tutor",ISNUMBER($O141),$P141&gt;$O141),"Check: pairings exceed capacity. ","")&amp;IF(AND($BH141="Everyone",NOT(AND($BD141="Yes",$BG141="Yes"))),"Check: approved to tutor children but WWCC not provided/confirmed. ","")&amp;IF(AND($P141&gt;0,NOT(AND(OR(LEFT($AY141,3)="Yes",LEFT($AY141,2)="NA"),OR(LEFT($AZ141,3)="Yes",LEFT($AZ141,2)="NA")))),"Matched but vetting incomplete (interview/reference). ","")&amp;IF(COUNTIF($B$3:$B$600,$B141)&gt;1,"Duplicate participant name. ",""))</f>
        <v/>
      </c>
      <c r="BO141" s="48" t="inlineStr"/>
      <c r="BP141" s="48" t="inlineStr"/>
      <c r="BQ141" s="48" t="inlineStr"/>
      <c r="BR141" s="48" t="inlineStr"/>
      <c r="BS141" s="48" t="inlineStr"/>
      <c r="BT141" s="48" t="inlineStr"/>
      <c r="BU141" s="48" t="inlineStr"/>
      <c r="BV141" s="48" t="inlineStr"/>
      <c r="BW141" s="48" t="inlineStr"/>
      <c r="BX141" s="48" t="inlineStr"/>
      <c r="BY141" s="48" t="inlineStr"/>
      <c r="BZ141" s="48" t="inlineStr"/>
      <c r="CA141" s="48" t="inlineStr"/>
      <c r="CB141" s="48" t="inlineStr"/>
      <c r="CC141" s="48" t="inlineStr"/>
      <c r="CD141" s="48" t="inlineStr"/>
      <c r="CE141" s="48" t="inlineStr"/>
      <c r="CF141" s="48" t="inlineStr"/>
      <c r="CG141" s="48" t="inlineStr"/>
      <c r="CH141" s="48" t="inlineStr"/>
      <c r="CI141" s="48" t="inlineStr"/>
      <c r="CJ141" s="48" t="inlineStr"/>
      <c r="CK141" s="48" t="inlineStr"/>
      <c r="CL141" s="48" t="inlineStr"/>
      <c r="CM141" s="48" t="inlineStr"/>
      <c r="CN141" s="48" t="inlineStr"/>
      <c r="CO141" s="48" t="inlineStr"/>
      <c r="CP141" s="48" t="inlineStr"/>
      <c r="CQ141" s="48" t="inlineStr"/>
      <c r="CR141" s="48" t="inlineStr"/>
      <c r="CS141" s="48">
        <f>IF(LEFT($J141,3)="ERR",0,1)</f>
        <v/>
      </c>
      <c r="CT141" s="48">
        <f>IF(LEFT($J141,3)="ADM",1,0)</f>
        <v/>
      </c>
      <c r="CU141" s="48">
        <f>IF(OR($J141="ADM-ACT-MAT-CNE",$J141="ADM-ACT-MAT-CE",$J141="ADM-INACT-M&amp;T"),1,0)</f>
        <v/>
      </c>
      <c r="CV141" s="48">
        <f>IF(AND(CU141=1,ISNUMBER(M141),ISNUMBER(I141)),M141-I141,"")</f>
        <v/>
      </c>
      <c r="CW141" s="48">
        <f>IF(ISNUMBER(I141),TODAY()-I141,"")</f>
        <v/>
      </c>
      <c r="CX141" s="48">
        <f>IF(ISNUMBER(I141),DATE(YEAR(I141),MONTH(I141),1),"")</f>
        <v/>
      </c>
      <c r="CY141" s="48">
        <f>IFERROR(DATEDIF(AK141,TODAY(),"y"),"")</f>
        <v/>
      </c>
      <c r="CZ141" s="48">
        <f>IF(CY141="","",IF(CY141&lt;28,"18-27",IF(CY141&lt;38,"28-37",IF(CY141&lt;48,"38-47",IF(CY141&lt;58,"48-57",IF(CY141&lt;68,"58-67",IF(CY141&lt;78,"68-77","78+")))))) </f>
        <v/>
      </c>
      <c r="DA141" s="48">
        <f>IF(AND(BQ141&lt;&gt;"",BR141=""),N(BS141),0)+IF(AND(BW141&lt;&gt;"",BX141=""),N(BY141),0)+IF(AND(CC141&lt;&gt;"",CD141=""),N(CE141),0)+IF(AND(CI141&lt;&gt;"",CJ141=""),N(CK141),0)+IF(AND(CO141&lt;&gt;"",CP141=""),N(CQ141),0)</f>
        <v/>
      </c>
      <c r="DB141" s="48">
        <f>ROUND(IF(BQ141&lt;&gt;"",N(BS141)*MAX(0,((IF(BR141="",TODAY(),BR141))-BQ141)/7),0)+IF(BW141&lt;&gt;"",N(BY141)*MAX(0,((IF(BX141="",TODAY(),BX141))-BW141)/7),0)+IF(CC141&lt;&gt;"",N(CE141)*MAX(0,((IF(CD141="",TODAY(),CD141))-CC141)/7),0)+IF(CI141&lt;&gt;"",N(CK141)*MAX(0,((IF(CJ141="",TODAY(),CJ141))-CI141)/7),0)+IF(CO141&lt;&gt;"",N(CQ141)*MAX(0,((IF(CP141="",TODAY(),CP141))-CO141)/7),0),1)</f>
        <v/>
      </c>
      <c r="DC141" s="48">
        <f>IF(OR(TRIM(X141)="",TRIM(X141)="NA;",TRIM(X141)="NA"),0,1)</f>
        <v/>
      </c>
      <c r="DD141" s="48">
        <f>IF(OR(TRIM(Y141)="",TRIM(Y141)="NA;",TRIM(Y141)="NA"),0,1)</f>
        <v/>
      </c>
      <c r="DE141" s="48">
        <f>IF(OR(TRIM(Z141)="",TRIM(Z141)="NA;",TRIM(Z141)="NA"),0,1)</f>
        <v/>
      </c>
      <c r="DF141" s="48">
        <f>IF(OR(TRIM(AA141)="",TRIM(AA141)="NA;",TRIM(AA141)="NA"),0,1)</f>
        <v/>
      </c>
      <c r="DG141" s="48">
        <f>IF(OR(TRIM(AB141)="",TRIM(AB141)="NA;",TRIM(AB141)="NA"),0,1)</f>
        <v/>
      </c>
      <c r="DH141" s="48">
        <f>IF(OR(TRIM(AC141)="",TRIM(AC141)="NA;",TRIM(AC141)="NA"),0,1)</f>
        <v/>
      </c>
      <c r="DI141" s="48">
        <f>IF(OR(TRIM(AD141)="",TRIM(AD141)="NA;",TRIM(AD141)="NA"),0,1)</f>
        <v/>
      </c>
      <c r="DJ141" s="48">
        <f>TRIM(IF(DC141=1,"Mon ","")&amp;IF(DD141=1,"Tue ","")&amp;IF(DE141=1,"Wed ","")&amp;IF(DF141=1,"Thu ","")&amp;IF(DG141=1,"Fri ","")&amp;IF(DH141=1,"Sat ","")&amp;IF(DI141=1,"Sun ",""))</f>
        <v/>
      </c>
    </row>
    <row r="142">
      <c r="A142" s="48" t="inlineStr">
        <is>
          <t>S-O-00040</t>
        </is>
      </c>
      <c r="B142" s="48" t="inlineStr">
        <is>
          <t>Zara Petrov</t>
        </is>
      </c>
      <c r="C142" s="48" t="inlineStr">
        <is>
          <t>zara.petrov40@example.com</t>
        </is>
      </c>
      <c r="D142" s="48" t="inlineStr">
        <is>
          <t>+61 486 749 402</t>
        </is>
      </c>
      <c r="E142" s="48" t="inlineStr">
        <is>
          <t>Daniel Baker</t>
        </is>
      </c>
      <c r="F142" s="48" t="inlineStr">
        <is>
          <t>+61 494 536 252</t>
        </is>
      </c>
      <c r="G142" s="48" t="inlineStr">
        <is>
          <t>Parent</t>
        </is>
      </c>
      <c r="H142" s="48" t="inlineStr">
        <is>
          <t>Student</t>
        </is>
      </c>
      <c r="I142" s="49" t="n">
        <v>45580</v>
      </c>
      <c r="J142" s="48" t="inlineStr">
        <is>
          <t>ADM-ACT-UNMAT</t>
        </is>
      </c>
      <c r="K142" s="48">
        <f>IFERROR(VLOOKUP(J142,'(A) Introduction'!$B$35:$C$45,2,FALSE),"")</f>
        <v/>
      </c>
      <c r="L142" s="48" t="inlineStr">
        <is>
          <t>No</t>
        </is>
      </c>
      <c r="M142" s="48" t="inlineStr"/>
      <c r="N142" s="48" t="inlineStr"/>
      <c r="O142" s="48" t="inlineStr">
        <is>
          <t>NA</t>
        </is>
      </c>
      <c r="P142" s="48">
        <f>IF($H142="Tutor",((BQ142&lt;&gt;"")*(BR142=""))+((BW142&lt;&gt;"")*(BX142=""))+((CC142&lt;&gt;"")*(CD142=""))+((CI142&lt;&gt;"")*(CJ142=""))+((CO142&lt;&gt;"")*(CP142="")),SUMPRODUCT(--($BO$3:$BO$202=$A142),--($BR$3:$BR$202=""))+SUMPRODUCT(--($BU$3:$BU$202=$A142),--($BX$3:$BX$202=""))+SUMPRODUCT(--($CA$3:$CA$202=$A142),--($CD$3:$CD$202=""))+SUMPRODUCT(--($CG$3:$CG$202=$A142),--($CJ$3:$CJ$202=""))+SUMPRODUCT(--($CM$3:$CM$202=$A142),--($CP$3:$CP$202="")))</f>
        <v/>
      </c>
      <c r="Q142" s="48">
        <f>IF($H142="Tutor",(BQ142&lt;&gt;"")+(BW142&lt;&gt;"")+(CC142&lt;&gt;"")+(CI142&lt;&gt;"")+(CO142&lt;&gt;""),SUMPRODUCT(--($BO$3:$BO$202=$A142))+SUMPRODUCT(--($BU$3:$BU$202=$A142))+SUMPRODUCT(--($CA$3:$CA$202=$A142))+SUMPRODUCT(--($CG$3:$CG$202=$A142))+SUMPRODUCT(--($CM$3:$CM$202=$A142)))</f>
        <v/>
      </c>
      <c r="R142" s="48">
        <f>IF($H142="Tutor",TRIM(IF(AND(BQ142&lt;&gt;"",BR142=""),BP142&amp;"; ","")&amp;IF(AND(BW142&lt;&gt;"",BX142=""),BV142&amp;"; ","")&amp;IF(AND(CC142&lt;&gt;"",CD142=""),CB142&amp;"; ","")&amp;IF(AND(CI142&lt;&gt;"",CJ142=""),CH142&amp;"; ","")&amp;IF(AND(CO142&lt;&gt;"",CP142=""),CN142&amp;"; ","")),IFERROR(INDEX($A$3:$B$202,(SUMPRODUCT(($BO$3:$BO$202=$A142)*($BR$3:$BR$202="")*ROW($BO$3:$BO$202))+SUMPRODUCT(($BU$3:$BU$202=$A142)*($BX$3:$BX$202="")*ROW($BU$3:$BU$202))+SUMPRODUCT(($CA$3:$CA$202=$A142)*($CD$3:$CD$202="")*ROW($CA$3:$CA$202))+SUMPRODUCT(($CG$3:$CG$202=$A142)*($CJ$3:$CJ$202="")*ROW($CG$3:$CG$202))+SUMPRODUCT(($CM$3:$CM$202=$A142)*($CP$3:$CP$202="")*ROW($CM$3:$CM$202)))-2,2),""))</f>
        <v/>
      </c>
      <c r="S142" s="48" t="inlineStr">
        <is>
          <t>NA</t>
        </is>
      </c>
      <c r="T142" s="48" t="inlineStr"/>
      <c r="U142" s="48" t="inlineStr"/>
      <c r="V142" s="49" t="n">
        <v>45804</v>
      </c>
      <c r="W142" s="48" t="inlineStr">
        <is>
          <t>ACST (UTC+9:30)</t>
        </is>
      </c>
      <c r="X142" s="48" t="inlineStr">
        <is>
          <t>9am-12pm;12pm-3pm;3pm-6pm;</t>
        </is>
      </c>
      <c r="Y142" s="48" t="inlineStr">
        <is>
          <t>6pm-9pm;</t>
        </is>
      </c>
      <c r="Z142" s="48" t="inlineStr">
        <is>
          <t>12pm-3pm;</t>
        </is>
      </c>
      <c r="AA142" s="48" t="inlineStr">
        <is>
          <t>12pm-3pm;6pm-9pm;</t>
        </is>
      </c>
      <c r="AB142" s="48" t="inlineStr">
        <is>
          <t>3pm-6pm;</t>
        </is>
      </c>
      <c r="AC142" s="48" t="inlineStr">
        <is>
          <t>12pm-3pm;6pm-9pm;</t>
        </is>
      </c>
      <c r="AD142" s="48" t="inlineStr">
        <is>
          <t>9am-12pm;</t>
        </is>
      </c>
      <c r="AE142" s="48" t="inlineStr">
        <is>
          <t>Online</t>
        </is>
      </c>
      <c r="AF142" s="48" t="inlineStr">
        <is>
          <t>Tablet</t>
        </is>
      </c>
      <c r="AG142" s="48" t="inlineStr">
        <is>
          <t>Australia</t>
        </is>
      </c>
      <c r="AH142" s="48" t="inlineStr">
        <is>
          <t>New South Wales</t>
        </is>
      </c>
      <c r="AI142" s="48" t="inlineStr">
        <is>
          <t>Epping</t>
        </is>
      </c>
      <c r="AJ142" s="48" t="inlineStr">
        <is>
          <t>2121</t>
        </is>
      </c>
      <c r="AK142" s="49" t="n">
        <v>23999</v>
      </c>
      <c r="AL142" s="48" t="inlineStr">
        <is>
          <t>Male</t>
        </is>
      </c>
      <c r="AM142" s="48" t="inlineStr">
        <is>
          <t>No</t>
        </is>
      </c>
      <c r="AN142" s="48" t="inlineStr">
        <is>
          <t>B2</t>
        </is>
      </c>
      <c r="AO142" s="48" t="inlineStr">
        <is>
          <t>High</t>
        </is>
      </c>
      <c r="AP142" s="48" t="inlineStr">
        <is>
          <t>Syria</t>
        </is>
      </c>
      <c r="AQ142" s="48" t="inlineStr">
        <is>
          <t>NA</t>
        </is>
      </c>
      <c r="AR142" s="48" t="inlineStr">
        <is>
          <t>Tigrinya (C1)</t>
        </is>
      </c>
      <c r="AS142" s="48" t="inlineStr">
        <is>
          <t>Christian (Catholic)</t>
        </is>
      </c>
      <c r="AT142" s="48" t="inlineStr">
        <is>
          <t>Other / Unspecified</t>
        </is>
      </c>
      <c r="AU142" s="48" t="inlineStr">
        <is>
          <t>Nurse</t>
        </is>
      </c>
      <c r="AV142" s="48" t="inlineStr">
        <is>
          <t>Medicine</t>
        </is>
      </c>
      <c r="AW142" s="48" t="inlineStr">
        <is>
          <t>Football; Cooking; Family</t>
        </is>
      </c>
      <c r="AX142" s="48" t="inlineStr">
        <is>
          <t>Refugee</t>
        </is>
      </c>
      <c r="AY142" s="48" t="inlineStr">
        <is>
          <t>NA - RELT Member Verified</t>
        </is>
      </c>
      <c r="AZ142" s="48" t="inlineStr">
        <is>
          <t>NA - Partner Organisation Verified</t>
        </is>
      </c>
      <c r="BA142" s="48" t="inlineStr">
        <is>
          <t>NA</t>
        </is>
      </c>
      <c r="BB142" s="48" t="inlineStr">
        <is>
          <t>NA</t>
        </is>
      </c>
      <c r="BC142" s="48" t="inlineStr">
        <is>
          <t>NA</t>
        </is>
      </c>
      <c r="BD142" s="48" t="inlineStr">
        <is>
          <t>NA</t>
        </is>
      </c>
      <c r="BE142" s="48" t="inlineStr"/>
      <c r="BF142" s="48" t="inlineStr"/>
      <c r="BG142" s="48" t="inlineStr">
        <is>
          <t>NA</t>
        </is>
      </c>
      <c r="BH142" s="48" t="inlineStr">
        <is>
          <t>NA - Student</t>
        </is>
      </c>
      <c r="BI142" s="48" t="inlineStr">
        <is>
          <t>Tasmania University (including the Law Society)</t>
        </is>
      </c>
      <c r="BJ142" s="48" t="inlineStr">
        <is>
          <t>SINGH Veera</t>
        </is>
      </c>
      <c r="BK142" s="48" t="inlineStr">
        <is>
          <t>HERVIR Oliver</t>
        </is>
      </c>
      <c r="BL142" s="48" t="inlineStr">
        <is>
          <t>Synthetic test record.</t>
        </is>
      </c>
      <c r="BM142" s="48" t="inlineStr"/>
      <c r="BN142" s="48">
        <f>TRIM(IF(AND($H142="Student",$J142="ADM-ACT-MAT-CNE"),"Invalid: Student cannot be CNE. ","")&amp;IF(AND($H142="Student",ISNUMBER($O142)),"Check: capacity set for a Student. ","")&amp;IF(AND(LEFT($J142,11)="ADM-ACT-MAT",$P142=0),"Check: matched status but 0 active pairings. ","")&amp;IF(AND($H142="Tutor",ISNUMBER($O142),$P142&gt;$O142),"Check: pairings exceed capacity. ","")&amp;IF(AND($BH142="Everyone",NOT(AND($BD142="Yes",$BG142="Yes"))),"Check: approved to tutor children but WWCC not provided/confirmed. ","")&amp;IF(AND($P142&gt;0,NOT(AND(OR(LEFT($AY142,3)="Yes",LEFT($AY142,2)="NA"),OR(LEFT($AZ142,3)="Yes",LEFT($AZ142,2)="NA")))),"Matched but vetting incomplete (interview/reference). ","")&amp;IF(COUNTIF($B$3:$B$600,$B142)&gt;1,"Duplicate participant name. ",""))</f>
        <v/>
      </c>
      <c r="BO142" s="48" t="inlineStr"/>
      <c r="BP142" s="48" t="inlineStr"/>
      <c r="BQ142" s="48" t="inlineStr"/>
      <c r="BR142" s="48" t="inlineStr"/>
      <c r="BS142" s="48" t="inlineStr"/>
      <c r="BT142" s="48" t="inlineStr"/>
      <c r="BU142" s="48" t="inlineStr"/>
      <c r="BV142" s="48" t="inlineStr"/>
      <c r="BW142" s="48" t="inlineStr"/>
      <c r="BX142" s="48" t="inlineStr"/>
      <c r="BY142" s="48" t="inlineStr"/>
      <c r="BZ142" s="48" t="inlineStr"/>
      <c r="CA142" s="48" t="inlineStr"/>
      <c r="CB142" s="48" t="inlineStr"/>
      <c r="CC142" s="48" t="inlineStr"/>
      <c r="CD142" s="48" t="inlineStr"/>
      <c r="CE142" s="48" t="inlineStr"/>
      <c r="CF142" s="48" t="inlineStr"/>
      <c r="CG142" s="48" t="inlineStr"/>
      <c r="CH142" s="48" t="inlineStr"/>
      <c r="CI142" s="48" t="inlineStr"/>
      <c r="CJ142" s="48" t="inlineStr"/>
      <c r="CK142" s="48" t="inlineStr"/>
      <c r="CL142" s="48" t="inlineStr"/>
      <c r="CM142" s="48" t="inlineStr"/>
      <c r="CN142" s="48" t="inlineStr"/>
      <c r="CO142" s="48" t="inlineStr"/>
      <c r="CP142" s="48" t="inlineStr"/>
      <c r="CQ142" s="48" t="inlineStr"/>
      <c r="CR142" s="48" t="inlineStr"/>
      <c r="CS142" s="48">
        <f>IF(LEFT($J142,3)="ERR",0,1)</f>
        <v/>
      </c>
      <c r="CT142" s="48">
        <f>IF(LEFT($J142,3)="ADM",1,0)</f>
        <v/>
      </c>
      <c r="CU142" s="48">
        <f>IF(OR($J142="ADM-ACT-MAT-CNE",$J142="ADM-ACT-MAT-CE",$J142="ADM-INACT-M&amp;T"),1,0)</f>
        <v/>
      </c>
      <c r="CV142" s="48">
        <f>IF(AND(CU142=1,ISNUMBER(M142),ISNUMBER(I142)),M142-I142,"")</f>
        <v/>
      </c>
      <c r="CW142" s="48">
        <f>IF(ISNUMBER(I142),TODAY()-I142,"")</f>
        <v/>
      </c>
      <c r="CX142" s="48">
        <f>IF(ISNUMBER(I142),DATE(YEAR(I142),MONTH(I142),1),"")</f>
        <v/>
      </c>
      <c r="CY142" s="48">
        <f>IFERROR(DATEDIF(AK142,TODAY(),"y"),"")</f>
        <v/>
      </c>
      <c r="CZ142" s="48">
        <f>IF(CY142="","",IF(CY142&lt;28,"18-27",IF(CY142&lt;38,"28-37",IF(CY142&lt;48,"38-47",IF(CY142&lt;58,"48-57",IF(CY142&lt;68,"58-67",IF(CY142&lt;78,"68-77","78+")))))) </f>
        <v/>
      </c>
      <c r="DA142" s="48">
        <f>IF(AND(BQ142&lt;&gt;"",BR142=""),N(BS142),0)+IF(AND(BW142&lt;&gt;"",BX142=""),N(BY142),0)+IF(AND(CC142&lt;&gt;"",CD142=""),N(CE142),0)+IF(AND(CI142&lt;&gt;"",CJ142=""),N(CK142),0)+IF(AND(CO142&lt;&gt;"",CP142=""),N(CQ142),0)</f>
        <v/>
      </c>
      <c r="DB142" s="48">
        <f>ROUND(IF(BQ142&lt;&gt;"",N(BS142)*MAX(0,((IF(BR142="",TODAY(),BR142))-BQ142)/7),0)+IF(BW142&lt;&gt;"",N(BY142)*MAX(0,((IF(BX142="",TODAY(),BX142))-BW142)/7),0)+IF(CC142&lt;&gt;"",N(CE142)*MAX(0,((IF(CD142="",TODAY(),CD142))-CC142)/7),0)+IF(CI142&lt;&gt;"",N(CK142)*MAX(0,((IF(CJ142="",TODAY(),CJ142))-CI142)/7),0)+IF(CO142&lt;&gt;"",N(CQ142)*MAX(0,((IF(CP142="",TODAY(),CP142))-CO142)/7),0),1)</f>
        <v/>
      </c>
      <c r="DC142" s="48">
        <f>IF(OR(TRIM(X142)="",TRIM(X142)="NA;",TRIM(X142)="NA"),0,1)</f>
        <v/>
      </c>
      <c r="DD142" s="48">
        <f>IF(OR(TRIM(Y142)="",TRIM(Y142)="NA;",TRIM(Y142)="NA"),0,1)</f>
        <v/>
      </c>
      <c r="DE142" s="48">
        <f>IF(OR(TRIM(Z142)="",TRIM(Z142)="NA;",TRIM(Z142)="NA"),0,1)</f>
        <v/>
      </c>
      <c r="DF142" s="48">
        <f>IF(OR(TRIM(AA142)="",TRIM(AA142)="NA;",TRIM(AA142)="NA"),0,1)</f>
        <v/>
      </c>
      <c r="DG142" s="48">
        <f>IF(OR(TRIM(AB142)="",TRIM(AB142)="NA;",TRIM(AB142)="NA"),0,1)</f>
        <v/>
      </c>
      <c r="DH142" s="48">
        <f>IF(OR(TRIM(AC142)="",TRIM(AC142)="NA;",TRIM(AC142)="NA"),0,1)</f>
        <v/>
      </c>
      <c r="DI142" s="48">
        <f>IF(OR(TRIM(AD142)="",TRIM(AD142)="NA;",TRIM(AD142)="NA"),0,1)</f>
        <v/>
      </c>
      <c r="DJ142" s="48">
        <f>TRIM(IF(DC142=1,"Mon ","")&amp;IF(DD142=1,"Tue ","")&amp;IF(DE142=1,"Wed ","")&amp;IF(DF142=1,"Thu ","")&amp;IF(DG142=1,"Fri ","")&amp;IF(DH142=1,"Sat ","")&amp;IF(DI142=1,"Sun ",""))</f>
        <v/>
      </c>
    </row>
    <row r="143">
      <c r="A143" s="48" t="inlineStr">
        <is>
          <t>S-O-00041</t>
        </is>
      </c>
      <c r="B143" s="48" t="inlineStr">
        <is>
          <t>Maria Ng</t>
        </is>
      </c>
      <c r="C143" s="48" t="inlineStr">
        <is>
          <t>maria.ng41@example.com</t>
        </is>
      </c>
      <c r="D143" s="48" t="inlineStr">
        <is>
          <t>+61 441 701 946</t>
        </is>
      </c>
      <c r="E143" s="48" t="inlineStr">
        <is>
          <t>Anya Hadaya</t>
        </is>
      </c>
      <c r="F143" s="48" t="inlineStr">
        <is>
          <t>+61 443 710 823</t>
        </is>
      </c>
      <c r="G143" s="48" t="inlineStr">
        <is>
          <t>Spouse</t>
        </is>
      </c>
      <c r="H143" s="48" t="inlineStr">
        <is>
          <t>Student</t>
        </is>
      </c>
      <c r="I143" s="49" t="n">
        <v>45582</v>
      </c>
      <c r="J143" s="48" t="inlineStr">
        <is>
          <t>ADM-ACT-MAT-CE</t>
        </is>
      </c>
      <c r="K143" s="48">
        <f>IFERROR(VLOOKUP(J143,'(A) Introduction'!$B$35:$C$45,2,FALSE),"")</f>
        <v/>
      </c>
      <c r="L143" s="48" t="inlineStr">
        <is>
          <t>No</t>
        </is>
      </c>
      <c r="M143" s="49" t="n">
        <v>45617</v>
      </c>
      <c r="N143" s="48" t="inlineStr"/>
      <c r="O143" s="48" t="inlineStr">
        <is>
          <t>NA</t>
        </is>
      </c>
      <c r="P143" s="48">
        <f>IF($H143="Tutor",((BQ143&lt;&gt;"")*(BR143=""))+((BW143&lt;&gt;"")*(BX143=""))+((CC143&lt;&gt;"")*(CD143=""))+((CI143&lt;&gt;"")*(CJ143=""))+((CO143&lt;&gt;"")*(CP143="")),SUMPRODUCT(--($BO$3:$BO$202=$A143),--($BR$3:$BR$202=""))+SUMPRODUCT(--($BU$3:$BU$202=$A143),--($BX$3:$BX$202=""))+SUMPRODUCT(--($CA$3:$CA$202=$A143),--($CD$3:$CD$202=""))+SUMPRODUCT(--($CG$3:$CG$202=$A143),--($CJ$3:$CJ$202=""))+SUMPRODUCT(--($CM$3:$CM$202=$A143),--($CP$3:$CP$202="")))</f>
        <v/>
      </c>
      <c r="Q143" s="48">
        <f>IF($H143="Tutor",(BQ143&lt;&gt;"")+(BW143&lt;&gt;"")+(CC143&lt;&gt;"")+(CI143&lt;&gt;"")+(CO143&lt;&gt;""),SUMPRODUCT(--($BO$3:$BO$202=$A143))+SUMPRODUCT(--($BU$3:$BU$202=$A143))+SUMPRODUCT(--($CA$3:$CA$202=$A143))+SUMPRODUCT(--($CG$3:$CG$202=$A143))+SUMPRODUCT(--($CM$3:$CM$202=$A143)))</f>
        <v/>
      </c>
      <c r="R143" s="48">
        <f>IF($H143="Tutor",TRIM(IF(AND(BQ143&lt;&gt;"",BR143=""),BP143&amp;"; ","")&amp;IF(AND(BW143&lt;&gt;"",BX143=""),BV143&amp;"; ","")&amp;IF(AND(CC143&lt;&gt;"",CD143=""),CB143&amp;"; ","")&amp;IF(AND(CI143&lt;&gt;"",CJ143=""),CH143&amp;"; ","")&amp;IF(AND(CO143&lt;&gt;"",CP143=""),CN143&amp;"; ","")),IFERROR(INDEX($A$3:$B$202,(SUMPRODUCT(($BO$3:$BO$202=$A143)*($BR$3:$BR$202="")*ROW($BO$3:$BO$202))+SUMPRODUCT(($BU$3:$BU$202=$A143)*($BX$3:$BX$202="")*ROW($BU$3:$BU$202))+SUMPRODUCT(($CA$3:$CA$202=$A143)*($CD$3:$CD$202="")*ROW($CA$3:$CA$202))+SUMPRODUCT(($CG$3:$CG$202=$A143)*($CJ$3:$CJ$202="")*ROW($CG$3:$CG$202))+SUMPRODUCT(($CM$3:$CM$202=$A143)*($CP$3:$CP$202="")*ROW($CM$3:$CM$202)))-2,2),""))</f>
        <v/>
      </c>
      <c r="S143" s="48" t="inlineStr">
        <is>
          <t>Provided</t>
        </is>
      </c>
      <c r="T143" s="48" t="inlineStr"/>
      <c r="U143" s="48" t="inlineStr"/>
      <c r="V143" s="49" t="n">
        <v>46162</v>
      </c>
      <c r="W143" s="48" t="inlineStr">
        <is>
          <t>AEST (UTC+10)</t>
        </is>
      </c>
      <c r="X143" s="48" t="inlineStr">
        <is>
          <t>12pm-3pm;6pm-9pm;</t>
        </is>
      </c>
      <c r="Y143" s="48" t="inlineStr">
        <is>
          <t>12pm-3pm;6pm-9pm;</t>
        </is>
      </c>
      <c r="Z143" s="48" t="inlineStr">
        <is>
          <t>6am-9am;9am-12pm;</t>
        </is>
      </c>
      <c r="AA143" s="48" t="inlineStr">
        <is>
          <t>6am-9am;9am-12pm;</t>
        </is>
      </c>
      <c r="AB143" s="48" t="inlineStr">
        <is>
          <t>12pm-3pm;</t>
        </is>
      </c>
      <c r="AC143" s="48" t="inlineStr">
        <is>
          <t>6am-9am;9am-12pm;</t>
        </is>
      </c>
      <c r="AD143" s="48" t="inlineStr">
        <is>
          <t>6am-9am;9am-12pm;</t>
        </is>
      </c>
      <c r="AE143" s="48" t="inlineStr">
        <is>
          <t>Either</t>
        </is>
      </c>
      <c r="AF143" s="48" t="inlineStr">
        <is>
          <t>Computer</t>
        </is>
      </c>
      <c r="AG143" s="48" t="inlineStr">
        <is>
          <t>Australia</t>
        </is>
      </c>
      <c r="AH143" s="48" t="inlineStr">
        <is>
          <t>New South Wales</t>
        </is>
      </c>
      <c r="AI143" s="48" t="inlineStr">
        <is>
          <t>Bankstown</t>
        </is>
      </c>
      <c r="AJ143" s="48" t="inlineStr">
        <is>
          <t>2200</t>
        </is>
      </c>
      <c r="AK143" s="49" t="n">
        <v>35257</v>
      </c>
      <c r="AL143" s="48" t="inlineStr">
        <is>
          <t>Male</t>
        </is>
      </c>
      <c r="AM143" s="48" t="inlineStr">
        <is>
          <t>No</t>
        </is>
      </c>
      <c r="AN143" s="48" t="inlineStr">
        <is>
          <t>B1</t>
        </is>
      </c>
      <c r="AO143" s="48" t="inlineStr">
        <is>
          <t>Outstanding</t>
        </is>
      </c>
      <c r="AP143" s="48" t="inlineStr">
        <is>
          <t>Bangladesh</t>
        </is>
      </c>
      <c r="AQ143" s="48" t="inlineStr">
        <is>
          <t>NA</t>
        </is>
      </c>
      <c r="AR143" s="48" t="inlineStr">
        <is>
          <t>Farsi (C1)</t>
        </is>
      </c>
      <c r="AS143" s="48" t="inlineStr">
        <is>
          <t>Christian (Orthodox)</t>
        </is>
      </c>
      <c r="AT143" s="48" t="inlineStr">
        <is>
          <t>Science, Tech, Engineering and Math</t>
        </is>
      </c>
      <c r="AU143" s="48" t="inlineStr">
        <is>
          <t>Community Worker</t>
        </is>
      </c>
      <c r="AV143" s="48" t="inlineStr">
        <is>
          <t>Teacher</t>
        </is>
      </c>
      <c r="AW143" s="48" t="inlineStr">
        <is>
          <t>Gardening; Cooking; Walking</t>
        </is>
      </c>
      <c r="AX143" s="48" t="inlineStr">
        <is>
          <t>Refugee</t>
        </is>
      </c>
      <c r="AY143" s="48" t="inlineStr">
        <is>
          <t>Yes</t>
        </is>
      </c>
      <c r="AZ143" s="48" t="inlineStr">
        <is>
          <t>Yes</t>
        </is>
      </c>
      <c r="BA143" s="48" t="inlineStr">
        <is>
          <t>NA</t>
        </is>
      </c>
      <c r="BB143" s="48" t="inlineStr">
        <is>
          <t>NA</t>
        </is>
      </c>
      <c r="BC143" s="48" t="inlineStr">
        <is>
          <t>NA</t>
        </is>
      </c>
      <c r="BD143" s="48" t="inlineStr">
        <is>
          <t>NA</t>
        </is>
      </c>
      <c r="BE143" s="48" t="inlineStr"/>
      <c r="BF143" s="48" t="inlineStr"/>
      <c r="BG143" s="48" t="inlineStr">
        <is>
          <t>NA</t>
        </is>
      </c>
      <c r="BH143" s="48" t="inlineStr">
        <is>
          <t>NA - Student</t>
        </is>
      </c>
      <c r="BI143" s="48" t="inlineStr">
        <is>
          <t>Kaldor Centre for International Refugee Law</t>
        </is>
      </c>
      <c r="BJ143" s="48" t="inlineStr">
        <is>
          <t>SINGH Veera</t>
        </is>
      </c>
      <c r="BK143" s="48" t="inlineStr">
        <is>
          <t>HALLORAN Isobel</t>
        </is>
      </c>
      <c r="BL143" s="48" t="inlineStr">
        <is>
          <t>Synthetic test record.</t>
        </is>
      </c>
      <c r="BM143" s="48" t="inlineStr"/>
      <c r="BN143" s="48">
        <f>TRIM(IF(AND($H143="Student",$J143="ADM-ACT-MAT-CNE"),"Invalid: Student cannot be CNE. ","")&amp;IF(AND($H143="Student",ISNUMBER($O143)),"Check: capacity set for a Student. ","")&amp;IF(AND(LEFT($J143,11)="ADM-ACT-MAT",$P143=0),"Check: matched status but 0 active pairings. ","")&amp;IF(AND($H143="Tutor",ISNUMBER($O143),$P143&gt;$O143),"Check: pairings exceed capacity. ","")&amp;IF(AND($BH143="Everyone",NOT(AND($BD143="Yes",$BG143="Yes"))),"Check: approved to tutor children but WWCC not provided/confirmed. ","")&amp;IF(AND($P143&gt;0,NOT(AND(OR(LEFT($AY143,3)="Yes",LEFT($AY143,2)="NA"),OR(LEFT($AZ143,3)="Yes",LEFT($AZ143,2)="NA")))),"Matched but vetting incomplete (interview/reference). ","")&amp;IF(COUNTIF($B$3:$B$600,$B143)&gt;1,"Duplicate participant name. ",""))</f>
        <v/>
      </c>
      <c r="BO143" s="48" t="inlineStr"/>
      <c r="BP143" s="48" t="inlineStr"/>
      <c r="BQ143" s="48" t="inlineStr"/>
      <c r="BR143" s="48" t="inlineStr"/>
      <c r="BS143" s="48" t="inlineStr"/>
      <c r="BT143" s="48" t="inlineStr"/>
      <c r="BU143" s="48" t="inlineStr"/>
      <c r="BV143" s="48" t="inlineStr"/>
      <c r="BW143" s="48" t="inlineStr"/>
      <c r="BX143" s="48" t="inlineStr"/>
      <c r="BY143" s="48" t="inlineStr"/>
      <c r="BZ143" s="48" t="inlineStr"/>
      <c r="CA143" s="48" t="inlineStr"/>
      <c r="CB143" s="48" t="inlineStr"/>
      <c r="CC143" s="48" t="inlineStr"/>
      <c r="CD143" s="48" t="inlineStr"/>
      <c r="CE143" s="48" t="inlineStr"/>
      <c r="CF143" s="48" t="inlineStr"/>
      <c r="CG143" s="48" t="inlineStr"/>
      <c r="CH143" s="48" t="inlineStr"/>
      <c r="CI143" s="48" t="inlineStr"/>
      <c r="CJ143" s="48" t="inlineStr"/>
      <c r="CK143" s="48" t="inlineStr"/>
      <c r="CL143" s="48" t="inlineStr"/>
      <c r="CM143" s="48" t="inlineStr"/>
      <c r="CN143" s="48" t="inlineStr"/>
      <c r="CO143" s="48" t="inlineStr"/>
      <c r="CP143" s="48" t="inlineStr"/>
      <c r="CQ143" s="48" t="inlineStr"/>
      <c r="CR143" s="48" t="inlineStr"/>
      <c r="CS143" s="48">
        <f>IF(LEFT($J143,3)="ERR",0,1)</f>
        <v/>
      </c>
      <c r="CT143" s="48">
        <f>IF(LEFT($J143,3)="ADM",1,0)</f>
        <v/>
      </c>
      <c r="CU143" s="48">
        <f>IF(OR($J143="ADM-ACT-MAT-CNE",$J143="ADM-ACT-MAT-CE",$J143="ADM-INACT-M&amp;T"),1,0)</f>
        <v/>
      </c>
      <c r="CV143" s="48">
        <f>IF(AND(CU143=1,ISNUMBER(M143),ISNUMBER(I143)),M143-I143,"")</f>
        <v/>
      </c>
      <c r="CW143" s="48">
        <f>IF(ISNUMBER(I143),TODAY()-I143,"")</f>
        <v/>
      </c>
      <c r="CX143" s="48">
        <f>IF(ISNUMBER(I143),DATE(YEAR(I143),MONTH(I143),1),"")</f>
        <v/>
      </c>
      <c r="CY143" s="48">
        <f>IFERROR(DATEDIF(AK143,TODAY(),"y"),"")</f>
        <v/>
      </c>
      <c r="CZ143" s="48">
        <f>IF(CY143="","",IF(CY143&lt;28,"18-27",IF(CY143&lt;38,"28-37",IF(CY143&lt;48,"38-47",IF(CY143&lt;58,"48-57",IF(CY143&lt;68,"58-67",IF(CY143&lt;78,"68-77","78+")))))) </f>
        <v/>
      </c>
      <c r="DA143" s="48">
        <f>IF(AND(BQ143&lt;&gt;"",BR143=""),N(BS143),0)+IF(AND(BW143&lt;&gt;"",BX143=""),N(BY143),0)+IF(AND(CC143&lt;&gt;"",CD143=""),N(CE143),0)+IF(AND(CI143&lt;&gt;"",CJ143=""),N(CK143),0)+IF(AND(CO143&lt;&gt;"",CP143=""),N(CQ143),0)</f>
        <v/>
      </c>
      <c r="DB143" s="48">
        <f>ROUND(IF(BQ143&lt;&gt;"",N(BS143)*MAX(0,((IF(BR143="",TODAY(),BR143))-BQ143)/7),0)+IF(BW143&lt;&gt;"",N(BY143)*MAX(0,((IF(BX143="",TODAY(),BX143))-BW143)/7),0)+IF(CC143&lt;&gt;"",N(CE143)*MAX(0,((IF(CD143="",TODAY(),CD143))-CC143)/7),0)+IF(CI143&lt;&gt;"",N(CK143)*MAX(0,((IF(CJ143="",TODAY(),CJ143))-CI143)/7),0)+IF(CO143&lt;&gt;"",N(CQ143)*MAX(0,((IF(CP143="",TODAY(),CP143))-CO143)/7),0),1)</f>
        <v/>
      </c>
      <c r="DC143" s="48">
        <f>IF(OR(TRIM(X143)="",TRIM(X143)="NA;",TRIM(X143)="NA"),0,1)</f>
        <v/>
      </c>
      <c r="DD143" s="48">
        <f>IF(OR(TRIM(Y143)="",TRIM(Y143)="NA;",TRIM(Y143)="NA"),0,1)</f>
        <v/>
      </c>
      <c r="DE143" s="48">
        <f>IF(OR(TRIM(Z143)="",TRIM(Z143)="NA;",TRIM(Z143)="NA"),0,1)</f>
        <v/>
      </c>
      <c r="DF143" s="48">
        <f>IF(OR(TRIM(AA143)="",TRIM(AA143)="NA;",TRIM(AA143)="NA"),0,1)</f>
        <v/>
      </c>
      <c r="DG143" s="48">
        <f>IF(OR(TRIM(AB143)="",TRIM(AB143)="NA;",TRIM(AB143)="NA"),0,1)</f>
        <v/>
      </c>
      <c r="DH143" s="48">
        <f>IF(OR(TRIM(AC143)="",TRIM(AC143)="NA;",TRIM(AC143)="NA"),0,1)</f>
        <v/>
      </c>
      <c r="DI143" s="48">
        <f>IF(OR(TRIM(AD143)="",TRIM(AD143)="NA;",TRIM(AD143)="NA"),0,1)</f>
        <v/>
      </c>
      <c r="DJ143" s="48">
        <f>TRIM(IF(DC143=1,"Mon ","")&amp;IF(DD143=1,"Tue ","")&amp;IF(DE143=1,"Wed ","")&amp;IF(DF143=1,"Thu ","")&amp;IF(DG143=1,"Fri ","")&amp;IF(DH143=1,"Sat ","")&amp;IF(DI143=1,"Sun ",""))</f>
        <v/>
      </c>
    </row>
    <row r="144">
      <c r="A144" s="48" t="inlineStr">
        <is>
          <t>S-O-00042</t>
        </is>
      </c>
      <c r="B144" s="48" t="inlineStr">
        <is>
          <t>Diego Smith</t>
        </is>
      </c>
      <c r="C144" s="48" t="inlineStr">
        <is>
          <t>diego.smith42@example.com</t>
        </is>
      </c>
      <c r="D144" s="48" t="inlineStr">
        <is>
          <t>+61 402 339 214</t>
        </is>
      </c>
      <c r="E144" s="48" t="inlineStr">
        <is>
          <t>Zara Slaytor</t>
        </is>
      </c>
      <c r="F144" s="48" t="inlineStr">
        <is>
          <t>+61 465 726 101</t>
        </is>
      </c>
      <c r="G144" s="48" t="inlineStr">
        <is>
          <t>Sibling</t>
        </is>
      </c>
      <c r="H144" s="48" t="inlineStr">
        <is>
          <t>Student</t>
        </is>
      </c>
      <c r="I144" s="49" t="n">
        <v>45582</v>
      </c>
      <c r="J144" s="48" t="inlineStr">
        <is>
          <t>ADM-ACT-UNMAT</t>
        </is>
      </c>
      <c r="K144" s="48">
        <f>IFERROR(VLOOKUP(J144,'(A) Introduction'!$B$35:$C$45,2,FALSE),"")</f>
        <v/>
      </c>
      <c r="L144" s="48" t="inlineStr">
        <is>
          <t>No</t>
        </is>
      </c>
      <c r="M144" s="48" t="inlineStr"/>
      <c r="N144" s="48" t="inlineStr"/>
      <c r="O144" s="48" t="inlineStr">
        <is>
          <t>NA</t>
        </is>
      </c>
      <c r="P144" s="48">
        <f>IF($H144="Tutor",((BQ144&lt;&gt;"")*(BR144=""))+((BW144&lt;&gt;"")*(BX144=""))+((CC144&lt;&gt;"")*(CD144=""))+((CI144&lt;&gt;"")*(CJ144=""))+((CO144&lt;&gt;"")*(CP144="")),SUMPRODUCT(--($BO$3:$BO$202=$A144),--($BR$3:$BR$202=""))+SUMPRODUCT(--($BU$3:$BU$202=$A144),--($BX$3:$BX$202=""))+SUMPRODUCT(--($CA$3:$CA$202=$A144),--($CD$3:$CD$202=""))+SUMPRODUCT(--($CG$3:$CG$202=$A144),--($CJ$3:$CJ$202=""))+SUMPRODUCT(--($CM$3:$CM$202=$A144),--($CP$3:$CP$202="")))</f>
        <v/>
      </c>
      <c r="Q144" s="48">
        <f>IF($H144="Tutor",(BQ144&lt;&gt;"")+(BW144&lt;&gt;"")+(CC144&lt;&gt;"")+(CI144&lt;&gt;"")+(CO144&lt;&gt;""),SUMPRODUCT(--($BO$3:$BO$202=$A144))+SUMPRODUCT(--($BU$3:$BU$202=$A144))+SUMPRODUCT(--($CA$3:$CA$202=$A144))+SUMPRODUCT(--($CG$3:$CG$202=$A144))+SUMPRODUCT(--($CM$3:$CM$202=$A144)))</f>
        <v/>
      </c>
      <c r="R144" s="48">
        <f>IF($H144="Tutor",TRIM(IF(AND(BQ144&lt;&gt;"",BR144=""),BP144&amp;"; ","")&amp;IF(AND(BW144&lt;&gt;"",BX144=""),BV144&amp;"; ","")&amp;IF(AND(CC144&lt;&gt;"",CD144=""),CB144&amp;"; ","")&amp;IF(AND(CI144&lt;&gt;"",CJ144=""),CH144&amp;"; ","")&amp;IF(AND(CO144&lt;&gt;"",CP144=""),CN144&amp;"; ","")),IFERROR(INDEX($A$3:$B$202,(SUMPRODUCT(($BO$3:$BO$202=$A144)*($BR$3:$BR$202="")*ROW($BO$3:$BO$202))+SUMPRODUCT(($BU$3:$BU$202=$A144)*($BX$3:$BX$202="")*ROW($BU$3:$BU$202))+SUMPRODUCT(($CA$3:$CA$202=$A144)*($CD$3:$CD$202="")*ROW($CA$3:$CA$202))+SUMPRODUCT(($CG$3:$CG$202=$A144)*($CJ$3:$CJ$202="")*ROW($CG$3:$CG$202))+SUMPRODUCT(($CM$3:$CM$202=$A144)*($CP$3:$CP$202="")*ROW($CM$3:$CM$202)))-2,2),""))</f>
        <v/>
      </c>
      <c r="S144" s="48" t="inlineStr">
        <is>
          <t>Provided</t>
        </is>
      </c>
      <c r="T144" s="48" t="inlineStr"/>
      <c r="U144" s="48" t="inlineStr"/>
      <c r="V144" s="49" t="n">
        <v>45740</v>
      </c>
      <c r="W144" s="48" t="inlineStr">
        <is>
          <t>AEST (UTC+10)</t>
        </is>
      </c>
      <c r="X144" s="48" t="inlineStr">
        <is>
          <t>9am-12pm;12pm-3pm;3pm-6pm;</t>
        </is>
      </c>
      <c r="Y144" s="48" t="inlineStr">
        <is>
          <t>9am-12pm;12pm-3pm;3pm-6pm;</t>
        </is>
      </c>
      <c r="Z144" s="48" t="inlineStr">
        <is>
          <t>3pm-6pm;</t>
        </is>
      </c>
      <c r="AA144" s="48" t="inlineStr">
        <is>
          <t>9am-12pm;12pm-3pm;3pm-6pm;</t>
        </is>
      </c>
      <c r="AB144" s="48" t="inlineStr">
        <is>
          <t>6pm-9pm;</t>
        </is>
      </c>
      <c r="AC144" s="48" t="inlineStr">
        <is>
          <t>9am-12pm;</t>
        </is>
      </c>
      <c r="AD144" s="48" t="inlineStr">
        <is>
          <t>NA;</t>
        </is>
      </c>
      <c r="AE144" s="48" t="inlineStr">
        <is>
          <t>In-Person</t>
        </is>
      </c>
      <c r="AF144" s="48" t="inlineStr">
        <is>
          <t>Computer</t>
        </is>
      </c>
      <c r="AG144" s="48" t="inlineStr">
        <is>
          <t>Australia</t>
        </is>
      </c>
      <c r="AH144" s="48" t="inlineStr">
        <is>
          <t>Victoria</t>
        </is>
      </c>
      <c r="AI144" s="48" t="inlineStr">
        <is>
          <t>Footscray</t>
        </is>
      </c>
      <c r="AJ144" s="48" t="inlineStr">
        <is>
          <t>3011</t>
        </is>
      </c>
      <c r="AK144" s="49" t="n">
        <v>26832</v>
      </c>
      <c r="AL144" s="48" t="inlineStr">
        <is>
          <t>Female</t>
        </is>
      </c>
      <c r="AM144" s="48" t="inlineStr">
        <is>
          <t>No</t>
        </is>
      </c>
      <c r="AN144" s="48" t="inlineStr">
        <is>
          <t>B1</t>
        </is>
      </c>
      <c r="AO144" s="48" t="inlineStr">
        <is>
          <t>Moderate</t>
        </is>
      </c>
      <c r="AP144" s="48" t="inlineStr">
        <is>
          <t>Myanmar; Palestine</t>
        </is>
      </c>
      <c r="AQ144" s="48" t="inlineStr">
        <is>
          <t>NA</t>
        </is>
      </c>
      <c r="AR144" s="48" t="inlineStr">
        <is>
          <t>Arabic (C1)</t>
        </is>
      </c>
      <c r="AS144" s="48" t="inlineStr">
        <is>
          <t>Christian</t>
        </is>
      </c>
      <c r="AT144" s="48" t="inlineStr">
        <is>
          <t>Labour, Administrative &amp; Clerical</t>
        </is>
      </c>
      <c r="AU144" s="48" t="inlineStr">
        <is>
          <t>Accountant</t>
        </is>
      </c>
      <c r="AV144" s="48" t="inlineStr">
        <is>
          <t>Child Care</t>
        </is>
      </c>
      <c r="AW144" s="48" t="inlineStr">
        <is>
          <t>Gardening; Cooking; Walking</t>
        </is>
      </c>
      <c r="AX144" s="48" t="inlineStr">
        <is>
          <t>Asylum Seeker</t>
        </is>
      </c>
      <c r="AY144" s="48" t="inlineStr">
        <is>
          <t>Yes</t>
        </is>
      </c>
      <c r="AZ144" s="48" t="inlineStr">
        <is>
          <t>Yes</t>
        </is>
      </c>
      <c r="BA144" s="48" t="inlineStr">
        <is>
          <t>NA</t>
        </is>
      </c>
      <c r="BB144" s="48" t="inlineStr">
        <is>
          <t>NA</t>
        </is>
      </c>
      <c r="BC144" s="48" t="inlineStr">
        <is>
          <t>NA</t>
        </is>
      </c>
      <c r="BD144" s="48" t="inlineStr">
        <is>
          <t>NA</t>
        </is>
      </c>
      <c r="BE144" s="48" t="inlineStr"/>
      <c r="BF144" s="48" t="inlineStr"/>
      <c r="BG144" s="48" t="inlineStr">
        <is>
          <t>NA</t>
        </is>
      </c>
      <c r="BH144" s="48" t="inlineStr">
        <is>
          <t>NA - Student</t>
        </is>
      </c>
      <c r="BI144" s="48" t="inlineStr">
        <is>
          <t>Notice Board</t>
        </is>
      </c>
      <c r="BJ144" s="48" t="inlineStr">
        <is>
          <t>THET Moh Moh</t>
        </is>
      </c>
      <c r="BK144" s="48" t="inlineStr">
        <is>
          <t>MCCRORIE John</t>
        </is>
      </c>
      <c r="BL144" s="48" t="inlineStr">
        <is>
          <t>Synthetic test record.</t>
        </is>
      </c>
      <c r="BM144" s="48" t="inlineStr"/>
      <c r="BN144" s="48">
        <f>TRIM(IF(AND($H144="Student",$J144="ADM-ACT-MAT-CNE"),"Invalid: Student cannot be CNE. ","")&amp;IF(AND($H144="Student",ISNUMBER($O144)),"Check: capacity set for a Student. ","")&amp;IF(AND(LEFT($J144,11)="ADM-ACT-MAT",$P144=0),"Check: matched status but 0 active pairings. ","")&amp;IF(AND($H144="Tutor",ISNUMBER($O144),$P144&gt;$O144),"Check: pairings exceed capacity. ","")&amp;IF(AND($BH144="Everyone",NOT(AND($BD144="Yes",$BG144="Yes"))),"Check: approved to tutor children but WWCC not provided/confirmed. ","")&amp;IF(AND($P144&gt;0,NOT(AND(OR(LEFT($AY144,3)="Yes",LEFT($AY144,2)="NA"),OR(LEFT($AZ144,3)="Yes",LEFT($AZ144,2)="NA")))),"Matched but vetting incomplete (interview/reference). ","")&amp;IF(COUNTIF($B$3:$B$600,$B144)&gt;1,"Duplicate participant name. ",""))</f>
        <v/>
      </c>
      <c r="BO144" s="48" t="inlineStr"/>
      <c r="BP144" s="48" t="inlineStr"/>
      <c r="BQ144" s="48" t="inlineStr"/>
      <c r="BR144" s="48" t="inlineStr"/>
      <c r="BS144" s="48" t="inlineStr"/>
      <c r="BT144" s="48" t="inlineStr"/>
      <c r="BU144" s="48" t="inlineStr"/>
      <c r="BV144" s="48" t="inlineStr"/>
      <c r="BW144" s="48" t="inlineStr"/>
      <c r="BX144" s="48" t="inlineStr"/>
      <c r="BY144" s="48" t="inlineStr"/>
      <c r="BZ144" s="48" t="inlineStr"/>
      <c r="CA144" s="48" t="inlineStr"/>
      <c r="CB144" s="48" t="inlineStr"/>
      <c r="CC144" s="48" t="inlineStr"/>
      <c r="CD144" s="48" t="inlineStr"/>
      <c r="CE144" s="48" t="inlineStr"/>
      <c r="CF144" s="48" t="inlineStr"/>
      <c r="CG144" s="48" t="inlineStr"/>
      <c r="CH144" s="48" t="inlineStr"/>
      <c r="CI144" s="48" t="inlineStr"/>
      <c r="CJ144" s="48" t="inlineStr"/>
      <c r="CK144" s="48" t="inlineStr"/>
      <c r="CL144" s="48" t="inlineStr"/>
      <c r="CM144" s="48" t="inlineStr"/>
      <c r="CN144" s="48" t="inlineStr"/>
      <c r="CO144" s="48" t="inlineStr"/>
      <c r="CP144" s="48" t="inlineStr"/>
      <c r="CQ144" s="48" t="inlineStr"/>
      <c r="CR144" s="48" t="inlineStr"/>
      <c r="CS144" s="48">
        <f>IF(LEFT($J144,3)="ERR",0,1)</f>
        <v/>
      </c>
      <c r="CT144" s="48">
        <f>IF(LEFT($J144,3)="ADM",1,0)</f>
        <v/>
      </c>
      <c r="CU144" s="48">
        <f>IF(OR($J144="ADM-ACT-MAT-CNE",$J144="ADM-ACT-MAT-CE",$J144="ADM-INACT-M&amp;T"),1,0)</f>
        <v/>
      </c>
      <c r="CV144" s="48">
        <f>IF(AND(CU144=1,ISNUMBER(M144),ISNUMBER(I144)),M144-I144,"")</f>
        <v/>
      </c>
      <c r="CW144" s="48">
        <f>IF(ISNUMBER(I144),TODAY()-I144,"")</f>
        <v/>
      </c>
      <c r="CX144" s="48">
        <f>IF(ISNUMBER(I144),DATE(YEAR(I144),MONTH(I144),1),"")</f>
        <v/>
      </c>
      <c r="CY144" s="48">
        <f>IFERROR(DATEDIF(AK144,TODAY(),"y"),"")</f>
        <v/>
      </c>
      <c r="CZ144" s="48">
        <f>IF(CY144="","",IF(CY144&lt;28,"18-27",IF(CY144&lt;38,"28-37",IF(CY144&lt;48,"38-47",IF(CY144&lt;58,"48-57",IF(CY144&lt;68,"58-67",IF(CY144&lt;78,"68-77","78+")))))) </f>
        <v/>
      </c>
      <c r="DA144" s="48">
        <f>IF(AND(BQ144&lt;&gt;"",BR144=""),N(BS144),0)+IF(AND(BW144&lt;&gt;"",BX144=""),N(BY144),0)+IF(AND(CC144&lt;&gt;"",CD144=""),N(CE144),0)+IF(AND(CI144&lt;&gt;"",CJ144=""),N(CK144),0)+IF(AND(CO144&lt;&gt;"",CP144=""),N(CQ144),0)</f>
        <v/>
      </c>
      <c r="DB144" s="48">
        <f>ROUND(IF(BQ144&lt;&gt;"",N(BS144)*MAX(0,((IF(BR144="",TODAY(),BR144))-BQ144)/7),0)+IF(BW144&lt;&gt;"",N(BY144)*MAX(0,((IF(BX144="",TODAY(),BX144))-BW144)/7),0)+IF(CC144&lt;&gt;"",N(CE144)*MAX(0,((IF(CD144="",TODAY(),CD144))-CC144)/7),0)+IF(CI144&lt;&gt;"",N(CK144)*MAX(0,((IF(CJ144="",TODAY(),CJ144))-CI144)/7),0)+IF(CO144&lt;&gt;"",N(CQ144)*MAX(0,((IF(CP144="",TODAY(),CP144))-CO144)/7),0),1)</f>
        <v/>
      </c>
      <c r="DC144" s="48">
        <f>IF(OR(TRIM(X144)="",TRIM(X144)="NA;",TRIM(X144)="NA"),0,1)</f>
        <v/>
      </c>
      <c r="DD144" s="48">
        <f>IF(OR(TRIM(Y144)="",TRIM(Y144)="NA;",TRIM(Y144)="NA"),0,1)</f>
        <v/>
      </c>
      <c r="DE144" s="48">
        <f>IF(OR(TRIM(Z144)="",TRIM(Z144)="NA;",TRIM(Z144)="NA"),0,1)</f>
        <v/>
      </c>
      <c r="DF144" s="48">
        <f>IF(OR(TRIM(AA144)="",TRIM(AA144)="NA;",TRIM(AA144)="NA"),0,1)</f>
        <v/>
      </c>
      <c r="DG144" s="48">
        <f>IF(OR(TRIM(AB144)="",TRIM(AB144)="NA;",TRIM(AB144)="NA"),0,1)</f>
        <v/>
      </c>
      <c r="DH144" s="48">
        <f>IF(OR(TRIM(AC144)="",TRIM(AC144)="NA;",TRIM(AC144)="NA"),0,1)</f>
        <v/>
      </c>
      <c r="DI144" s="48">
        <f>IF(OR(TRIM(AD144)="",TRIM(AD144)="NA;",TRIM(AD144)="NA"),0,1)</f>
        <v/>
      </c>
      <c r="DJ144" s="48">
        <f>TRIM(IF(DC144=1,"Mon ","")&amp;IF(DD144=1,"Tue ","")&amp;IF(DE144=1,"Wed ","")&amp;IF(DF144=1,"Thu ","")&amp;IF(DG144=1,"Fri ","")&amp;IF(DH144=1,"Sat ","")&amp;IF(DI144=1,"Sun ",""))</f>
        <v/>
      </c>
    </row>
    <row r="145">
      <c r="A145" s="48" t="inlineStr">
        <is>
          <t>S-O-00043</t>
        </is>
      </c>
      <c r="B145" s="48" t="inlineStr">
        <is>
          <t>Iryna Green</t>
        </is>
      </c>
      <c r="C145" s="48" t="inlineStr">
        <is>
          <t>iryna.green43@example.com</t>
        </is>
      </c>
      <c r="D145" s="48" t="inlineStr">
        <is>
          <t>+61 411 190 203</t>
        </is>
      </c>
      <c r="E145" s="48" t="inlineStr">
        <is>
          <t>Hala Ali</t>
        </is>
      </c>
      <c r="F145" s="48" t="inlineStr">
        <is>
          <t>+61 411 747 391</t>
        </is>
      </c>
      <c r="G145" s="48" t="inlineStr">
        <is>
          <t>Friend</t>
        </is>
      </c>
      <c r="H145" s="48" t="inlineStr">
        <is>
          <t>Student</t>
        </is>
      </c>
      <c r="I145" s="49" t="n">
        <v>45584</v>
      </c>
      <c r="J145" s="48" t="inlineStr">
        <is>
          <t>ADM-ACT-MAT-CE</t>
        </is>
      </c>
      <c r="K145" s="48">
        <f>IFERROR(VLOOKUP(J145,'(A) Introduction'!$B$35:$C$45,2,FALSE),"")</f>
        <v/>
      </c>
      <c r="L145" s="48" t="inlineStr">
        <is>
          <t>No</t>
        </is>
      </c>
      <c r="M145" s="49" t="n">
        <v>45698</v>
      </c>
      <c r="N145" s="48" t="inlineStr"/>
      <c r="O145" s="48" t="inlineStr">
        <is>
          <t>NA</t>
        </is>
      </c>
      <c r="P145" s="48">
        <f>IF($H145="Tutor",((BQ145&lt;&gt;"")*(BR145=""))+((BW145&lt;&gt;"")*(BX145=""))+((CC145&lt;&gt;"")*(CD145=""))+((CI145&lt;&gt;"")*(CJ145=""))+((CO145&lt;&gt;"")*(CP145="")),SUMPRODUCT(--($BO$3:$BO$202=$A145),--($BR$3:$BR$202=""))+SUMPRODUCT(--($BU$3:$BU$202=$A145),--($BX$3:$BX$202=""))+SUMPRODUCT(--($CA$3:$CA$202=$A145),--($CD$3:$CD$202=""))+SUMPRODUCT(--($CG$3:$CG$202=$A145),--($CJ$3:$CJ$202=""))+SUMPRODUCT(--($CM$3:$CM$202=$A145),--($CP$3:$CP$202="")))</f>
        <v/>
      </c>
      <c r="Q145" s="48">
        <f>IF($H145="Tutor",(BQ145&lt;&gt;"")+(BW145&lt;&gt;"")+(CC145&lt;&gt;"")+(CI145&lt;&gt;"")+(CO145&lt;&gt;""),SUMPRODUCT(--($BO$3:$BO$202=$A145))+SUMPRODUCT(--($BU$3:$BU$202=$A145))+SUMPRODUCT(--($CA$3:$CA$202=$A145))+SUMPRODUCT(--($CG$3:$CG$202=$A145))+SUMPRODUCT(--($CM$3:$CM$202=$A145)))</f>
        <v/>
      </c>
      <c r="R145" s="48">
        <f>IF($H145="Tutor",TRIM(IF(AND(BQ145&lt;&gt;"",BR145=""),BP145&amp;"; ","")&amp;IF(AND(BW145&lt;&gt;"",BX145=""),BV145&amp;"; ","")&amp;IF(AND(CC145&lt;&gt;"",CD145=""),CB145&amp;"; ","")&amp;IF(AND(CI145&lt;&gt;"",CJ145=""),CH145&amp;"; ","")&amp;IF(AND(CO145&lt;&gt;"",CP145=""),CN145&amp;"; ","")),IFERROR(INDEX($A$3:$B$202,(SUMPRODUCT(($BO$3:$BO$202=$A145)*($BR$3:$BR$202="")*ROW($BO$3:$BO$202))+SUMPRODUCT(($BU$3:$BU$202=$A145)*($BX$3:$BX$202="")*ROW($BU$3:$BU$202))+SUMPRODUCT(($CA$3:$CA$202=$A145)*($CD$3:$CD$202="")*ROW($CA$3:$CA$202))+SUMPRODUCT(($CG$3:$CG$202=$A145)*($CJ$3:$CJ$202="")*ROW($CG$3:$CG$202))+SUMPRODUCT(($CM$3:$CM$202=$A145)*($CP$3:$CP$202="")*ROW($CM$3:$CM$202)))-2,2),""))</f>
        <v/>
      </c>
      <c r="S145" s="48" t="inlineStr">
        <is>
          <t>Not Provided</t>
        </is>
      </c>
      <c r="T145" s="48" t="inlineStr"/>
      <c r="U145" s="48" t="inlineStr"/>
      <c r="V145" s="49" t="n">
        <v>46204</v>
      </c>
      <c r="W145" s="48" t="inlineStr">
        <is>
          <t>ACST (UTC+9:30)</t>
        </is>
      </c>
      <c r="X145" s="48" t="inlineStr">
        <is>
          <t>NA;</t>
        </is>
      </c>
      <c r="Y145" s="48" t="inlineStr">
        <is>
          <t>NA;</t>
        </is>
      </c>
      <c r="Z145" s="48" t="inlineStr">
        <is>
          <t>12pm-3pm;</t>
        </is>
      </c>
      <c r="AA145" s="48" t="inlineStr">
        <is>
          <t>9am-12pm;12pm-3pm;3pm-6pm;</t>
        </is>
      </c>
      <c r="AB145" s="48" t="inlineStr">
        <is>
          <t>3pm-6pm;</t>
        </is>
      </c>
      <c r="AC145" s="48" t="inlineStr">
        <is>
          <t>6am-9am;9am-12pm;</t>
        </is>
      </c>
      <c r="AD145" s="48" t="inlineStr">
        <is>
          <t>6pm-9pm;</t>
        </is>
      </c>
      <c r="AE145" s="48" t="inlineStr">
        <is>
          <t>In-Person</t>
        </is>
      </c>
      <c r="AF145" s="48" t="inlineStr">
        <is>
          <t>Phone</t>
        </is>
      </c>
      <c r="AG145" s="48" t="inlineStr">
        <is>
          <t>Australia</t>
        </is>
      </c>
      <c r="AH145" s="48" t="inlineStr">
        <is>
          <t>Victoria</t>
        </is>
      </c>
      <c r="AI145" s="48" t="inlineStr">
        <is>
          <t>Sunshine</t>
        </is>
      </c>
      <c r="AJ145" s="48" t="inlineStr">
        <is>
          <t>3020</t>
        </is>
      </c>
      <c r="AK145" s="49" t="n">
        <v>22948</v>
      </c>
      <c r="AL145" s="48" t="inlineStr">
        <is>
          <t>Male</t>
        </is>
      </c>
      <c r="AM145" s="48" t="inlineStr">
        <is>
          <t>No</t>
        </is>
      </c>
      <c r="AN145" s="48" t="inlineStr">
        <is>
          <t>B1</t>
        </is>
      </c>
      <c r="AO145" s="48" t="inlineStr">
        <is>
          <t>High</t>
        </is>
      </c>
      <c r="AP145" s="48" t="inlineStr">
        <is>
          <t>Eritrea</t>
        </is>
      </c>
      <c r="AQ145" s="48" t="inlineStr">
        <is>
          <t>NA</t>
        </is>
      </c>
      <c r="AR145" s="48" t="inlineStr">
        <is>
          <t>Somali (C1)</t>
        </is>
      </c>
      <c r="AS145" s="48" t="inlineStr">
        <is>
          <t>None</t>
        </is>
      </c>
      <c r="AT145" s="48" t="inlineStr">
        <is>
          <t>Other / Unspecified</t>
        </is>
      </c>
      <c r="AU145" s="48" t="inlineStr">
        <is>
          <t>Engineer</t>
        </is>
      </c>
      <c r="AV145" s="48" t="inlineStr">
        <is>
          <t>Child Care</t>
        </is>
      </c>
      <c r="AW145" s="48" t="inlineStr">
        <is>
          <t>Language learning; Self-development</t>
        </is>
      </c>
      <c r="AX145" s="48" t="inlineStr">
        <is>
          <t>Asylum Seeker</t>
        </is>
      </c>
      <c r="AY145" s="48" t="inlineStr">
        <is>
          <t>Yes</t>
        </is>
      </c>
      <c r="AZ145" s="48" t="inlineStr">
        <is>
          <t>No</t>
        </is>
      </c>
      <c r="BA145" s="48" t="inlineStr">
        <is>
          <t>NA</t>
        </is>
      </c>
      <c r="BB145" s="48" t="inlineStr">
        <is>
          <t>NA</t>
        </is>
      </c>
      <c r="BC145" s="48" t="inlineStr">
        <is>
          <t>NA</t>
        </is>
      </c>
      <c r="BD145" s="48" t="inlineStr">
        <is>
          <t>NA</t>
        </is>
      </c>
      <c r="BE145" s="48" t="inlineStr"/>
      <c r="BF145" s="48" t="inlineStr"/>
      <c r="BG145" s="48" t="inlineStr">
        <is>
          <t>NA</t>
        </is>
      </c>
      <c r="BH145" s="48" t="inlineStr">
        <is>
          <t>NA - Student</t>
        </is>
      </c>
      <c r="BI145" s="48" t="inlineStr">
        <is>
          <t>Kaldor Centre for International Refugee Law</t>
        </is>
      </c>
      <c r="BJ145" s="48" t="inlineStr">
        <is>
          <t>HALLORAN Isobel</t>
        </is>
      </c>
      <c r="BK145" s="48" t="inlineStr">
        <is>
          <t>MCCLELLAND Reeve</t>
        </is>
      </c>
      <c r="BL145" s="48" t="inlineStr">
        <is>
          <t>Synthetic test record.</t>
        </is>
      </c>
      <c r="BM145" s="48" t="inlineStr"/>
      <c r="BN145" s="48">
        <f>TRIM(IF(AND($H145="Student",$J145="ADM-ACT-MAT-CNE"),"Invalid: Student cannot be CNE. ","")&amp;IF(AND($H145="Student",ISNUMBER($O145)),"Check: capacity set for a Student. ","")&amp;IF(AND(LEFT($J145,11)="ADM-ACT-MAT",$P145=0),"Check: matched status but 0 active pairings. ","")&amp;IF(AND($H145="Tutor",ISNUMBER($O145),$P145&gt;$O145),"Check: pairings exceed capacity. ","")&amp;IF(AND($BH145="Everyone",NOT(AND($BD145="Yes",$BG145="Yes"))),"Check: approved to tutor children but WWCC not provided/confirmed. ","")&amp;IF(AND($P145&gt;0,NOT(AND(OR(LEFT($AY145,3)="Yes",LEFT($AY145,2)="NA"),OR(LEFT($AZ145,3)="Yes",LEFT($AZ145,2)="NA")))),"Matched but vetting incomplete (interview/reference). ","")&amp;IF(COUNTIF($B$3:$B$600,$B145)&gt;1,"Duplicate participant name. ",""))</f>
        <v/>
      </c>
      <c r="BO145" s="48" t="inlineStr"/>
      <c r="BP145" s="48" t="inlineStr"/>
      <c r="BQ145" s="48" t="inlineStr"/>
      <c r="BR145" s="48" t="inlineStr"/>
      <c r="BS145" s="48" t="inlineStr"/>
      <c r="BT145" s="48" t="inlineStr"/>
      <c r="BU145" s="48" t="inlineStr"/>
      <c r="BV145" s="48" t="inlineStr"/>
      <c r="BW145" s="48" t="inlineStr"/>
      <c r="BX145" s="48" t="inlineStr"/>
      <c r="BY145" s="48" t="inlineStr"/>
      <c r="BZ145" s="48" t="inlineStr"/>
      <c r="CA145" s="48" t="inlineStr"/>
      <c r="CB145" s="48" t="inlineStr"/>
      <c r="CC145" s="48" t="inlineStr"/>
      <c r="CD145" s="48" t="inlineStr"/>
      <c r="CE145" s="48" t="inlineStr"/>
      <c r="CF145" s="48" t="inlineStr"/>
      <c r="CG145" s="48" t="inlineStr"/>
      <c r="CH145" s="48" t="inlineStr"/>
      <c r="CI145" s="48" t="inlineStr"/>
      <c r="CJ145" s="48" t="inlineStr"/>
      <c r="CK145" s="48" t="inlineStr"/>
      <c r="CL145" s="48" t="inlineStr"/>
      <c r="CM145" s="48" t="inlineStr"/>
      <c r="CN145" s="48" t="inlineStr"/>
      <c r="CO145" s="48" t="inlineStr"/>
      <c r="CP145" s="48" t="inlineStr"/>
      <c r="CQ145" s="48" t="inlineStr"/>
      <c r="CR145" s="48" t="inlineStr"/>
      <c r="CS145" s="48">
        <f>IF(LEFT($J145,3)="ERR",0,1)</f>
        <v/>
      </c>
      <c r="CT145" s="48">
        <f>IF(LEFT($J145,3)="ADM",1,0)</f>
        <v/>
      </c>
      <c r="CU145" s="48">
        <f>IF(OR($J145="ADM-ACT-MAT-CNE",$J145="ADM-ACT-MAT-CE",$J145="ADM-INACT-M&amp;T"),1,0)</f>
        <v/>
      </c>
      <c r="CV145" s="48">
        <f>IF(AND(CU145=1,ISNUMBER(M145),ISNUMBER(I145)),M145-I145,"")</f>
        <v/>
      </c>
      <c r="CW145" s="48">
        <f>IF(ISNUMBER(I145),TODAY()-I145,"")</f>
        <v/>
      </c>
      <c r="CX145" s="48">
        <f>IF(ISNUMBER(I145),DATE(YEAR(I145),MONTH(I145),1),"")</f>
        <v/>
      </c>
      <c r="CY145" s="48">
        <f>IFERROR(DATEDIF(AK145,TODAY(),"y"),"")</f>
        <v/>
      </c>
      <c r="CZ145" s="48">
        <f>IF(CY145="","",IF(CY145&lt;28,"18-27",IF(CY145&lt;38,"28-37",IF(CY145&lt;48,"38-47",IF(CY145&lt;58,"48-57",IF(CY145&lt;68,"58-67",IF(CY145&lt;78,"68-77","78+")))))) </f>
        <v/>
      </c>
      <c r="DA145" s="48">
        <f>IF(AND(BQ145&lt;&gt;"",BR145=""),N(BS145),0)+IF(AND(BW145&lt;&gt;"",BX145=""),N(BY145),0)+IF(AND(CC145&lt;&gt;"",CD145=""),N(CE145),0)+IF(AND(CI145&lt;&gt;"",CJ145=""),N(CK145),0)+IF(AND(CO145&lt;&gt;"",CP145=""),N(CQ145),0)</f>
        <v/>
      </c>
      <c r="DB145" s="48">
        <f>ROUND(IF(BQ145&lt;&gt;"",N(BS145)*MAX(0,((IF(BR145="",TODAY(),BR145))-BQ145)/7),0)+IF(BW145&lt;&gt;"",N(BY145)*MAX(0,((IF(BX145="",TODAY(),BX145))-BW145)/7),0)+IF(CC145&lt;&gt;"",N(CE145)*MAX(0,((IF(CD145="",TODAY(),CD145))-CC145)/7),0)+IF(CI145&lt;&gt;"",N(CK145)*MAX(0,((IF(CJ145="",TODAY(),CJ145))-CI145)/7),0)+IF(CO145&lt;&gt;"",N(CQ145)*MAX(0,((IF(CP145="",TODAY(),CP145))-CO145)/7),0),1)</f>
        <v/>
      </c>
      <c r="DC145" s="48">
        <f>IF(OR(TRIM(X145)="",TRIM(X145)="NA;",TRIM(X145)="NA"),0,1)</f>
        <v/>
      </c>
      <c r="DD145" s="48">
        <f>IF(OR(TRIM(Y145)="",TRIM(Y145)="NA;",TRIM(Y145)="NA"),0,1)</f>
        <v/>
      </c>
      <c r="DE145" s="48">
        <f>IF(OR(TRIM(Z145)="",TRIM(Z145)="NA;",TRIM(Z145)="NA"),0,1)</f>
        <v/>
      </c>
      <c r="DF145" s="48">
        <f>IF(OR(TRIM(AA145)="",TRIM(AA145)="NA;",TRIM(AA145)="NA"),0,1)</f>
        <v/>
      </c>
      <c r="DG145" s="48">
        <f>IF(OR(TRIM(AB145)="",TRIM(AB145)="NA;",TRIM(AB145)="NA"),0,1)</f>
        <v/>
      </c>
      <c r="DH145" s="48">
        <f>IF(OR(TRIM(AC145)="",TRIM(AC145)="NA;",TRIM(AC145)="NA"),0,1)</f>
        <v/>
      </c>
      <c r="DI145" s="48">
        <f>IF(OR(TRIM(AD145)="",TRIM(AD145)="NA;",TRIM(AD145)="NA"),0,1)</f>
        <v/>
      </c>
      <c r="DJ145" s="48">
        <f>TRIM(IF(DC145=1,"Mon ","")&amp;IF(DD145=1,"Tue ","")&amp;IF(DE145=1,"Wed ","")&amp;IF(DF145=1,"Thu ","")&amp;IF(DG145=1,"Fri ","")&amp;IF(DH145=1,"Sat ","")&amp;IF(DI145=1,"Sun ",""))</f>
        <v/>
      </c>
    </row>
    <row r="146">
      <c r="A146" s="48" t="inlineStr">
        <is>
          <t>S-O-00044</t>
        </is>
      </c>
      <c r="B146" s="48" t="inlineStr">
        <is>
          <t>Mark Baker</t>
        </is>
      </c>
      <c r="C146" s="48" t="inlineStr">
        <is>
          <t>mark.baker44@example.com</t>
        </is>
      </c>
      <c r="D146" s="48" t="inlineStr">
        <is>
          <t>+61 453 246 586</t>
        </is>
      </c>
      <c r="E146" s="48" t="inlineStr">
        <is>
          <t>Ava Marks</t>
        </is>
      </c>
      <c r="F146" s="48" t="inlineStr">
        <is>
          <t>+61 452 984 421</t>
        </is>
      </c>
      <c r="G146" s="48" t="inlineStr">
        <is>
          <t>Sibling</t>
        </is>
      </c>
      <c r="H146" s="48" t="inlineStr">
        <is>
          <t>Student</t>
        </is>
      </c>
      <c r="I146" s="49" t="n">
        <v>45585</v>
      </c>
      <c r="J146" s="48" t="inlineStr">
        <is>
          <t>ADM-ACT-UNMAT</t>
        </is>
      </c>
      <c r="K146" s="48">
        <f>IFERROR(VLOOKUP(J146,'(A) Introduction'!$B$35:$C$45,2,FALSE),"")</f>
        <v/>
      </c>
      <c r="L146" s="48" t="inlineStr">
        <is>
          <t>No</t>
        </is>
      </c>
      <c r="M146" s="48" t="inlineStr"/>
      <c r="N146" s="48" t="inlineStr"/>
      <c r="O146" s="48" t="inlineStr">
        <is>
          <t>NA</t>
        </is>
      </c>
      <c r="P146" s="48">
        <f>IF($H146="Tutor",((BQ146&lt;&gt;"")*(BR146=""))+((BW146&lt;&gt;"")*(BX146=""))+((CC146&lt;&gt;"")*(CD146=""))+((CI146&lt;&gt;"")*(CJ146=""))+((CO146&lt;&gt;"")*(CP146="")),SUMPRODUCT(--($BO$3:$BO$202=$A146),--($BR$3:$BR$202=""))+SUMPRODUCT(--($BU$3:$BU$202=$A146),--($BX$3:$BX$202=""))+SUMPRODUCT(--($CA$3:$CA$202=$A146),--($CD$3:$CD$202=""))+SUMPRODUCT(--($CG$3:$CG$202=$A146),--($CJ$3:$CJ$202=""))+SUMPRODUCT(--($CM$3:$CM$202=$A146),--($CP$3:$CP$202="")))</f>
        <v/>
      </c>
      <c r="Q146" s="48">
        <f>IF($H146="Tutor",(BQ146&lt;&gt;"")+(BW146&lt;&gt;"")+(CC146&lt;&gt;"")+(CI146&lt;&gt;"")+(CO146&lt;&gt;""),SUMPRODUCT(--($BO$3:$BO$202=$A146))+SUMPRODUCT(--($BU$3:$BU$202=$A146))+SUMPRODUCT(--($CA$3:$CA$202=$A146))+SUMPRODUCT(--($CG$3:$CG$202=$A146))+SUMPRODUCT(--($CM$3:$CM$202=$A146)))</f>
        <v/>
      </c>
      <c r="R146" s="48">
        <f>IF($H146="Tutor",TRIM(IF(AND(BQ146&lt;&gt;"",BR146=""),BP146&amp;"; ","")&amp;IF(AND(BW146&lt;&gt;"",BX146=""),BV146&amp;"; ","")&amp;IF(AND(CC146&lt;&gt;"",CD146=""),CB146&amp;"; ","")&amp;IF(AND(CI146&lt;&gt;"",CJ146=""),CH146&amp;"; ","")&amp;IF(AND(CO146&lt;&gt;"",CP146=""),CN146&amp;"; ","")),IFERROR(INDEX($A$3:$B$202,(SUMPRODUCT(($BO$3:$BO$202=$A146)*($BR$3:$BR$202="")*ROW($BO$3:$BO$202))+SUMPRODUCT(($BU$3:$BU$202=$A146)*($BX$3:$BX$202="")*ROW($BU$3:$BU$202))+SUMPRODUCT(($CA$3:$CA$202=$A146)*($CD$3:$CD$202="")*ROW($CA$3:$CA$202))+SUMPRODUCT(($CG$3:$CG$202=$A146)*($CJ$3:$CJ$202="")*ROW($CG$3:$CG$202))+SUMPRODUCT(($CM$3:$CM$202=$A146)*($CP$3:$CP$202="")*ROW($CM$3:$CM$202)))-2,2),""))</f>
        <v/>
      </c>
      <c r="S146" s="48" t="inlineStr">
        <is>
          <t>Not Provided</t>
        </is>
      </c>
      <c r="T146" s="48" t="inlineStr"/>
      <c r="U146" s="48" t="inlineStr"/>
      <c r="V146" s="49" t="n">
        <v>45921</v>
      </c>
      <c r="W146" s="48" t="inlineStr">
        <is>
          <t>AEST (UTC+10)</t>
        </is>
      </c>
      <c r="X146" s="48" t="inlineStr">
        <is>
          <t>6am-9am;9am-12pm;</t>
        </is>
      </c>
      <c r="Y146" s="48" t="inlineStr">
        <is>
          <t>6pm-9pm;</t>
        </is>
      </c>
      <c r="Z146" s="48" t="inlineStr">
        <is>
          <t>9am-12pm;12pm-3pm;3pm-6pm;</t>
        </is>
      </c>
      <c r="AA146" s="48" t="inlineStr">
        <is>
          <t>9am-12pm;</t>
        </is>
      </c>
      <c r="AB146" s="48" t="inlineStr">
        <is>
          <t>12pm-3pm;</t>
        </is>
      </c>
      <c r="AC146" s="48" t="inlineStr">
        <is>
          <t>9am-12pm;</t>
        </is>
      </c>
      <c r="AD146" s="48" t="inlineStr">
        <is>
          <t>9am-12pm;12pm-3pm;3pm-6pm;</t>
        </is>
      </c>
      <c r="AE146" s="48" t="inlineStr">
        <is>
          <t>Either</t>
        </is>
      </c>
      <c r="AF146" s="48" t="inlineStr">
        <is>
          <t>Phone</t>
        </is>
      </c>
      <c r="AG146" s="48" t="inlineStr">
        <is>
          <t>Australia</t>
        </is>
      </c>
      <c r="AH146" s="48" t="inlineStr">
        <is>
          <t>New South Wales</t>
        </is>
      </c>
      <c r="AI146" s="48" t="inlineStr">
        <is>
          <t>Eastlakes</t>
        </is>
      </c>
      <c r="AJ146" s="48" t="inlineStr">
        <is>
          <t>2018</t>
        </is>
      </c>
      <c r="AK146" s="49" t="n">
        <v>36779</v>
      </c>
      <c r="AL146" s="48" t="inlineStr">
        <is>
          <t>Female</t>
        </is>
      </c>
      <c r="AM146" s="48" t="inlineStr">
        <is>
          <t>No</t>
        </is>
      </c>
      <c r="AN146" s="48" t="inlineStr">
        <is>
          <t>A2</t>
        </is>
      </c>
      <c r="AO146" s="48" t="inlineStr">
        <is>
          <t>Outstanding</t>
        </is>
      </c>
      <c r="AP146" s="48" t="inlineStr">
        <is>
          <t>Bangladesh</t>
        </is>
      </c>
      <c r="AQ146" s="48" t="inlineStr">
        <is>
          <t>NA</t>
        </is>
      </c>
      <c r="AR146" s="48" t="inlineStr">
        <is>
          <t>Pashto (B2)</t>
        </is>
      </c>
      <c r="AS146" s="48" t="inlineStr">
        <is>
          <t>Christian (Catholic)</t>
        </is>
      </c>
      <c r="AT146" s="48" t="inlineStr">
        <is>
          <t>Hospitality &amp; Retail</t>
        </is>
      </c>
      <c r="AU146" s="48" t="inlineStr">
        <is>
          <t>Teacher</t>
        </is>
      </c>
      <c r="AV146" s="48" t="inlineStr">
        <is>
          <t>Construction</t>
        </is>
      </c>
      <c r="AW146" s="48" t="inlineStr">
        <is>
          <t>Football; Cooking; Family</t>
        </is>
      </c>
      <c r="AX146" s="48" t="inlineStr">
        <is>
          <t>Refugee</t>
        </is>
      </c>
      <c r="AY146" s="48" t="inlineStr">
        <is>
          <t>Yes</t>
        </is>
      </c>
      <c r="AZ146" s="48" t="inlineStr">
        <is>
          <t>No</t>
        </is>
      </c>
      <c r="BA146" s="48" t="inlineStr">
        <is>
          <t>NA</t>
        </is>
      </c>
      <c r="BB146" s="48" t="inlineStr">
        <is>
          <t>NA</t>
        </is>
      </c>
      <c r="BC146" s="48" t="inlineStr">
        <is>
          <t>NA</t>
        </is>
      </c>
      <c r="BD146" s="48" t="inlineStr">
        <is>
          <t>NA</t>
        </is>
      </c>
      <c r="BE146" s="48" t="inlineStr"/>
      <c r="BF146" s="48" t="inlineStr"/>
      <c r="BG146" s="48" t="inlineStr">
        <is>
          <t>NA</t>
        </is>
      </c>
      <c r="BH146" s="48" t="inlineStr">
        <is>
          <t>NA - Student</t>
        </is>
      </c>
      <c r="BI146" s="48" t="inlineStr">
        <is>
          <t>CareerSeekers</t>
        </is>
      </c>
      <c r="BJ146" s="48" t="inlineStr">
        <is>
          <t>ZULMAN Levi</t>
        </is>
      </c>
      <c r="BK146" s="48" t="inlineStr">
        <is>
          <t>AGARWAL Akanksha</t>
        </is>
      </c>
      <c r="BL146" s="48" t="inlineStr">
        <is>
          <t>Synthetic test record.</t>
        </is>
      </c>
      <c r="BM146" s="48" t="inlineStr"/>
      <c r="BN146" s="48">
        <f>TRIM(IF(AND($H146="Student",$J146="ADM-ACT-MAT-CNE"),"Invalid: Student cannot be CNE. ","")&amp;IF(AND($H146="Student",ISNUMBER($O146)),"Check: capacity set for a Student. ","")&amp;IF(AND(LEFT($J146,11)="ADM-ACT-MAT",$P146=0),"Check: matched status but 0 active pairings. ","")&amp;IF(AND($H146="Tutor",ISNUMBER($O146),$P146&gt;$O146),"Check: pairings exceed capacity. ","")&amp;IF(AND($BH146="Everyone",NOT(AND($BD146="Yes",$BG146="Yes"))),"Check: approved to tutor children but WWCC not provided/confirmed. ","")&amp;IF(AND($P146&gt;0,NOT(AND(OR(LEFT($AY146,3)="Yes",LEFT($AY146,2)="NA"),OR(LEFT($AZ146,3)="Yes",LEFT($AZ146,2)="NA")))),"Matched but vetting incomplete (interview/reference). ","")&amp;IF(COUNTIF($B$3:$B$600,$B146)&gt;1,"Duplicate participant name. ",""))</f>
        <v/>
      </c>
      <c r="BO146" s="48" t="inlineStr"/>
      <c r="BP146" s="48" t="inlineStr"/>
      <c r="BQ146" s="48" t="inlineStr"/>
      <c r="BR146" s="48" t="inlineStr"/>
      <c r="BS146" s="48" t="inlineStr"/>
      <c r="BT146" s="48" t="inlineStr"/>
      <c r="BU146" s="48" t="inlineStr"/>
      <c r="BV146" s="48" t="inlineStr"/>
      <c r="BW146" s="48" t="inlineStr"/>
      <c r="BX146" s="48" t="inlineStr"/>
      <c r="BY146" s="48" t="inlineStr"/>
      <c r="BZ146" s="48" t="inlineStr"/>
      <c r="CA146" s="48" t="inlineStr"/>
      <c r="CB146" s="48" t="inlineStr"/>
      <c r="CC146" s="48" t="inlineStr"/>
      <c r="CD146" s="48" t="inlineStr"/>
      <c r="CE146" s="48" t="inlineStr"/>
      <c r="CF146" s="48" t="inlineStr"/>
      <c r="CG146" s="48" t="inlineStr"/>
      <c r="CH146" s="48" t="inlineStr"/>
      <c r="CI146" s="48" t="inlineStr"/>
      <c r="CJ146" s="48" t="inlineStr"/>
      <c r="CK146" s="48" t="inlineStr"/>
      <c r="CL146" s="48" t="inlineStr"/>
      <c r="CM146" s="48" t="inlineStr"/>
      <c r="CN146" s="48" t="inlineStr"/>
      <c r="CO146" s="48" t="inlineStr"/>
      <c r="CP146" s="48" t="inlineStr"/>
      <c r="CQ146" s="48" t="inlineStr"/>
      <c r="CR146" s="48" t="inlineStr"/>
      <c r="CS146" s="48">
        <f>IF(LEFT($J146,3)="ERR",0,1)</f>
        <v/>
      </c>
      <c r="CT146" s="48">
        <f>IF(LEFT($J146,3)="ADM",1,0)</f>
        <v/>
      </c>
      <c r="CU146" s="48">
        <f>IF(OR($J146="ADM-ACT-MAT-CNE",$J146="ADM-ACT-MAT-CE",$J146="ADM-INACT-M&amp;T"),1,0)</f>
        <v/>
      </c>
      <c r="CV146" s="48">
        <f>IF(AND(CU146=1,ISNUMBER(M146),ISNUMBER(I146)),M146-I146,"")</f>
        <v/>
      </c>
      <c r="CW146" s="48">
        <f>IF(ISNUMBER(I146),TODAY()-I146,"")</f>
        <v/>
      </c>
      <c r="CX146" s="48">
        <f>IF(ISNUMBER(I146),DATE(YEAR(I146),MONTH(I146),1),"")</f>
        <v/>
      </c>
      <c r="CY146" s="48">
        <f>IFERROR(DATEDIF(AK146,TODAY(),"y"),"")</f>
        <v/>
      </c>
      <c r="CZ146" s="48">
        <f>IF(CY146="","",IF(CY146&lt;28,"18-27",IF(CY146&lt;38,"28-37",IF(CY146&lt;48,"38-47",IF(CY146&lt;58,"48-57",IF(CY146&lt;68,"58-67",IF(CY146&lt;78,"68-77","78+")))))) </f>
        <v/>
      </c>
      <c r="DA146" s="48">
        <f>IF(AND(BQ146&lt;&gt;"",BR146=""),N(BS146),0)+IF(AND(BW146&lt;&gt;"",BX146=""),N(BY146),0)+IF(AND(CC146&lt;&gt;"",CD146=""),N(CE146),0)+IF(AND(CI146&lt;&gt;"",CJ146=""),N(CK146),0)+IF(AND(CO146&lt;&gt;"",CP146=""),N(CQ146),0)</f>
        <v/>
      </c>
      <c r="DB146" s="48">
        <f>ROUND(IF(BQ146&lt;&gt;"",N(BS146)*MAX(0,((IF(BR146="",TODAY(),BR146))-BQ146)/7),0)+IF(BW146&lt;&gt;"",N(BY146)*MAX(0,((IF(BX146="",TODAY(),BX146))-BW146)/7),0)+IF(CC146&lt;&gt;"",N(CE146)*MAX(0,((IF(CD146="",TODAY(),CD146))-CC146)/7),0)+IF(CI146&lt;&gt;"",N(CK146)*MAX(0,((IF(CJ146="",TODAY(),CJ146))-CI146)/7),0)+IF(CO146&lt;&gt;"",N(CQ146)*MAX(0,((IF(CP146="",TODAY(),CP146))-CO146)/7),0),1)</f>
        <v/>
      </c>
      <c r="DC146" s="48">
        <f>IF(OR(TRIM(X146)="",TRIM(X146)="NA;",TRIM(X146)="NA"),0,1)</f>
        <v/>
      </c>
      <c r="DD146" s="48">
        <f>IF(OR(TRIM(Y146)="",TRIM(Y146)="NA;",TRIM(Y146)="NA"),0,1)</f>
        <v/>
      </c>
      <c r="DE146" s="48">
        <f>IF(OR(TRIM(Z146)="",TRIM(Z146)="NA;",TRIM(Z146)="NA"),0,1)</f>
        <v/>
      </c>
      <c r="DF146" s="48">
        <f>IF(OR(TRIM(AA146)="",TRIM(AA146)="NA;",TRIM(AA146)="NA"),0,1)</f>
        <v/>
      </c>
      <c r="DG146" s="48">
        <f>IF(OR(TRIM(AB146)="",TRIM(AB146)="NA;",TRIM(AB146)="NA"),0,1)</f>
        <v/>
      </c>
      <c r="DH146" s="48">
        <f>IF(OR(TRIM(AC146)="",TRIM(AC146)="NA;",TRIM(AC146)="NA"),0,1)</f>
        <v/>
      </c>
      <c r="DI146" s="48">
        <f>IF(OR(TRIM(AD146)="",TRIM(AD146)="NA;",TRIM(AD146)="NA"),0,1)</f>
        <v/>
      </c>
      <c r="DJ146" s="48">
        <f>TRIM(IF(DC146=1,"Mon ","")&amp;IF(DD146=1,"Tue ","")&amp;IF(DE146=1,"Wed ","")&amp;IF(DF146=1,"Thu ","")&amp;IF(DG146=1,"Fri ","")&amp;IF(DH146=1,"Sat ","")&amp;IF(DI146=1,"Sun ",""))</f>
        <v/>
      </c>
    </row>
    <row r="147">
      <c r="A147" s="48" t="inlineStr">
        <is>
          <t>S-O-00045</t>
        </is>
      </c>
      <c r="B147" s="48" t="inlineStr">
        <is>
          <t>Bilal Ng</t>
        </is>
      </c>
      <c r="C147" s="48" t="inlineStr">
        <is>
          <t>bilal.ng45@example.com</t>
        </is>
      </c>
      <c r="D147" s="48" t="inlineStr">
        <is>
          <t>+61 499 192 109</t>
        </is>
      </c>
      <c r="E147" s="48" t="inlineStr">
        <is>
          <t>Elena Ibrahim</t>
        </is>
      </c>
      <c r="F147" s="48" t="inlineStr">
        <is>
          <t>+61 408 181 949</t>
        </is>
      </c>
      <c r="G147" s="48" t="inlineStr">
        <is>
          <t>Adult Child</t>
        </is>
      </c>
      <c r="H147" s="48" t="inlineStr">
        <is>
          <t>Student</t>
        </is>
      </c>
      <c r="I147" s="49" t="n">
        <v>45611</v>
      </c>
      <c r="J147" s="48" t="inlineStr">
        <is>
          <t>NADM-REJ-UNSUIT</t>
        </is>
      </c>
      <c r="K147" s="48">
        <f>IFERROR(VLOOKUP(J147,'(A) Introduction'!$B$35:$C$45,2,FALSE),"")</f>
        <v/>
      </c>
      <c r="L147" s="48" t="inlineStr">
        <is>
          <t>Yes - see ''Comments''</t>
        </is>
      </c>
      <c r="M147" s="48" t="inlineStr"/>
      <c r="N147" s="48" t="inlineStr"/>
      <c r="O147" s="48" t="inlineStr">
        <is>
          <t>NA</t>
        </is>
      </c>
      <c r="P147" s="48">
        <f>IF($H147="Tutor",((BQ147&lt;&gt;"")*(BR147=""))+((BW147&lt;&gt;"")*(BX147=""))+((CC147&lt;&gt;"")*(CD147=""))+((CI147&lt;&gt;"")*(CJ147=""))+((CO147&lt;&gt;"")*(CP147="")),SUMPRODUCT(--($BO$3:$BO$202=$A147),--($BR$3:$BR$202=""))+SUMPRODUCT(--($BU$3:$BU$202=$A147),--($BX$3:$BX$202=""))+SUMPRODUCT(--($CA$3:$CA$202=$A147),--($CD$3:$CD$202=""))+SUMPRODUCT(--($CG$3:$CG$202=$A147),--($CJ$3:$CJ$202=""))+SUMPRODUCT(--($CM$3:$CM$202=$A147),--($CP$3:$CP$202="")))</f>
        <v/>
      </c>
      <c r="Q147" s="48">
        <f>IF($H147="Tutor",(BQ147&lt;&gt;"")+(BW147&lt;&gt;"")+(CC147&lt;&gt;"")+(CI147&lt;&gt;"")+(CO147&lt;&gt;""),SUMPRODUCT(--($BO$3:$BO$202=$A147))+SUMPRODUCT(--($BU$3:$BU$202=$A147))+SUMPRODUCT(--($CA$3:$CA$202=$A147))+SUMPRODUCT(--($CG$3:$CG$202=$A147))+SUMPRODUCT(--($CM$3:$CM$202=$A147)))</f>
        <v/>
      </c>
      <c r="R147" s="48">
        <f>IF($H147="Tutor",TRIM(IF(AND(BQ147&lt;&gt;"",BR147=""),BP147&amp;"; ","")&amp;IF(AND(BW147&lt;&gt;"",BX147=""),BV147&amp;"; ","")&amp;IF(AND(CC147&lt;&gt;"",CD147=""),CB147&amp;"; ","")&amp;IF(AND(CI147&lt;&gt;"",CJ147=""),CH147&amp;"; ","")&amp;IF(AND(CO147&lt;&gt;"",CP147=""),CN147&amp;"; ","")),IFERROR(INDEX($A$3:$B$202,(SUMPRODUCT(($BO$3:$BO$202=$A147)*($BR$3:$BR$202="")*ROW($BO$3:$BO$202))+SUMPRODUCT(($BU$3:$BU$202=$A147)*($BX$3:$BX$202="")*ROW($BU$3:$BU$202))+SUMPRODUCT(($CA$3:$CA$202=$A147)*($CD$3:$CD$202="")*ROW($CA$3:$CA$202))+SUMPRODUCT(($CG$3:$CG$202=$A147)*($CJ$3:$CJ$202="")*ROW($CG$3:$CG$202))+SUMPRODUCT(($CM$3:$CM$202=$A147)*($CP$3:$CP$202="")*ROW($CM$3:$CM$202)))-2,2),""))</f>
        <v/>
      </c>
      <c r="S147" s="48" t="inlineStr">
        <is>
          <t>Provided</t>
        </is>
      </c>
      <c r="T147" s="48" t="inlineStr"/>
      <c r="U147" s="48" t="inlineStr"/>
      <c r="V147" s="48" t="inlineStr"/>
      <c r="W147" s="48" t="inlineStr">
        <is>
          <t>AEST (UTC+10)</t>
        </is>
      </c>
      <c r="X147" s="48" t="inlineStr">
        <is>
          <t>3pm-6pm;</t>
        </is>
      </c>
      <c r="Y147" s="48" t="inlineStr">
        <is>
          <t>12pm-3pm;</t>
        </is>
      </c>
      <c r="Z147" s="48" t="inlineStr">
        <is>
          <t>12pm-3pm;</t>
        </is>
      </c>
      <c r="AA147" s="48" t="inlineStr">
        <is>
          <t>12pm-3pm;</t>
        </is>
      </c>
      <c r="AB147" s="48" t="inlineStr">
        <is>
          <t>NA;</t>
        </is>
      </c>
      <c r="AC147" s="48" t="inlineStr">
        <is>
          <t>6am-9am;9am-12pm;</t>
        </is>
      </c>
      <c r="AD147" s="48" t="inlineStr">
        <is>
          <t>6pm-9pm;</t>
        </is>
      </c>
      <c r="AE147" s="48" t="inlineStr">
        <is>
          <t>Either</t>
        </is>
      </c>
      <c r="AF147" s="48" t="inlineStr">
        <is>
          <t>Multiple devices</t>
        </is>
      </c>
      <c r="AG147" s="48" t="inlineStr">
        <is>
          <t>Australia</t>
        </is>
      </c>
      <c r="AH147" s="48" t="inlineStr">
        <is>
          <t>New South Wales</t>
        </is>
      </c>
      <c r="AI147" s="48" t="inlineStr">
        <is>
          <t>Kogarah</t>
        </is>
      </c>
      <c r="AJ147" s="48" t="inlineStr">
        <is>
          <t>2217</t>
        </is>
      </c>
      <c r="AK147" s="49" t="n">
        <v>24843</v>
      </c>
      <c r="AL147" s="48" t="inlineStr">
        <is>
          <t>Other</t>
        </is>
      </c>
      <c r="AM147" s="48" t="inlineStr">
        <is>
          <t>Yes</t>
        </is>
      </c>
      <c r="AN147" s="48" t="inlineStr">
        <is>
          <t>B1</t>
        </is>
      </c>
      <c r="AO147" s="48" t="inlineStr">
        <is>
          <t>Moderate</t>
        </is>
      </c>
      <c r="AP147" s="48" t="inlineStr">
        <is>
          <t>Pakistan</t>
        </is>
      </c>
      <c r="AQ147" s="48" t="inlineStr">
        <is>
          <t>NA</t>
        </is>
      </c>
      <c r="AR147" s="48" t="inlineStr">
        <is>
          <t>Spanish (C1)</t>
        </is>
      </c>
      <c r="AS147" s="48" t="inlineStr">
        <is>
          <t>Christian (Catholic)</t>
        </is>
      </c>
      <c r="AT147" s="48" t="inlineStr">
        <is>
          <t>Education &amp; Academia</t>
        </is>
      </c>
      <c r="AU147" s="48" t="inlineStr">
        <is>
          <t>Student</t>
        </is>
      </c>
      <c r="AV147" s="48" t="inlineStr">
        <is>
          <t>Engineering</t>
        </is>
      </c>
      <c r="AW147" s="48" t="inlineStr">
        <is>
          <t>Art; Photography; Travel</t>
        </is>
      </c>
      <c r="AX147" s="48" t="inlineStr">
        <is>
          <t>Refugee</t>
        </is>
      </c>
      <c r="AY147" s="48" t="inlineStr">
        <is>
          <t>No</t>
        </is>
      </c>
      <c r="AZ147" s="48" t="inlineStr">
        <is>
          <t>No</t>
        </is>
      </c>
      <c r="BA147" s="48" t="inlineStr">
        <is>
          <t>NA</t>
        </is>
      </c>
      <c r="BB147" s="48" t="inlineStr">
        <is>
          <t>NA</t>
        </is>
      </c>
      <c r="BC147" s="48" t="inlineStr">
        <is>
          <t>NA</t>
        </is>
      </c>
      <c r="BD147" s="48" t="inlineStr">
        <is>
          <t>NA</t>
        </is>
      </c>
      <c r="BE147" s="48" t="inlineStr"/>
      <c r="BF147" s="48" t="inlineStr"/>
      <c r="BG147" s="48" t="inlineStr">
        <is>
          <t>NA</t>
        </is>
      </c>
      <c r="BH147" s="48" t="inlineStr">
        <is>
          <t>NA - Student</t>
        </is>
      </c>
      <c r="BI147" s="48" t="inlineStr">
        <is>
          <t>Kaldor Centre for International Refugee Law</t>
        </is>
      </c>
      <c r="BJ147" s="48" t="inlineStr">
        <is>
          <t>ZULMAN Levi</t>
        </is>
      </c>
      <c r="BK147" s="48" t="inlineStr">
        <is>
          <t>THET Moh Moh</t>
        </is>
      </c>
      <c r="BL147" s="48" t="inlineStr">
        <is>
          <t>Synthetic test record. Blacklisted for testing.</t>
        </is>
      </c>
      <c r="BM147" s="48" t="inlineStr"/>
      <c r="BN147" s="48">
        <f>TRIM(IF(AND($H147="Student",$J147="ADM-ACT-MAT-CNE"),"Invalid: Student cannot be CNE. ","")&amp;IF(AND($H147="Student",ISNUMBER($O147)),"Check: capacity set for a Student. ","")&amp;IF(AND(LEFT($J147,11)="ADM-ACT-MAT",$P147=0),"Check: matched status but 0 active pairings. ","")&amp;IF(AND($H147="Tutor",ISNUMBER($O147),$P147&gt;$O147),"Check: pairings exceed capacity. ","")&amp;IF(AND($BH147="Everyone",NOT(AND($BD147="Yes",$BG147="Yes"))),"Check: approved to tutor children but WWCC not provided/confirmed. ","")&amp;IF(AND($P147&gt;0,NOT(AND(OR(LEFT($AY147,3)="Yes",LEFT($AY147,2)="NA"),OR(LEFT($AZ147,3)="Yes",LEFT($AZ147,2)="NA")))),"Matched but vetting incomplete (interview/reference). ","")&amp;IF(COUNTIF($B$3:$B$600,$B147)&gt;1,"Duplicate participant name. ",""))</f>
        <v/>
      </c>
      <c r="BO147" s="48" t="inlineStr"/>
      <c r="BP147" s="48" t="inlineStr"/>
      <c r="BQ147" s="48" t="inlineStr"/>
      <c r="BR147" s="48" t="inlineStr"/>
      <c r="BS147" s="48" t="inlineStr"/>
      <c r="BT147" s="48" t="inlineStr"/>
      <c r="BU147" s="48" t="inlineStr"/>
      <c r="BV147" s="48" t="inlineStr"/>
      <c r="BW147" s="48" t="inlineStr"/>
      <c r="BX147" s="48" t="inlineStr"/>
      <c r="BY147" s="48" t="inlineStr"/>
      <c r="BZ147" s="48" t="inlineStr"/>
      <c r="CA147" s="48" t="inlineStr"/>
      <c r="CB147" s="48" t="inlineStr"/>
      <c r="CC147" s="48" t="inlineStr"/>
      <c r="CD147" s="48" t="inlineStr"/>
      <c r="CE147" s="48" t="inlineStr"/>
      <c r="CF147" s="48" t="inlineStr"/>
      <c r="CG147" s="48" t="inlineStr"/>
      <c r="CH147" s="48" t="inlineStr"/>
      <c r="CI147" s="48" t="inlineStr"/>
      <c r="CJ147" s="48" t="inlineStr"/>
      <c r="CK147" s="48" t="inlineStr"/>
      <c r="CL147" s="48" t="inlineStr"/>
      <c r="CM147" s="48" t="inlineStr"/>
      <c r="CN147" s="48" t="inlineStr"/>
      <c r="CO147" s="48" t="inlineStr"/>
      <c r="CP147" s="48" t="inlineStr"/>
      <c r="CQ147" s="48" t="inlineStr"/>
      <c r="CR147" s="48" t="inlineStr"/>
      <c r="CS147" s="48">
        <f>IF(LEFT($J147,3)="ERR",0,1)</f>
        <v/>
      </c>
      <c r="CT147" s="48">
        <f>IF(LEFT($J147,3)="ADM",1,0)</f>
        <v/>
      </c>
      <c r="CU147" s="48">
        <f>IF(OR($J147="ADM-ACT-MAT-CNE",$J147="ADM-ACT-MAT-CE",$J147="ADM-INACT-M&amp;T"),1,0)</f>
        <v/>
      </c>
      <c r="CV147" s="48">
        <f>IF(AND(CU147=1,ISNUMBER(M147),ISNUMBER(I147)),M147-I147,"")</f>
        <v/>
      </c>
      <c r="CW147" s="48">
        <f>IF(ISNUMBER(I147),TODAY()-I147,"")</f>
        <v/>
      </c>
      <c r="CX147" s="48">
        <f>IF(ISNUMBER(I147),DATE(YEAR(I147),MONTH(I147),1),"")</f>
        <v/>
      </c>
      <c r="CY147" s="48">
        <f>IFERROR(DATEDIF(AK147,TODAY(),"y"),"")</f>
        <v/>
      </c>
      <c r="CZ147" s="48">
        <f>IF(CY147="","",IF(CY147&lt;28,"18-27",IF(CY147&lt;38,"28-37",IF(CY147&lt;48,"38-47",IF(CY147&lt;58,"48-57",IF(CY147&lt;68,"58-67",IF(CY147&lt;78,"68-77","78+")))))) </f>
        <v/>
      </c>
      <c r="DA147" s="48">
        <f>IF(AND(BQ147&lt;&gt;"",BR147=""),N(BS147),0)+IF(AND(BW147&lt;&gt;"",BX147=""),N(BY147),0)+IF(AND(CC147&lt;&gt;"",CD147=""),N(CE147),0)+IF(AND(CI147&lt;&gt;"",CJ147=""),N(CK147),0)+IF(AND(CO147&lt;&gt;"",CP147=""),N(CQ147),0)</f>
        <v/>
      </c>
      <c r="DB147" s="48">
        <f>ROUND(IF(BQ147&lt;&gt;"",N(BS147)*MAX(0,((IF(BR147="",TODAY(),BR147))-BQ147)/7),0)+IF(BW147&lt;&gt;"",N(BY147)*MAX(0,((IF(BX147="",TODAY(),BX147))-BW147)/7),0)+IF(CC147&lt;&gt;"",N(CE147)*MAX(0,((IF(CD147="",TODAY(),CD147))-CC147)/7),0)+IF(CI147&lt;&gt;"",N(CK147)*MAX(0,((IF(CJ147="",TODAY(),CJ147))-CI147)/7),0)+IF(CO147&lt;&gt;"",N(CQ147)*MAX(0,((IF(CP147="",TODAY(),CP147))-CO147)/7),0),1)</f>
        <v/>
      </c>
      <c r="DC147" s="48">
        <f>IF(OR(TRIM(X147)="",TRIM(X147)="NA;",TRIM(X147)="NA"),0,1)</f>
        <v/>
      </c>
      <c r="DD147" s="48">
        <f>IF(OR(TRIM(Y147)="",TRIM(Y147)="NA;",TRIM(Y147)="NA"),0,1)</f>
        <v/>
      </c>
      <c r="DE147" s="48">
        <f>IF(OR(TRIM(Z147)="",TRIM(Z147)="NA;",TRIM(Z147)="NA"),0,1)</f>
        <v/>
      </c>
      <c r="DF147" s="48">
        <f>IF(OR(TRIM(AA147)="",TRIM(AA147)="NA;",TRIM(AA147)="NA"),0,1)</f>
        <v/>
      </c>
      <c r="DG147" s="48">
        <f>IF(OR(TRIM(AB147)="",TRIM(AB147)="NA;",TRIM(AB147)="NA"),0,1)</f>
        <v/>
      </c>
      <c r="DH147" s="48">
        <f>IF(OR(TRIM(AC147)="",TRIM(AC147)="NA;",TRIM(AC147)="NA"),0,1)</f>
        <v/>
      </c>
      <c r="DI147" s="48">
        <f>IF(OR(TRIM(AD147)="",TRIM(AD147)="NA;",TRIM(AD147)="NA"),0,1)</f>
        <v/>
      </c>
      <c r="DJ147" s="48">
        <f>TRIM(IF(DC147=1,"Mon ","")&amp;IF(DD147=1,"Tue ","")&amp;IF(DE147=1,"Wed ","")&amp;IF(DF147=1,"Thu ","")&amp;IF(DG147=1,"Fri ","")&amp;IF(DH147=1,"Sat ","")&amp;IF(DI147=1,"Sun ",""))</f>
        <v/>
      </c>
    </row>
    <row r="148">
      <c r="A148" s="48" t="inlineStr">
        <is>
          <t>S-O-00046</t>
        </is>
      </c>
      <c r="B148" s="48" t="inlineStr">
        <is>
          <t>Tom Wilson</t>
        </is>
      </c>
      <c r="C148" s="48" t="inlineStr">
        <is>
          <t>tom.wilson46@example.com</t>
        </is>
      </c>
      <c r="D148" s="48" t="inlineStr">
        <is>
          <t>+61 458 908 252</t>
        </is>
      </c>
      <c r="E148" s="48" t="inlineStr">
        <is>
          <t>Tom Rafipour</t>
        </is>
      </c>
      <c r="F148" s="48" t="inlineStr">
        <is>
          <t>+61 488 529 925</t>
        </is>
      </c>
      <c r="G148" s="48" t="inlineStr">
        <is>
          <t>Parent</t>
        </is>
      </c>
      <c r="H148" s="48" t="inlineStr">
        <is>
          <t>Student</t>
        </is>
      </c>
      <c r="I148" s="49" t="n">
        <v>45616</v>
      </c>
      <c r="J148" s="48" t="inlineStr">
        <is>
          <t>ADM-ACT-MAT-CE</t>
        </is>
      </c>
      <c r="K148" s="48">
        <f>IFERROR(VLOOKUP(J148,'(A) Introduction'!$B$35:$C$45,2,FALSE),"")</f>
        <v/>
      </c>
      <c r="L148" s="48" t="inlineStr">
        <is>
          <t>No</t>
        </is>
      </c>
      <c r="M148" s="49" t="n">
        <v>45695</v>
      </c>
      <c r="N148" s="48" t="inlineStr"/>
      <c r="O148" s="48" t="inlineStr">
        <is>
          <t>NA</t>
        </is>
      </c>
      <c r="P148" s="48">
        <f>IF($H148="Tutor",((BQ148&lt;&gt;"")*(BR148=""))+((BW148&lt;&gt;"")*(BX148=""))+((CC148&lt;&gt;"")*(CD148=""))+((CI148&lt;&gt;"")*(CJ148=""))+((CO148&lt;&gt;"")*(CP148="")),SUMPRODUCT(--($BO$3:$BO$202=$A148),--($BR$3:$BR$202=""))+SUMPRODUCT(--($BU$3:$BU$202=$A148),--($BX$3:$BX$202=""))+SUMPRODUCT(--($CA$3:$CA$202=$A148),--($CD$3:$CD$202=""))+SUMPRODUCT(--($CG$3:$CG$202=$A148),--($CJ$3:$CJ$202=""))+SUMPRODUCT(--($CM$3:$CM$202=$A148),--($CP$3:$CP$202="")))</f>
        <v/>
      </c>
      <c r="Q148" s="48">
        <f>IF($H148="Tutor",(BQ148&lt;&gt;"")+(BW148&lt;&gt;"")+(CC148&lt;&gt;"")+(CI148&lt;&gt;"")+(CO148&lt;&gt;""),SUMPRODUCT(--($BO$3:$BO$202=$A148))+SUMPRODUCT(--($BU$3:$BU$202=$A148))+SUMPRODUCT(--($CA$3:$CA$202=$A148))+SUMPRODUCT(--($CG$3:$CG$202=$A148))+SUMPRODUCT(--($CM$3:$CM$202=$A148)))</f>
        <v/>
      </c>
      <c r="R148" s="48">
        <f>IF($H148="Tutor",TRIM(IF(AND(BQ148&lt;&gt;"",BR148=""),BP148&amp;"; ","")&amp;IF(AND(BW148&lt;&gt;"",BX148=""),BV148&amp;"; ","")&amp;IF(AND(CC148&lt;&gt;"",CD148=""),CB148&amp;"; ","")&amp;IF(AND(CI148&lt;&gt;"",CJ148=""),CH148&amp;"; ","")&amp;IF(AND(CO148&lt;&gt;"",CP148=""),CN148&amp;"; ","")),IFERROR(INDEX($A$3:$B$202,(SUMPRODUCT(($BO$3:$BO$202=$A148)*($BR$3:$BR$202="")*ROW($BO$3:$BO$202))+SUMPRODUCT(($BU$3:$BU$202=$A148)*($BX$3:$BX$202="")*ROW($BU$3:$BU$202))+SUMPRODUCT(($CA$3:$CA$202=$A148)*($CD$3:$CD$202="")*ROW($CA$3:$CA$202))+SUMPRODUCT(($CG$3:$CG$202=$A148)*($CJ$3:$CJ$202="")*ROW($CG$3:$CG$202))+SUMPRODUCT(($CM$3:$CM$202=$A148)*($CP$3:$CP$202="")*ROW($CM$3:$CM$202)))-2,2),""))</f>
        <v/>
      </c>
      <c r="S148" s="48" t="inlineStr">
        <is>
          <t>Not Provided</t>
        </is>
      </c>
      <c r="T148" s="48" t="inlineStr"/>
      <c r="U148" s="48" t="inlineStr"/>
      <c r="V148" s="49" t="n">
        <v>45700</v>
      </c>
      <c r="W148" s="48" t="inlineStr">
        <is>
          <t>AWST (UTC+8)</t>
        </is>
      </c>
      <c r="X148" s="48" t="inlineStr">
        <is>
          <t>NA;</t>
        </is>
      </c>
      <c r="Y148" s="48" t="inlineStr">
        <is>
          <t>12pm-3pm;6pm-9pm;</t>
        </is>
      </c>
      <c r="Z148" s="48" t="inlineStr">
        <is>
          <t>6am-9am;9am-12pm;</t>
        </is>
      </c>
      <c r="AA148" s="48" t="inlineStr">
        <is>
          <t>12pm-3pm;6pm-9pm;</t>
        </is>
      </c>
      <c r="AB148" s="48" t="inlineStr">
        <is>
          <t>9am-12pm;12pm-3pm;3pm-6pm;</t>
        </is>
      </c>
      <c r="AC148" s="48" t="inlineStr">
        <is>
          <t>9am-12pm;12pm-3pm;3pm-6pm;</t>
        </is>
      </c>
      <c r="AD148" s="48" t="inlineStr">
        <is>
          <t>NA;</t>
        </is>
      </c>
      <c r="AE148" s="48" t="inlineStr">
        <is>
          <t>Either</t>
        </is>
      </c>
      <c r="AF148" s="48" t="inlineStr">
        <is>
          <t>Computer</t>
        </is>
      </c>
      <c r="AG148" s="48" t="inlineStr">
        <is>
          <t>Australia</t>
        </is>
      </c>
      <c r="AH148" s="48" t="inlineStr">
        <is>
          <t>New South Wales</t>
        </is>
      </c>
      <c r="AI148" s="48" t="inlineStr">
        <is>
          <t>Fairfield</t>
        </is>
      </c>
      <c r="AJ148" s="48" t="inlineStr">
        <is>
          <t>2165</t>
        </is>
      </c>
      <c r="AK148" s="49" t="n">
        <v>30046</v>
      </c>
      <c r="AL148" s="48" t="inlineStr">
        <is>
          <t>Male</t>
        </is>
      </c>
      <c r="AM148" s="48" t="inlineStr">
        <is>
          <t>No</t>
        </is>
      </c>
      <c r="AN148" s="48" t="inlineStr">
        <is>
          <t>A2</t>
        </is>
      </c>
      <c r="AO148" s="48" t="inlineStr">
        <is>
          <t>Outstanding</t>
        </is>
      </c>
      <c r="AP148" s="48" t="inlineStr">
        <is>
          <t>Iran</t>
        </is>
      </c>
      <c r="AQ148" s="48" t="inlineStr">
        <is>
          <t>NA</t>
        </is>
      </c>
      <c r="AR148" s="48" t="inlineStr">
        <is>
          <t>Somali (C1)</t>
        </is>
      </c>
      <c r="AS148" s="48" t="inlineStr">
        <is>
          <t>Muslim</t>
        </is>
      </c>
      <c r="AT148" s="48" t="inlineStr">
        <is>
          <t>Education &amp; Academia</t>
        </is>
      </c>
      <c r="AU148" s="48" t="inlineStr">
        <is>
          <t>Accountant</t>
        </is>
      </c>
      <c r="AV148" s="48" t="inlineStr">
        <is>
          <t>Medicine</t>
        </is>
      </c>
      <c r="AW148" s="48" t="inlineStr">
        <is>
          <t>Art; Photography; Travel</t>
        </is>
      </c>
      <c r="AX148" s="48" t="inlineStr">
        <is>
          <t>Asylum Seeker</t>
        </is>
      </c>
      <c r="AY148" s="48" t="inlineStr">
        <is>
          <t>NA - Partner Organisation Verified</t>
        </is>
      </c>
      <c r="AZ148" s="48" t="inlineStr">
        <is>
          <t>NA - Partner Organisation Verified</t>
        </is>
      </c>
      <c r="BA148" s="48" t="inlineStr">
        <is>
          <t>NA</t>
        </is>
      </c>
      <c r="BB148" s="48" t="inlineStr">
        <is>
          <t>NA</t>
        </is>
      </c>
      <c r="BC148" s="48" t="inlineStr">
        <is>
          <t>NA</t>
        </is>
      </c>
      <c r="BD148" s="48" t="inlineStr">
        <is>
          <t>NA</t>
        </is>
      </c>
      <c r="BE148" s="48" t="inlineStr"/>
      <c r="BF148" s="48" t="inlineStr"/>
      <c r="BG148" s="48" t="inlineStr">
        <is>
          <t>NA</t>
        </is>
      </c>
      <c r="BH148" s="48" t="inlineStr">
        <is>
          <t>NA - Student</t>
        </is>
      </c>
      <c r="BI148" s="48" t="inlineStr">
        <is>
          <t>Grandmothers for Refugees</t>
        </is>
      </c>
      <c r="BJ148" s="48" t="inlineStr">
        <is>
          <t>MCCRORIE John</t>
        </is>
      </c>
      <c r="BK148" s="48" t="inlineStr">
        <is>
          <t>KNIJNIK Marina</t>
        </is>
      </c>
      <c r="BL148" s="48" t="inlineStr">
        <is>
          <t>Synthetic test record.</t>
        </is>
      </c>
      <c r="BM148" s="48" t="inlineStr"/>
      <c r="BN148" s="48">
        <f>TRIM(IF(AND($H148="Student",$J148="ADM-ACT-MAT-CNE"),"Invalid: Student cannot be CNE. ","")&amp;IF(AND($H148="Student",ISNUMBER($O148)),"Check: capacity set for a Student. ","")&amp;IF(AND(LEFT($J148,11)="ADM-ACT-MAT",$P148=0),"Check: matched status but 0 active pairings. ","")&amp;IF(AND($H148="Tutor",ISNUMBER($O148),$P148&gt;$O148),"Check: pairings exceed capacity. ","")&amp;IF(AND($BH148="Everyone",NOT(AND($BD148="Yes",$BG148="Yes"))),"Check: approved to tutor children but WWCC not provided/confirmed. ","")&amp;IF(AND($P148&gt;0,NOT(AND(OR(LEFT($AY148,3)="Yes",LEFT($AY148,2)="NA"),OR(LEFT($AZ148,3)="Yes",LEFT($AZ148,2)="NA")))),"Matched but vetting incomplete (interview/reference). ","")&amp;IF(COUNTIF($B$3:$B$600,$B148)&gt;1,"Duplicate participant name. ",""))</f>
        <v/>
      </c>
      <c r="BO148" s="48" t="inlineStr"/>
      <c r="BP148" s="48" t="inlineStr"/>
      <c r="BQ148" s="48" t="inlineStr"/>
      <c r="BR148" s="48" t="inlineStr"/>
      <c r="BS148" s="48" t="inlineStr"/>
      <c r="BT148" s="48" t="inlineStr"/>
      <c r="BU148" s="48" t="inlineStr"/>
      <c r="BV148" s="48" t="inlineStr"/>
      <c r="BW148" s="48" t="inlineStr"/>
      <c r="BX148" s="48" t="inlineStr"/>
      <c r="BY148" s="48" t="inlineStr"/>
      <c r="BZ148" s="48" t="inlineStr"/>
      <c r="CA148" s="48" t="inlineStr"/>
      <c r="CB148" s="48" t="inlineStr"/>
      <c r="CC148" s="48" t="inlineStr"/>
      <c r="CD148" s="48" t="inlineStr"/>
      <c r="CE148" s="48" t="inlineStr"/>
      <c r="CF148" s="48" t="inlineStr"/>
      <c r="CG148" s="48" t="inlineStr"/>
      <c r="CH148" s="48" t="inlineStr"/>
      <c r="CI148" s="48" t="inlineStr"/>
      <c r="CJ148" s="48" t="inlineStr"/>
      <c r="CK148" s="48" t="inlineStr"/>
      <c r="CL148" s="48" t="inlineStr"/>
      <c r="CM148" s="48" t="inlineStr"/>
      <c r="CN148" s="48" t="inlineStr"/>
      <c r="CO148" s="48" t="inlineStr"/>
      <c r="CP148" s="48" t="inlineStr"/>
      <c r="CQ148" s="48" t="inlineStr"/>
      <c r="CR148" s="48" t="inlineStr"/>
      <c r="CS148" s="48">
        <f>IF(LEFT($J148,3)="ERR",0,1)</f>
        <v/>
      </c>
      <c r="CT148" s="48">
        <f>IF(LEFT($J148,3)="ADM",1,0)</f>
        <v/>
      </c>
      <c r="CU148" s="48">
        <f>IF(OR($J148="ADM-ACT-MAT-CNE",$J148="ADM-ACT-MAT-CE",$J148="ADM-INACT-M&amp;T"),1,0)</f>
        <v/>
      </c>
      <c r="CV148" s="48">
        <f>IF(AND(CU148=1,ISNUMBER(M148),ISNUMBER(I148)),M148-I148,"")</f>
        <v/>
      </c>
      <c r="CW148" s="48">
        <f>IF(ISNUMBER(I148),TODAY()-I148,"")</f>
        <v/>
      </c>
      <c r="CX148" s="48">
        <f>IF(ISNUMBER(I148),DATE(YEAR(I148),MONTH(I148),1),"")</f>
        <v/>
      </c>
      <c r="CY148" s="48">
        <f>IFERROR(DATEDIF(AK148,TODAY(),"y"),"")</f>
        <v/>
      </c>
      <c r="CZ148" s="48">
        <f>IF(CY148="","",IF(CY148&lt;28,"18-27",IF(CY148&lt;38,"28-37",IF(CY148&lt;48,"38-47",IF(CY148&lt;58,"48-57",IF(CY148&lt;68,"58-67",IF(CY148&lt;78,"68-77","78+")))))) </f>
        <v/>
      </c>
      <c r="DA148" s="48">
        <f>IF(AND(BQ148&lt;&gt;"",BR148=""),N(BS148),0)+IF(AND(BW148&lt;&gt;"",BX148=""),N(BY148),0)+IF(AND(CC148&lt;&gt;"",CD148=""),N(CE148),0)+IF(AND(CI148&lt;&gt;"",CJ148=""),N(CK148),0)+IF(AND(CO148&lt;&gt;"",CP148=""),N(CQ148),0)</f>
        <v/>
      </c>
      <c r="DB148" s="48">
        <f>ROUND(IF(BQ148&lt;&gt;"",N(BS148)*MAX(0,((IF(BR148="",TODAY(),BR148))-BQ148)/7),0)+IF(BW148&lt;&gt;"",N(BY148)*MAX(0,((IF(BX148="",TODAY(),BX148))-BW148)/7),0)+IF(CC148&lt;&gt;"",N(CE148)*MAX(0,((IF(CD148="",TODAY(),CD148))-CC148)/7),0)+IF(CI148&lt;&gt;"",N(CK148)*MAX(0,((IF(CJ148="",TODAY(),CJ148))-CI148)/7),0)+IF(CO148&lt;&gt;"",N(CQ148)*MAX(0,((IF(CP148="",TODAY(),CP148))-CO148)/7),0),1)</f>
        <v/>
      </c>
      <c r="DC148" s="48">
        <f>IF(OR(TRIM(X148)="",TRIM(X148)="NA;",TRIM(X148)="NA"),0,1)</f>
        <v/>
      </c>
      <c r="DD148" s="48">
        <f>IF(OR(TRIM(Y148)="",TRIM(Y148)="NA;",TRIM(Y148)="NA"),0,1)</f>
        <v/>
      </c>
      <c r="DE148" s="48">
        <f>IF(OR(TRIM(Z148)="",TRIM(Z148)="NA;",TRIM(Z148)="NA"),0,1)</f>
        <v/>
      </c>
      <c r="DF148" s="48">
        <f>IF(OR(TRIM(AA148)="",TRIM(AA148)="NA;",TRIM(AA148)="NA"),0,1)</f>
        <v/>
      </c>
      <c r="DG148" s="48">
        <f>IF(OR(TRIM(AB148)="",TRIM(AB148)="NA;",TRIM(AB148)="NA"),0,1)</f>
        <v/>
      </c>
      <c r="DH148" s="48">
        <f>IF(OR(TRIM(AC148)="",TRIM(AC148)="NA;",TRIM(AC148)="NA"),0,1)</f>
        <v/>
      </c>
      <c r="DI148" s="48">
        <f>IF(OR(TRIM(AD148)="",TRIM(AD148)="NA;",TRIM(AD148)="NA"),0,1)</f>
        <v/>
      </c>
      <c r="DJ148" s="48">
        <f>TRIM(IF(DC148=1,"Mon ","")&amp;IF(DD148=1,"Tue ","")&amp;IF(DE148=1,"Wed ","")&amp;IF(DF148=1,"Thu ","")&amp;IF(DG148=1,"Fri ","")&amp;IF(DH148=1,"Sat ","")&amp;IF(DI148=1,"Sun ",""))</f>
        <v/>
      </c>
    </row>
    <row r="149">
      <c r="A149" s="48" t="inlineStr">
        <is>
          <t>S-O-00047</t>
        </is>
      </c>
      <c r="B149" s="48" t="inlineStr">
        <is>
          <t>Rania Smith</t>
        </is>
      </c>
      <c r="C149" s="48" t="inlineStr">
        <is>
          <t>rania.smith47@example.com</t>
        </is>
      </c>
      <c r="D149" s="48" t="inlineStr">
        <is>
          <t>+61 492 512 115</t>
        </is>
      </c>
      <c r="E149" s="48" t="inlineStr">
        <is>
          <t>Tariq Young</t>
        </is>
      </c>
      <c r="F149" s="48" t="inlineStr">
        <is>
          <t>+61 448 044 786</t>
        </is>
      </c>
      <c r="G149" s="48" t="inlineStr">
        <is>
          <t>Parent</t>
        </is>
      </c>
      <c r="H149" s="48" t="inlineStr">
        <is>
          <t>Student</t>
        </is>
      </c>
      <c r="I149" s="49" t="n">
        <v>45625</v>
      </c>
      <c r="J149" s="48" t="inlineStr">
        <is>
          <t>ADM-ACT-MAT-CE</t>
        </is>
      </c>
      <c r="K149" s="48">
        <f>IFERROR(VLOOKUP(J149,'(A) Introduction'!$B$35:$C$45,2,FALSE),"")</f>
        <v/>
      </c>
      <c r="L149" s="48" t="inlineStr">
        <is>
          <t>No</t>
        </is>
      </c>
      <c r="M149" s="49" t="n">
        <v>45721</v>
      </c>
      <c r="N149" s="48" t="inlineStr"/>
      <c r="O149" s="48" t="inlineStr">
        <is>
          <t>NA</t>
        </is>
      </c>
      <c r="P149" s="48">
        <f>IF($H149="Tutor",((BQ149&lt;&gt;"")*(BR149=""))+((BW149&lt;&gt;"")*(BX149=""))+((CC149&lt;&gt;"")*(CD149=""))+((CI149&lt;&gt;"")*(CJ149=""))+((CO149&lt;&gt;"")*(CP149="")),SUMPRODUCT(--($BO$3:$BO$202=$A149),--($BR$3:$BR$202=""))+SUMPRODUCT(--($BU$3:$BU$202=$A149),--($BX$3:$BX$202=""))+SUMPRODUCT(--($CA$3:$CA$202=$A149),--($CD$3:$CD$202=""))+SUMPRODUCT(--($CG$3:$CG$202=$A149),--($CJ$3:$CJ$202=""))+SUMPRODUCT(--($CM$3:$CM$202=$A149),--($CP$3:$CP$202="")))</f>
        <v/>
      </c>
      <c r="Q149" s="48">
        <f>IF($H149="Tutor",(BQ149&lt;&gt;"")+(BW149&lt;&gt;"")+(CC149&lt;&gt;"")+(CI149&lt;&gt;"")+(CO149&lt;&gt;""),SUMPRODUCT(--($BO$3:$BO$202=$A149))+SUMPRODUCT(--($BU$3:$BU$202=$A149))+SUMPRODUCT(--($CA$3:$CA$202=$A149))+SUMPRODUCT(--($CG$3:$CG$202=$A149))+SUMPRODUCT(--($CM$3:$CM$202=$A149)))</f>
        <v/>
      </c>
      <c r="R149" s="48">
        <f>IF($H149="Tutor",TRIM(IF(AND(BQ149&lt;&gt;"",BR149=""),BP149&amp;"; ","")&amp;IF(AND(BW149&lt;&gt;"",BX149=""),BV149&amp;"; ","")&amp;IF(AND(CC149&lt;&gt;"",CD149=""),CB149&amp;"; ","")&amp;IF(AND(CI149&lt;&gt;"",CJ149=""),CH149&amp;"; ","")&amp;IF(AND(CO149&lt;&gt;"",CP149=""),CN149&amp;"; ","")),IFERROR(INDEX($A$3:$B$202,(SUMPRODUCT(($BO$3:$BO$202=$A149)*($BR$3:$BR$202="")*ROW($BO$3:$BO$202))+SUMPRODUCT(($BU$3:$BU$202=$A149)*($BX$3:$BX$202="")*ROW($BU$3:$BU$202))+SUMPRODUCT(($CA$3:$CA$202=$A149)*($CD$3:$CD$202="")*ROW($CA$3:$CA$202))+SUMPRODUCT(($CG$3:$CG$202=$A149)*($CJ$3:$CJ$202="")*ROW($CG$3:$CG$202))+SUMPRODUCT(($CM$3:$CM$202=$A149)*($CP$3:$CP$202="")*ROW($CM$3:$CM$202)))-2,2),""))</f>
        <v/>
      </c>
      <c r="S149" s="48" t="inlineStr">
        <is>
          <t>NA</t>
        </is>
      </c>
      <c r="T149" s="48" t="inlineStr"/>
      <c r="U149" s="48" t="inlineStr"/>
      <c r="V149" s="49" t="n">
        <v>45925</v>
      </c>
      <c r="W149" s="48" t="inlineStr">
        <is>
          <t>ACDT (UTC+10:30)</t>
        </is>
      </c>
      <c r="X149" s="48" t="inlineStr">
        <is>
          <t>9am-12pm;12pm-3pm;3pm-6pm;</t>
        </is>
      </c>
      <c r="Y149" s="48" t="inlineStr">
        <is>
          <t>9am-12pm;</t>
        </is>
      </c>
      <c r="Z149" s="48" t="inlineStr">
        <is>
          <t>12pm-3pm;6pm-9pm;</t>
        </is>
      </c>
      <c r="AA149" s="48" t="inlineStr">
        <is>
          <t>12pm-3pm;6pm-9pm;</t>
        </is>
      </c>
      <c r="AB149" s="48" t="inlineStr">
        <is>
          <t>6am-9am;9am-12pm;</t>
        </is>
      </c>
      <c r="AC149" s="48" t="inlineStr">
        <is>
          <t>6pm-9pm;</t>
        </is>
      </c>
      <c r="AD149" s="48" t="inlineStr">
        <is>
          <t>NA;</t>
        </is>
      </c>
      <c r="AE149" s="48" t="inlineStr">
        <is>
          <t>Online</t>
        </is>
      </c>
      <c r="AF149" s="48" t="inlineStr">
        <is>
          <t>Multiple devices</t>
        </is>
      </c>
      <c r="AG149" s="48" t="inlineStr">
        <is>
          <t>Australia</t>
        </is>
      </c>
      <c r="AH149" s="48" t="inlineStr">
        <is>
          <t>New South Wales</t>
        </is>
      </c>
      <c r="AI149" s="48" t="inlineStr">
        <is>
          <t>Parramatta</t>
        </is>
      </c>
      <c r="AJ149" s="48" t="inlineStr">
        <is>
          <t>2150</t>
        </is>
      </c>
      <c r="AK149" s="49" t="n">
        <v>32318</v>
      </c>
      <c r="AL149" s="48" t="inlineStr">
        <is>
          <t>Other</t>
        </is>
      </c>
      <c r="AM149" s="48" t="inlineStr">
        <is>
          <t>No</t>
        </is>
      </c>
      <c r="AN149" s="48" t="inlineStr">
        <is>
          <t>B2</t>
        </is>
      </c>
      <c r="AO149" s="48" t="inlineStr">
        <is>
          <t>Low</t>
        </is>
      </c>
      <c r="AP149" s="48" t="inlineStr">
        <is>
          <t>Myanmar</t>
        </is>
      </c>
      <c r="AQ149" s="48" t="inlineStr">
        <is>
          <t>NA</t>
        </is>
      </c>
      <c r="AR149" s="48" t="inlineStr">
        <is>
          <t>Spanish (C1)</t>
        </is>
      </c>
      <c r="AS149" s="48" t="inlineStr">
        <is>
          <t>Christian</t>
        </is>
      </c>
      <c r="AT149" s="48" t="inlineStr">
        <is>
          <t>Business &amp; Finance</t>
        </is>
      </c>
      <c r="AU149" s="48" t="inlineStr">
        <is>
          <t>Teacher</t>
        </is>
      </c>
      <c r="AV149" s="48" t="inlineStr">
        <is>
          <t>Child Care</t>
        </is>
      </c>
      <c r="AW149" s="48" t="inlineStr">
        <is>
          <t>Art; Photography; Travel</t>
        </is>
      </c>
      <c r="AX149" s="48" t="inlineStr">
        <is>
          <t>Asylum Seeker</t>
        </is>
      </c>
      <c r="AY149" s="48" t="inlineStr">
        <is>
          <t>Yes</t>
        </is>
      </c>
      <c r="AZ149" s="48" t="inlineStr">
        <is>
          <t>NA - Partner Organisation Verified</t>
        </is>
      </c>
      <c r="BA149" s="48" t="inlineStr">
        <is>
          <t>NA</t>
        </is>
      </c>
      <c r="BB149" s="48" t="inlineStr">
        <is>
          <t>NA</t>
        </is>
      </c>
      <c r="BC149" s="48" t="inlineStr">
        <is>
          <t>NA</t>
        </is>
      </c>
      <c r="BD149" s="48" t="inlineStr">
        <is>
          <t>NA</t>
        </is>
      </c>
      <c r="BE149" s="48" t="inlineStr"/>
      <c r="BF149" s="48" t="inlineStr"/>
      <c r="BG149" s="48" t="inlineStr">
        <is>
          <t>NA</t>
        </is>
      </c>
      <c r="BH149" s="48" t="inlineStr">
        <is>
          <t>NA - Student</t>
        </is>
      </c>
      <c r="BI149" s="48" t="inlineStr">
        <is>
          <t>University of Sydney (including St. Paul's College)</t>
        </is>
      </c>
      <c r="BJ149" s="48" t="inlineStr">
        <is>
          <t>SINGH Veera</t>
        </is>
      </c>
      <c r="BK149" s="48" t="inlineStr">
        <is>
          <t>HALLORAN Isobel</t>
        </is>
      </c>
      <c r="BL149" s="48" t="inlineStr">
        <is>
          <t>Synthetic test record.</t>
        </is>
      </c>
      <c r="BM149" s="48" t="inlineStr"/>
      <c r="BN149" s="48">
        <f>TRIM(IF(AND($H149="Student",$J149="ADM-ACT-MAT-CNE"),"Invalid: Student cannot be CNE. ","")&amp;IF(AND($H149="Student",ISNUMBER($O149)),"Check: capacity set for a Student. ","")&amp;IF(AND(LEFT($J149,11)="ADM-ACT-MAT",$P149=0),"Check: matched status but 0 active pairings. ","")&amp;IF(AND($H149="Tutor",ISNUMBER($O149),$P149&gt;$O149),"Check: pairings exceed capacity. ","")&amp;IF(AND($BH149="Everyone",NOT(AND($BD149="Yes",$BG149="Yes"))),"Check: approved to tutor children but WWCC not provided/confirmed. ","")&amp;IF(AND($P149&gt;0,NOT(AND(OR(LEFT($AY149,3)="Yes",LEFT($AY149,2)="NA"),OR(LEFT($AZ149,3)="Yes",LEFT($AZ149,2)="NA")))),"Matched but vetting incomplete (interview/reference). ","")&amp;IF(COUNTIF($B$3:$B$600,$B149)&gt;1,"Duplicate participant name. ",""))</f>
        <v/>
      </c>
      <c r="BO149" s="48" t="inlineStr"/>
      <c r="BP149" s="48" t="inlineStr"/>
      <c r="BQ149" s="48" t="inlineStr"/>
      <c r="BR149" s="48" t="inlineStr"/>
      <c r="BS149" s="48" t="inlineStr"/>
      <c r="BT149" s="48" t="inlineStr"/>
      <c r="BU149" s="48" t="inlineStr"/>
      <c r="BV149" s="48" t="inlineStr"/>
      <c r="BW149" s="48" t="inlineStr"/>
      <c r="BX149" s="48" t="inlineStr"/>
      <c r="BY149" s="48" t="inlineStr"/>
      <c r="BZ149" s="48" t="inlineStr"/>
      <c r="CA149" s="48" t="inlineStr"/>
      <c r="CB149" s="48" t="inlineStr"/>
      <c r="CC149" s="48" t="inlineStr"/>
      <c r="CD149" s="48" t="inlineStr"/>
      <c r="CE149" s="48" t="inlineStr"/>
      <c r="CF149" s="48" t="inlineStr"/>
      <c r="CG149" s="48" t="inlineStr"/>
      <c r="CH149" s="48" t="inlineStr"/>
      <c r="CI149" s="48" t="inlineStr"/>
      <c r="CJ149" s="48" t="inlineStr"/>
      <c r="CK149" s="48" t="inlineStr"/>
      <c r="CL149" s="48" t="inlineStr"/>
      <c r="CM149" s="48" t="inlineStr"/>
      <c r="CN149" s="48" t="inlineStr"/>
      <c r="CO149" s="48" t="inlineStr"/>
      <c r="CP149" s="48" t="inlineStr"/>
      <c r="CQ149" s="48" t="inlineStr"/>
      <c r="CR149" s="48" t="inlineStr"/>
      <c r="CS149" s="48">
        <f>IF(LEFT($J149,3)="ERR",0,1)</f>
        <v/>
      </c>
      <c r="CT149" s="48">
        <f>IF(LEFT($J149,3)="ADM",1,0)</f>
        <v/>
      </c>
      <c r="CU149" s="48">
        <f>IF(OR($J149="ADM-ACT-MAT-CNE",$J149="ADM-ACT-MAT-CE",$J149="ADM-INACT-M&amp;T"),1,0)</f>
        <v/>
      </c>
      <c r="CV149" s="48">
        <f>IF(AND(CU149=1,ISNUMBER(M149),ISNUMBER(I149)),M149-I149,"")</f>
        <v/>
      </c>
      <c r="CW149" s="48">
        <f>IF(ISNUMBER(I149),TODAY()-I149,"")</f>
        <v/>
      </c>
      <c r="CX149" s="48">
        <f>IF(ISNUMBER(I149),DATE(YEAR(I149),MONTH(I149),1),"")</f>
        <v/>
      </c>
      <c r="CY149" s="48">
        <f>IFERROR(DATEDIF(AK149,TODAY(),"y"),"")</f>
        <v/>
      </c>
      <c r="CZ149" s="48">
        <f>IF(CY149="","",IF(CY149&lt;28,"18-27",IF(CY149&lt;38,"28-37",IF(CY149&lt;48,"38-47",IF(CY149&lt;58,"48-57",IF(CY149&lt;68,"58-67",IF(CY149&lt;78,"68-77","78+")))))) </f>
        <v/>
      </c>
      <c r="DA149" s="48">
        <f>IF(AND(BQ149&lt;&gt;"",BR149=""),N(BS149),0)+IF(AND(BW149&lt;&gt;"",BX149=""),N(BY149),0)+IF(AND(CC149&lt;&gt;"",CD149=""),N(CE149),0)+IF(AND(CI149&lt;&gt;"",CJ149=""),N(CK149),0)+IF(AND(CO149&lt;&gt;"",CP149=""),N(CQ149),0)</f>
        <v/>
      </c>
      <c r="DB149" s="48">
        <f>ROUND(IF(BQ149&lt;&gt;"",N(BS149)*MAX(0,((IF(BR149="",TODAY(),BR149))-BQ149)/7),0)+IF(BW149&lt;&gt;"",N(BY149)*MAX(0,((IF(BX149="",TODAY(),BX149))-BW149)/7),0)+IF(CC149&lt;&gt;"",N(CE149)*MAX(0,((IF(CD149="",TODAY(),CD149))-CC149)/7),0)+IF(CI149&lt;&gt;"",N(CK149)*MAX(0,((IF(CJ149="",TODAY(),CJ149))-CI149)/7),0)+IF(CO149&lt;&gt;"",N(CQ149)*MAX(0,((IF(CP149="",TODAY(),CP149))-CO149)/7),0),1)</f>
        <v/>
      </c>
      <c r="DC149" s="48">
        <f>IF(OR(TRIM(X149)="",TRIM(X149)="NA;",TRIM(X149)="NA"),0,1)</f>
        <v/>
      </c>
      <c r="DD149" s="48">
        <f>IF(OR(TRIM(Y149)="",TRIM(Y149)="NA;",TRIM(Y149)="NA"),0,1)</f>
        <v/>
      </c>
      <c r="DE149" s="48">
        <f>IF(OR(TRIM(Z149)="",TRIM(Z149)="NA;",TRIM(Z149)="NA"),0,1)</f>
        <v/>
      </c>
      <c r="DF149" s="48">
        <f>IF(OR(TRIM(AA149)="",TRIM(AA149)="NA;",TRIM(AA149)="NA"),0,1)</f>
        <v/>
      </c>
      <c r="DG149" s="48">
        <f>IF(OR(TRIM(AB149)="",TRIM(AB149)="NA;",TRIM(AB149)="NA"),0,1)</f>
        <v/>
      </c>
      <c r="DH149" s="48">
        <f>IF(OR(TRIM(AC149)="",TRIM(AC149)="NA;",TRIM(AC149)="NA"),0,1)</f>
        <v/>
      </c>
      <c r="DI149" s="48">
        <f>IF(OR(TRIM(AD149)="",TRIM(AD149)="NA;",TRIM(AD149)="NA"),0,1)</f>
        <v/>
      </c>
      <c r="DJ149" s="48">
        <f>TRIM(IF(DC149=1,"Mon ","")&amp;IF(DD149=1,"Tue ","")&amp;IF(DE149=1,"Wed ","")&amp;IF(DF149=1,"Thu ","")&amp;IF(DG149=1,"Fri ","")&amp;IF(DH149=1,"Sat ","")&amp;IF(DI149=1,"Sun ",""))</f>
        <v/>
      </c>
    </row>
    <row r="150">
      <c r="A150" s="48" t="inlineStr">
        <is>
          <t>S-O-00048</t>
        </is>
      </c>
      <c r="B150" s="48" t="inlineStr">
        <is>
          <t>Reza King</t>
        </is>
      </c>
      <c r="C150" s="48" t="inlineStr">
        <is>
          <t>reza.king48@example.com</t>
        </is>
      </c>
      <c r="D150" s="48" t="inlineStr">
        <is>
          <t>+61 420 889 148</t>
        </is>
      </c>
      <c r="E150" s="48" t="inlineStr">
        <is>
          <t>Sarah Hadaya</t>
        </is>
      </c>
      <c r="F150" s="48" t="inlineStr">
        <is>
          <t>+61 431 903 560</t>
        </is>
      </c>
      <c r="G150" s="48" t="inlineStr">
        <is>
          <t>Sibling</t>
        </is>
      </c>
      <c r="H150" s="48" t="inlineStr">
        <is>
          <t>Student</t>
        </is>
      </c>
      <c r="I150" s="49" t="n">
        <v>45633</v>
      </c>
      <c r="J150" s="48" t="inlineStr">
        <is>
          <t>ADM-INACT-M&amp;T</t>
        </is>
      </c>
      <c r="K150" s="48">
        <f>IFERROR(VLOOKUP(J150,'(A) Introduction'!$B$35:$C$45,2,FALSE),"")</f>
        <v/>
      </c>
      <c r="L150" s="48" t="inlineStr">
        <is>
          <t>No</t>
        </is>
      </c>
      <c r="M150" s="49" t="n">
        <v>45694</v>
      </c>
      <c r="N150" s="49" t="n">
        <v>45864</v>
      </c>
      <c r="O150" s="48" t="inlineStr">
        <is>
          <t>NA</t>
        </is>
      </c>
      <c r="P150" s="48">
        <f>IF($H150="Tutor",((BQ150&lt;&gt;"")*(BR150=""))+((BW150&lt;&gt;"")*(BX150=""))+((CC150&lt;&gt;"")*(CD150=""))+((CI150&lt;&gt;"")*(CJ150=""))+((CO150&lt;&gt;"")*(CP150="")),SUMPRODUCT(--($BO$3:$BO$202=$A150),--($BR$3:$BR$202=""))+SUMPRODUCT(--($BU$3:$BU$202=$A150),--($BX$3:$BX$202=""))+SUMPRODUCT(--($CA$3:$CA$202=$A150),--($CD$3:$CD$202=""))+SUMPRODUCT(--($CG$3:$CG$202=$A150),--($CJ$3:$CJ$202=""))+SUMPRODUCT(--($CM$3:$CM$202=$A150),--($CP$3:$CP$202="")))</f>
        <v/>
      </c>
      <c r="Q150" s="48">
        <f>IF($H150="Tutor",(BQ150&lt;&gt;"")+(BW150&lt;&gt;"")+(CC150&lt;&gt;"")+(CI150&lt;&gt;"")+(CO150&lt;&gt;""),SUMPRODUCT(--($BO$3:$BO$202=$A150))+SUMPRODUCT(--($BU$3:$BU$202=$A150))+SUMPRODUCT(--($CA$3:$CA$202=$A150))+SUMPRODUCT(--($CG$3:$CG$202=$A150))+SUMPRODUCT(--($CM$3:$CM$202=$A150)))</f>
        <v/>
      </c>
      <c r="R150" s="48">
        <f>IF($H150="Tutor",TRIM(IF(AND(BQ150&lt;&gt;"",BR150=""),BP150&amp;"; ","")&amp;IF(AND(BW150&lt;&gt;"",BX150=""),BV150&amp;"; ","")&amp;IF(AND(CC150&lt;&gt;"",CD150=""),CB150&amp;"; ","")&amp;IF(AND(CI150&lt;&gt;"",CJ150=""),CH150&amp;"; ","")&amp;IF(AND(CO150&lt;&gt;"",CP150=""),CN150&amp;"; ","")),IFERROR(INDEX($A$3:$B$202,(SUMPRODUCT(($BO$3:$BO$202=$A150)*($BR$3:$BR$202="")*ROW($BO$3:$BO$202))+SUMPRODUCT(($BU$3:$BU$202=$A150)*($BX$3:$BX$202="")*ROW($BU$3:$BU$202))+SUMPRODUCT(($CA$3:$CA$202=$A150)*($CD$3:$CD$202="")*ROW($CA$3:$CA$202))+SUMPRODUCT(($CG$3:$CG$202=$A150)*($CJ$3:$CJ$202="")*ROW($CG$3:$CG$202))+SUMPRODUCT(($CM$3:$CM$202=$A150)*($CP$3:$CP$202="")*ROW($CM$3:$CM$202)))-2,2),""))</f>
        <v/>
      </c>
      <c r="S150" s="48" t="inlineStr">
        <is>
          <t>NA</t>
        </is>
      </c>
      <c r="T150" s="48" t="inlineStr"/>
      <c r="U150" s="48" t="inlineStr"/>
      <c r="V150" s="49" t="n">
        <v>45771</v>
      </c>
      <c r="W150" s="48" t="inlineStr">
        <is>
          <t>AEST (UTC+10)</t>
        </is>
      </c>
      <c r="X150" s="48" t="inlineStr">
        <is>
          <t>12pm-3pm;6pm-9pm;</t>
        </is>
      </c>
      <c r="Y150" s="48" t="inlineStr">
        <is>
          <t>3pm-6pm;</t>
        </is>
      </c>
      <c r="Z150" s="48" t="inlineStr">
        <is>
          <t>3pm-6pm;</t>
        </is>
      </c>
      <c r="AA150" s="48" t="inlineStr">
        <is>
          <t>6pm-9pm;</t>
        </is>
      </c>
      <c r="AB150" s="48" t="inlineStr">
        <is>
          <t>3pm-6pm;</t>
        </is>
      </c>
      <c r="AC150" s="48" t="inlineStr">
        <is>
          <t>9am-12pm;</t>
        </is>
      </c>
      <c r="AD150" s="48" t="inlineStr">
        <is>
          <t>6pm-9pm;</t>
        </is>
      </c>
      <c r="AE150" s="48" t="inlineStr">
        <is>
          <t>Online</t>
        </is>
      </c>
      <c r="AF150" s="48" t="inlineStr">
        <is>
          <t>Phone</t>
        </is>
      </c>
      <c r="AG150" s="48" t="inlineStr">
        <is>
          <t>Australia</t>
        </is>
      </c>
      <c r="AH150" s="48" t="inlineStr">
        <is>
          <t>New South Wales</t>
        </is>
      </c>
      <c r="AI150" s="48" t="inlineStr">
        <is>
          <t>Kogarah</t>
        </is>
      </c>
      <c r="AJ150" s="48" t="inlineStr">
        <is>
          <t>2217</t>
        </is>
      </c>
      <c r="AK150" s="49" t="n">
        <v>22704</v>
      </c>
      <c r="AL150" s="48" t="inlineStr">
        <is>
          <t>Other</t>
        </is>
      </c>
      <c r="AM150" s="48" t="inlineStr">
        <is>
          <t>No</t>
        </is>
      </c>
      <c r="AN150" s="48" t="inlineStr">
        <is>
          <t>A1</t>
        </is>
      </c>
      <c r="AO150" s="48" t="inlineStr">
        <is>
          <t>Outstanding</t>
        </is>
      </c>
      <c r="AP150" s="48" t="inlineStr">
        <is>
          <t>Sri Lanka</t>
        </is>
      </c>
      <c r="AQ150" s="48" t="inlineStr">
        <is>
          <t>NA</t>
        </is>
      </c>
      <c r="AR150" s="48" t="inlineStr">
        <is>
          <t>Somali (C1)</t>
        </is>
      </c>
      <c r="AS150" s="48" t="inlineStr">
        <is>
          <t>Muslim</t>
        </is>
      </c>
      <c r="AT150" s="48" t="inlineStr">
        <is>
          <t>Social &amp; Community Services</t>
        </is>
      </c>
      <c r="AU150" s="48" t="inlineStr">
        <is>
          <t>Lawyer</t>
        </is>
      </c>
      <c r="AV150" s="48" t="inlineStr">
        <is>
          <t>Teacher</t>
        </is>
      </c>
      <c r="AW150" s="48" t="inlineStr">
        <is>
          <t>Travel; Sport; Movies</t>
        </is>
      </c>
      <c r="AX150" s="48" t="inlineStr">
        <is>
          <t>Asylum Seeker</t>
        </is>
      </c>
      <c r="AY150" s="48" t="inlineStr">
        <is>
          <t>NA - RELT Member Verified</t>
        </is>
      </c>
      <c r="AZ150" s="48" t="inlineStr">
        <is>
          <t>NA - Partner Organisation Verified</t>
        </is>
      </c>
      <c r="BA150" s="48" t="inlineStr">
        <is>
          <t>NA</t>
        </is>
      </c>
      <c r="BB150" s="48" t="inlineStr">
        <is>
          <t>NA</t>
        </is>
      </c>
      <c r="BC150" s="48" t="inlineStr">
        <is>
          <t>NA</t>
        </is>
      </c>
      <c r="BD150" s="48" t="inlineStr">
        <is>
          <t>NA</t>
        </is>
      </c>
      <c r="BE150" s="48" t="inlineStr"/>
      <c r="BF150" s="48" t="inlineStr"/>
      <c r="BG150" s="48" t="inlineStr">
        <is>
          <t>NA</t>
        </is>
      </c>
      <c r="BH150" s="48" t="inlineStr">
        <is>
          <t>NA - Student</t>
        </is>
      </c>
      <c r="BI150" s="48" t="inlineStr">
        <is>
          <t>STARTTS</t>
        </is>
      </c>
      <c r="BJ150" s="48" t="inlineStr">
        <is>
          <t>CROCK Mary</t>
        </is>
      </c>
      <c r="BK150" s="48" t="inlineStr">
        <is>
          <t>SINGH Veera</t>
        </is>
      </c>
      <c r="BL150" s="48" t="inlineStr">
        <is>
          <t>Synthetic test record.</t>
        </is>
      </c>
      <c r="BM150" s="48" t="inlineStr"/>
      <c r="BN150" s="48">
        <f>TRIM(IF(AND($H150="Student",$J150="ADM-ACT-MAT-CNE"),"Invalid: Student cannot be CNE. ","")&amp;IF(AND($H150="Student",ISNUMBER($O150)),"Check: capacity set for a Student. ","")&amp;IF(AND(LEFT($J150,11)="ADM-ACT-MAT",$P150=0),"Check: matched status but 0 active pairings. ","")&amp;IF(AND($H150="Tutor",ISNUMBER($O150),$P150&gt;$O150),"Check: pairings exceed capacity. ","")&amp;IF(AND($BH150="Everyone",NOT(AND($BD150="Yes",$BG150="Yes"))),"Check: approved to tutor children but WWCC not provided/confirmed. ","")&amp;IF(AND($P150&gt;0,NOT(AND(OR(LEFT($AY150,3)="Yes",LEFT($AY150,2)="NA"),OR(LEFT($AZ150,3)="Yes",LEFT($AZ150,2)="NA")))),"Matched but vetting incomplete (interview/reference). ","")&amp;IF(COUNTIF($B$3:$B$600,$B150)&gt;1,"Duplicate participant name. ",""))</f>
        <v/>
      </c>
      <c r="BO150" s="48" t="inlineStr"/>
      <c r="BP150" s="48" t="inlineStr"/>
      <c r="BQ150" s="48" t="inlineStr"/>
      <c r="BR150" s="48" t="inlineStr"/>
      <c r="BS150" s="48" t="inlineStr"/>
      <c r="BT150" s="48" t="inlineStr"/>
      <c r="BU150" s="48" t="inlineStr"/>
      <c r="BV150" s="48" t="inlineStr"/>
      <c r="BW150" s="48" t="inlineStr"/>
      <c r="BX150" s="48" t="inlineStr"/>
      <c r="BY150" s="48" t="inlineStr"/>
      <c r="BZ150" s="48" t="inlineStr"/>
      <c r="CA150" s="48" t="inlineStr"/>
      <c r="CB150" s="48" t="inlineStr"/>
      <c r="CC150" s="48" t="inlineStr"/>
      <c r="CD150" s="48" t="inlineStr"/>
      <c r="CE150" s="48" t="inlineStr"/>
      <c r="CF150" s="48" t="inlineStr"/>
      <c r="CG150" s="48" t="inlineStr"/>
      <c r="CH150" s="48" t="inlineStr"/>
      <c r="CI150" s="48" t="inlineStr"/>
      <c r="CJ150" s="48" t="inlineStr"/>
      <c r="CK150" s="48" t="inlineStr"/>
      <c r="CL150" s="48" t="inlineStr"/>
      <c r="CM150" s="48" t="inlineStr"/>
      <c r="CN150" s="48" t="inlineStr"/>
      <c r="CO150" s="48" t="inlineStr"/>
      <c r="CP150" s="48" t="inlineStr"/>
      <c r="CQ150" s="48" t="inlineStr"/>
      <c r="CR150" s="48" t="inlineStr"/>
      <c r="CS150" s="48">
        <f>IF(LEFT($J150,3)="ERR",0,1)</f>
        <v/>
      </c>
      <c r="CT150" s="48">
        <f>IF(LEFT($J150,3)="ADM",1,0)</f>
        <v/>
      </c>
      <c r="CU150" s="48">
        <f>IF(OR($J150="ADM-ACT-MAT-CNE",$J150="ADM-ACT-MAT-CE",$J150="ADM-INACT-M&amp;T"),1,0)</f>
        <v/>
      </c>
      <c r="CV150" s="48">
        <f>IF(AND(CU150=1,ISNUMBER(M150),ISNUMBER(I150)),M150-I150,"")</f>
        <v/>
      </c>
      <c r="CW150" s="48">
        <f>IF(ISNUMBER(I150),TODAY()-I150,"")</f>
        <v/>
      </c>
      <c r="CX150" s="48">
        <f>IF(ISNUMBER(I150),DATE(YEAR(I150),MONTH(I150),1),"")</f>
        <v/>
      </c>
      <c r="CY150" s="48">
        <f>IFERROR(DATEDIF(AK150,TODAY(),"y"),"")</f>
        <v/>
      </c>
      <c r="CZ150" s="48">
        <f>IF(CY150="","",IF(CY150&lt;28,"18-27",IF(CY150&lt;38,"28-37",IF(CY150&lt;48,"38-47",IF(CY150&lt;58,"48-57",IF(CY150&lt;68,"58-67",IF(CY150&lt;78,"68-77","78+")))))) </f>
        <v/>
      </c>
      <c r="DA150" s="48">
        <f>IF(AND(BQ150&lt;&gt;"",BR150=""),N(BS150),0)+IF(AND(BW150&lt;&gt;"",BX150=""),N(BY150),0)+IF(AND(CC150&lt;&gt;"",CD150=""),N(CE150),0)+IF(AND(CI150&lt;&gt;"",CJ150=""),N(CK150),0)+IF(AND(CO150&lt;&gt;"",CP150=""),N(CQ150),0)</f>
        <v/>
      </c>
      <c r="DB150" s="48">
        <f>ROUND(IF(BQ150&lt;&gt;"",N(BS150)*MAX(0,((IF(BR150="",TODAY(),BR150))-BQ150)/7),0)+IF(BW150&lt;&gt;"",N(BY150)*MAX(0,((IF(BX150="",TODAY(),BX150))-BW150)/7),0)+IF(CC150&lt;&gt;"",N(CE150)*MAX(0,((IF(CD150="",TODAY(),CD150))-CC150)/7),0)+IF(CI150&lt;&gt;"",N(CK150)*MAX(0,((IF(CJ150="",TODAY(),CJ150))-CI150)/7),0)+IF(CO150&lt;&gt;"",N(CQ150)*MAX(0,((IF(CP150="",TODAY(),CP150))-CO150)/7),0),1)</f>
        <v/>
      </c>
      <c r="DC150" s="48">
        <f>IF(OR(TRIM(X150)="",TRIM(X150)="NA;",TRIM(X150)="NA"),0,1)</f>
        <v/>
      </c>
      <c r="DD150" s="48">
        <f>IF(OR(TRIM(Y150)="",TRIM(Y150)="NA;",TRIM(Y150)="NA"),0,1)</f>
        <v/>
      </c>
      <c r="DE150" s="48">
        <f>IF(OR(TRIM(Z150)="",TRIM(Z150)="NA;",TRIM(Z150)="NA"),0,1)</f>
        <v/>
      </c>
      <c r="DF150" s="48">
        <f>IF(OR(TRIM(AA150)="",TRIM(AA150)="NA;",TRIM(AA150)="NA"),0,1)</f>
        <v/>
      </c>
      <c r="DG150" s="48">
        <f>IF(OR(TRIM(AB150)="",TRIM(AB150)="NA;",TRIM(AB150)="NA"),0,1)</f>
        <v/>
      </c>
      <c r="DH150" s="48">
        <f>IF(OR(TRIM(AC150)="",TRIM(AC150)="NA;",TRIM(AC150)="NA"),0,1)</f>
        <v/>
      </c>
      <c r="DI150" s="48">
        <f>IF(OR(TRIM(AD150)="",TRIM(AD150)="NA;",TRIM(AD150)="NA"),0,1)</f>
        <v/>
      </c>
      <c r="DJ150" s="48">
        <f>TRIM(IF(DC150=1,"Mon ","")&amp;IF(DD150=1,"Tue ","")&amp;IF(DE150=1,"Wed ","")&amp;IF(DF150=1,"Thu ","")&amp;IF(DG150=1,"Fri ","")&amp;IF(DH150=1,"Sat ","")&amp;IF(DI150=1,"Sun ",""))</f>
        <v/>
      </c>
    </row>
    <row r="151">
      <c r="A151" s="48" t="inlineStr">
        <is>
          <t>S-O-00049</t>
        </is>
      </c>
      <c r="B151" s="48" t="inlineStr">
        <is>
          <t>Tom Young</t>
        </is>
      </c>
      <c r="C151" s="48" t="inlineStr">
        <is>
          <t>tom.young49@example.com</t>
        </is>
      </c>
      <c r="D151" s="48" t="inlineStr">
        <is>
          <t>+61 406 189 151</t>
        </is>
      </c>
      <c r="E151" s="48" t="inlineStr">
        <is>
          <t>Hassan Ng</t>
        </is>
      </c>
      <c r="F151" s="48" t="inlineStr">
        <is>
          <t>+61 442 539 423</t>
        </is>
      </c>
      <c r="G151" s="48" t="inlineStr">
        <is>
          <t>Friend</t>
        </is>
      </c>
      <c r="H151" s="48" t="inlineStr">
        <is>
          <t>Student</t>
        </is>
      </c>
      <c r="I151" s="49" t="n">
        <v>45642</v>
      </c>
      <c r="J151" s="48" t="inlineStr">
        <is>
          <t>ADM-ACT-UNMAT</t>
        </is>
      </c>
      <c r="K151" s="48">
        <f>IFERROR(VLOOKUP(J151,'(A) Introduction'!$B$35:$C$45,2,FALSE),"")</f>
        <v/>
      </c>
      <c r="L151" s="48" t="inlineStr">
        <is>
          <t>No</t>
        </is>
      </c>
      <c r="M151" s="48" t="inlineStr"/>
      <c r="N151" s="48" t="inlineStr"/>
      <c r="O151" s="48" t="inlineStr">
        <is>
          <t>NA</t>
        </is>
      </c>
      <c r="P151" s="48">
        <f>IF($H151="Tutor",((BQ151&lt;&gt;"")*(BR151=""))+((BW151&lt;&gt;"")*(BX151=""))+((CC151&lt;&gt;"")*(CD151=""))+((CI151&lt;&gt;"")*(CJ151=""))+((CO151&lt;&gt;"")*(CP151="")),SUMPRODUCT(--($BO$3:$BO$202=$A151),--($BR$3:$BR$202=""))+SUMPRODUCT(--($BU$3:$BU$202=$A151),--($BX$3:$BX$202=""))+SUMPRODUCT(--($CA$3:$CA$202=$A151),--($CD$3:$CD$202=""))+SUMPRODUCT(--($CG$3:$CG$202=$A151),--($CJ$3:$CJ$202=""))+SUMPRODUCT(--($CM$3:$CM$202=$A151),--($CP$3:$CP$202="")))</f>
        <v/>
      </c>
      <c r="Q151" s="48">
        <f>IF($H151="Tutor",(BQ151&lt;&gt;"")+(BW151&lt;&gt;"")+(CC151&lt;&gt;"")+(CI151&lt;&gt;"")+(CO151&lt;&gt;""),SUMPRODUCT(--($BO$3:$BO$202=$A151))+SUMPRODUCT(--($BU$3:$BU$202=$A151))+SUMPRODUCT(--($CA$3:$CA$202=$A151))+SUMPRODUCT(--($CG$3:$CG$202=$A151))+SUMPRODUCT(--($CM$3:$CM$202=$A151)))</f>
        <v/>
      </c>
      <c r="R151" s="48">
        <f>IF($H151="Tutor",TRIM(IF(AND(BQ151&lt;&gt;"",BR151=""),BP151&amp;"; ","")&amp;IF(AND(BW151&lt;&gt;"",BX151=""),BV151&amp;"; ","")&amp;IF(AND(CC151&lt;&gt;"",CD151=""),CB151&amp;"; ","")&amp;IF(AND(CI151&lt;&gt;"",CJ151=""),CH151&amp;"; ","")&amp;IF(AND(CO151&lt;&gt;"",CP151=""),CN151&amp;"; ","")),IFERROR(INDEX($A$3:$B$202,(SUMPRODUCT(($BO$3:$BO$202=$A151)*($BR$3:$BR$202="")*ROW($BO$3:$BO$202))+SUMPRODUCT(($BU$3:$BU$202=$A151)*($BX$3:$BX$202="")*ROW($BU$3:$BU$202))+SUMPRODUCT(($CA$3:$CA$202=$A151)*($CD$3:$CD$202="")*ROW($CA$3:$CA$202))+SUMPRODUCT(($CG$3:$CG$202=$A151)*($CJ$3:$CJ$202="")*ROW($CG$3:$CG$202))+SUMPRODUCT(($CM$3:$CM$202=$A151)*($CP$3:$CP$202="")*ROW($CM$3:$CM$202)))-2,2),""))</f>
        <v/>
      </c>
      <c r="S151" s="48" t="inlineStr">
        <is>
          <t>NA</t>
        </is>
      </c>
      <c r="T151" s="48" t="inlineStr"/>
      <c r="U151" s="48" t="inlineStr"/>
      <c r="V151" s="49" t="n">
        <v>45932</v>
      </c>
      <c r="W151" s="48" t="inlineStr">
        <is>
          <t>AEST (UTC+10)</t>
        </is>
      </c>
      <c r="X151" s="48" t="inlineStr">
        <is>
          <t>NA;</t>
        </is>
      </c>
      <c r="Y151" s="48" t="inlineStr">
        <is>
          <t>9am-12pm;</t>
        </is>
      </c>
      <c r="Z151" s="48" t="inlineStr">
        <is>
          <t>NA;</t>
        </is>
      </c>
      <c r="AA151" s="48" t="inlineStr">
        <is>
          <t>3pm-6pm;</t>
        </is>
      </c>
      <c r="AB151" s="48" t="inlineStr">
        <is>
          <t>6am-9am;9am-12pm;</t>
        </is>
      </c>
      <c r="AC151" s="48" t="inlineStr">
        <is>
          <t>6pm-9pm;</t>
        </is>
      </c>
      <c r="AD151" s="48" t="inlineStr">
        <is>
          <t>NA;</t>
        </is>
      </c>
      <c r="AE151" s="48" t="inlineStr">
        <is>
          <t>Online</t>
        </is>
      </c>
      <c r="AF151" s="48" t="inlineStr">
        <is>
          <t>Multiple devices</t>
        </is>
      </c>
      <c r="AG151" s="48" t="inlineStr">
        <is>
          <t>Australia</t>
        </is>
      </c>
      <c r="AH151" s="48" t="inlineStr">
        <is>
          <t>New South Wales</t>
        </is>
      </c>
      <c r="AI151" s="48" t="inlineStr">
        <is>
          <t>Campsie</t>
        </is>
      </c>
      <c r="AJ151" s="48" t="inlineStr">
        <is>
          <t>2194</t>
        </is>
      </c>
      <c r="AK151" s="49" t="n">
        <v>25567</v>
      </c>
      <c r="AL151" s="48" t="inlineStr">
        <is>
          <t>Female</t>
        </is>
      </c>
      <c r="AM151" s="48" t="inlineStr">
        <is>
          <t>No</t>
        </is>
      </c>
      <c r="AN151" s="48" t="inlineStr">
        <is>
          <t>A2</t>
        </is>
      </c>
      <c r="AO151" s="48" t="inlineStr">
        <is>
          <t>Outstanding</t>
        </is>
      </c>
      <c r="AP151" s="48" t="inlineStr">
        <is>
          <t>Palestine</t>
        </is>
      </c>
      <c r="AQ151" s="48" t="inlineStr">
        <is>
          <t>NA</t>
        </is>
      </c>
      <c r="AR151" s="48" t="inlineStr">
        <is>
          <t>Ukrainian (C1)</t>
        </is>
      </c>
      <c r="AS151" s="48" t="inlineStr">
        <is>
          <t>None</t>
        </is>
      </c>
      <c r="AT151" s="48" t="inlineStr">
        <is>
          <t>Hospitality &amp; Retail</t>
        </is>
      </c>
      <c r="AU151" s="48" t="inlineStr">
        <is>
          <t>Community Worker</t>
        </is>
      </c>
      <c r="AV151" s="48" t="inlineStr">
        <is>
          <t>Medicine</t>
        </is>
      </c>
      <c r="AW151" s="48" t="inlineStr">
        <is>
          <t>Gardening; Cooking; Walking</t>
        </is>
      </c>
      <c r="AX151" s="48" t="inlineStr">
        <is>
          <t>Refugee</t>
        </is>
      </c>
      <c r="AY151" s="48" t="inlineStr">
        <is>
          <t>NA - RELT Member Verified</t>
        </is>
      </c>
      <c r="AZ151" s="48" t="inlineStr">
        <is>
          <t>Yes</t>
        </is>
      </c>
      <c r="BA151" s="48" t="inlineStr">
        <is>
          <t>NA</t>
        </is>
      </c>
      <c r="BB151" s="48" t="inlineStr">
        <is>
          <t>NA</t>
        </is>
      </c>
      <c r="BC151" s="48" t="inlineStr">
        <is>
          <t>NA</t>
        </is>
      </c>
      <c r="BD151" s="48" t="inlineStr">
        <is>
          <t>NA</t>
        </is>
      </c>
      <c r="BE151" s="48" t="inlineStr"/>
      <c r="BF151" s="48" t="inlineStr"/>
      <c r="BG151" s="48" t="inlineStr">
        <is>
          <t>NA</t>
        </is>
      </c>
      <c r="BH151" s="48" t="inlineStr">
        <is>
          <t>NA - Student</t>
        </is>
      </c>
      <c r="BI151" s="48" t="inlineStr">
        <is>
          <t>Notice Board</t>
        </is>
      </c>
      <c r="BJ151" s="48" t="inlineStr">
        <is>
          <t>NUICH Curtis</t>
        </is>
      </c>
      <c r="BK151" s="48" t="inlineStr">
        <is>
          <t>HALLORAN Isobel</t>
        </is>
      </c>
      <c r="BL151" s="48" t="inlineStr">
        <is>
          <t>Synthetic test record.</t>
        </is>
      </c>
      <c r="BM151" s="48" t="inlineStr"/>
      <c r="BN151" s="48">
        <f>TRIM(IF(AND($H151="Student",$J151="ADM-ACT-MAT-CNE"),"Invalid: Student cannot be CNE. ","")&amp;IF(AND($H151="Student",ISNUMBER($O151)),"Check: capacity set for a Student. ","")&amp;IF(AND(LEFT($J151,11)="ADM-ACT-MAT",$P151=0),"Check: matched status but 0 active pairings. ","")&amp;IF(AND($H151="Tutor",ISNUMBER($O151),$P151&gt;$O151),"Check: pairings exceed capacity. ","")&amp;IF(AND($BH151="Everyone",NOT(AND($BD151="Yes",$BG151="Yes"))),"Check: approved to tutor children but WWCC not provided/confirmed. ","")&amp;IF(AND($P151&gt;0,NOT(AND(OR(LEFT($AY151,3)="Yes",LEFT($AY151,2)="NA"),OR(LEFT($AZ151,3)="Yes",LEFT($AZ151,2)="NA")))),"Matched but vetting incomplete (interview/reference). ","")&amp;IF(COUNTIF($B$3:$B$600,$B151)&gt;1,"Duplicate participant name. ",""))</f>
        <v/>
      </c>
      <c r="BO151" s="48" t="inlineStr"/>
      <c r="BP151" s="48" t="inlineStr"/>
      <c r="BQ151" s="48" t="inlineStr"/>
      <c r="BR151" s="48" t="inlineStr"/>
      <c r="BS151" s="48" t="inlineStr"/>
      <c r="BT151" s="48" t="inlineStr"/>
      <c r="BU151" s="48" t="inlineStr"/>
      <c r="BV151" s="48" t="inlineStr"/>
      <c r="BW151" s="48" t="inlineStr"/>
      <c r="BX151" s="48" t="inlineStr"/>
      <c r="BY151" s="48" t="inlineStr"/>
      <c r="BZ151" s="48" t="inlineStr"/>
      <c r="CA151" s="48" t="inlineStr"/>
      <c r="CB151" s="48" t="inlineStr"/>
      <c r="CC151" s="48" t="inlineStr"/>
      <c r="CD151" s="48" t="inlineStr"/>
      <c r="CE151" s="48" t="inlineStr"/>
      <c r="CF151" s="48" t="inlineStr"/>
      <c r="CG151" s="48" t="inlineStr"/>
      <c r="CH151" s="48" t="inlineStr"/>
      <c r="CI151" s="48" t="inlineStr"/>
      <c r="CJ151" s="48" t="inlineStr"/>
      <c r="CK151" s="48" t="inlineStr"/>
      <c r="CL151" s="48" t="inlineStr"/>
      <c r="CM151" s="48" t="inlineStr"/>
      <c r="CN151" s="48" t="inlineStr"/>
      <c r="CO151" s="48" t="inlineStr"/>
      <c r="CP151" s="48" t="inlineStr"/>
      <c r="CQ151" s="48" t="inlineStr"/>
      <c r="CR151" s="48" t="inlineStr"/>
      <c r="CS151" s="48">
        <f>IF(LEFT($J151,3)="ERR",0,1)</f>
        <v/>
      </c>
      <c r="CT151" s="48">
        <f>IF(LEFT($J151,3)="ADM",1,0)</f>
        <v/>
      </c>
      <c r="CU151" s="48">
        <f>IF(OR($J151="ADM-ACT-MAT-CNE",$J151="ADM-ACT-MAT-CE",$J151="ADM-INACT-M&amp;T"),1,0)</f>
        <v/>
      </c>
      <c r="CV151" s="48">
        <f>IF(AND(CU151=1,ISNUMBER(M151),ISNUMBER(I151)),M151-I151,"")</f>
        <v/>
      </c>
      <c r="CW151" s="48">
        <f>IF(ISNUMBER(I151),TODAY()-I151,"")</f>
        <v/>
      </c>
      <c r="CX151" s="48">
        <f>IF(ISNUMBER(I151),DATE(YEAR(I151),MONTH(I151),1),"")</f>
        <v/>
      </c>
      <c r="CY151" s="48">
        <f>IFERROR(DATEDIF(AK151,TODAY(),"y"),"")</f>
        <v/>
      </c>
      <c r="CZ151" s="48">
        <f>IF(CY151="","",IF(CY151&lt;28,"18-27",IF(CY151&lt;38,"28-37",IF(CY151&lt;48,"38-47",IF(CY151&lt;58,"48-57",IF(CY151&lt;68,"58-67",IF(CY151&lt;78,"68-77","78+")))))) </f>
        <v/>
      </c>
      <c r="DA151" s="48">
        <f>IF(AND(BQ151&lt;&gt;"",BR151=""),N(BS151),0)+IF(AND(BW151&lt;&gt;"",BX151=""),N(BY151),0)+IF(AND(CC151&lt;&gt;"",CD151=""),N(CE151),0)+IF(AND(CI151&lt;&gt;"",CJ151=""),N(CK151),0)+IF(AND(CO151&lt;&gt;"",CP151=""),N(CQ151),0)</f>
        <v/>
      </c>
      <c r="DB151" s="48">
        <f>ROUND(IF(BQ151&lt;&gt;"",N(BS151)*MAX(0,((IF(BR151="",TODAY(),BR151))-BQ151)/7),0)+IF(BW151&lt;&gt;"",N(BY151)*MAX(0,((IF(BX151="",TODAY(),BX151))-BW151)/7),0)+IF(CC151&lt;&gt;"",N(CE151)*MAX(0,((IF(CD151="",TODAY(),CD151))-CC151)/7),0)+IF(CI151&lt;&gt;"",N(CK151)*MAX(0,((IF(CJ151="",TODAY(),CJ151))-CI151)/7),0)+IF(CO151&lt;&gt;"",N(CQ151)*MAX(0,((IF(CP151="",TODAY(),CP151))-CO151)/7),0),1)</f>
        <v/>
      </c>
      <c r="DC151" s="48">
        <f>IF(OR(TRIM(X151)="",TRIM(X151)="NA;",TRIM(X151)="NA"),0,1)</f>
        <v/>
      </c>
      <c r="DD151" s="48">
        <f>IF(OR(TRIM(Y151)="",TRIM(Y151)="NA;",TRIM(Y151)="NA"),0,1)</f>
        <v/>
      </c>
      <c r="DE151" s="48">
        <f>IF(OR(TRIM(Z151)="",TRIM(Z151)="NA;",TRIM(Z151)="NA"),0,1)</f>
        <v/>
      </c>
      <c r="DF151" s="48">
        <f>IF(OR(TRIM(AA151)="",TRIM(AA151)="NA;",TRIM(AA151)="NA"),0,1)</f>
        <v/>
      </c>
      <c r="DG151" s="48">
        <f>IF(OR(TRIM(AB151)="",TRIM(AB151)="NA;",TRIM(AB151)="NA"),0,1)</f>
        <v/>
      </c>
      <c r="DH151" s="48">
        <f>IF(OR(TRIM(AC151)="",TRIM(AC151)="NA;",TRIM(AC151)="NA"),0,1)</f>
        <v/>
      </c>
      <c r="DI151" s="48">
        <f>IF(OR(TRIM(AD151)="",TRIM(AD151)="NA;",TRIM(AD151)="NA"),0,1)</f>
        <v/>
      </c>
      <c r="DJ151" s="48">
        <f>TRIM(IF(DC151=1,"Mon ","")&amp;IF(DD151=1,"Tue ","")&amp;IF(DE151=1,"Wed ","")&amp;IF(DF151=1,"Thu ","")&amp;IF(DG151=1,"Fri ","")&amp;IF(DH151=1,"Sat ","")&amp;IF(DI151=1,"Sun ",""))</f>
        <v/>
      </c>
    </row>
    <row r="152">
      <c r="A152" s="48" t="inlineStr">
        <is>
          <t>S-O-00050</t>
        </is>
      </c>
      <c r="B152" s="48" t="inlineStr">
        <is>
          <t>Carlos Ibrahim</t>
        </is>
      </c>
      <c r="C152" s="48" t="inlineStr">
        <is>
          <t>carlos.ibrahim50@example.com</t>
        </is>
      </c>
      <c r="D152" s="48" t="inlineStr">
        <is>
          <t>+61 407 111 585</t>
        </is>
      </c>
      <c r="E152" s="48" t="inlineStr">
        <is>
          <t>Sara Young</t>
        </is>
      </c>
      <c r="F152" s="48" t="inlineStr">
        <is>
          <t>+61 481 217 011</t>
        </is>
      </c>
      <c r="G152" s="48" t="inlineStr">
        <is>
          <t>Caseworker</t>
        </is>
      </c>
      <c r="H152" s="48" t="inlineStr">
        <is>
          <t>Student</t>
        </is>
      </c>
      <c r="I152" s="49" t="n">
        <v>45659</v>
      </c>
      <c r="J152" s="48" t="inlineStr">
        <is>
          <t>ADM-INACT-M&amp;T</t>
        </is>
      </c>
      <c r="K152" s="48">
        <f>IFERROR(VLOOKUP(J152,'(A) Introduction'!$B$35:$C$45,2,FALSE),"")</f>
        <v/>
      </c>
      <c r="L152" s="48" t="inlineStr">
        <is>
          <t>No</t>
        </is>
      </c>
      <c r="M152" s="49" t="n">
        <v>45701</v>
      </c>
      <c r="N152" s="49" t="n">
        <v>45777</v>
      </c>
      <c r="O152" s="48" t="inlineStr">
        <is>
          <t>NA</t>
        </is>
      </c>
      <c r="P152" s="48">
        <f>IF($H152="Tutor",((BQ152&lt;&gt;"")*(BR152=""))+((BW152&lt;&gt;"")*(BX152=""))+((CC152&lt;&gt;"")*(CD152=""))+((CI152&lt;&gt;"")*(CJ152=""))+((CO152&lt;&gt;"")*(CP152="")),SUMPRODUCT(--($BO$3:$BO$202=$A152),--($BR$3:$BR$202=""))+SUMPRODUCT(--($BU$3:$BU$202=$A152),--($BX$3:$BX$202=""))+SUMPRODUCT(--($CA$3:$CA$202=$A152),--($CD$3:$CD$202=""))+SUMPRODUCT(--($CG$3:$CG$202=$A152),--($CJ$3:$CJ$202=""))+SUMPRODUCT(--($CM$3:$CM$202=$A152),--($CP$3:$CP$202="")))</f>
        <v/>
      </c>
      <c r="Q152" s="48">
        <f>IF($H152="Tutor",(BQ152&lt;&gt;"")+(BW152&lt;&gt;"")+(CC152&lt;&gt;"")+(CI152&lt;&gt;"")+(CO152&lt;&gt;""),SUMPRODUCT(--($BO$3:$BO$202=$A152))+SUMPRODUCT(--($BU$3:$BU$202=$A152))+SUMPRODUCT(--($CA$3:$CA$202=$A152))+SUMPRODUCT(--($CG$3:$CG$202=$A152))+SUMPRODUCT(--($CM$3:$CM$202=$A152)))</f>
        <v/>
      </c>
      <c r="R152" s="48">
        <f>IF($H152="Tutor",TRIM(IF(AND(BQ152&lt;&gt;"",BR152=""),BP152&amp;"; ","")&amp;IF(AND(BW152&lt;&gt;"",BX152=""),BV152&amp;"; ","")&amp;IF(AND(CC152&lt;&gt;"",CD152=""),CB152&amp;"; ","")&amp;IF(AND(CI152&lt;&gt;"",CJ152=""),CH152&amp;"; ","")&amp;IF(AND(CO152&lt;&gt;"",CP152=""),CN152&amp;"; ","")),IFERROR(INDEX($A$3:$B$202,(SUMPRODUCT(($BO$3:$BO$202=$A152)*($BR$3:$BR$202="")*ROW($BO$3:$BO$202))+SUMPRODUCT(($BU$3:$BU$202=$A152)*($BX$3:$BX$202="")*ROW($BU$3:$BU$202))+SUMPRODUCT(($CA$3:$CA$202=$A152)*($CD$3:$CD$202="")*ROW($CA$3:$CA$202))+SUMPRODUCT(($CG$3:$CG$202=$A152)*($CJ$3:$CJ$202="")*ROW($CG$3:$CG$202))+SUMPRODUCT(($CM$3:$CM$202=$A152)*($CP$3:$CP$202="")*ROW($CM$3:$CM$202)))-2,2),""))</f>
        <v/>
      </c>
      <c r="S152" s="48" t="inlineStr">
        <is>
          <t>Provided</t>
        </is>
      </c>
      <c r="T152" s="48" t="inlineStr"/>
      <c r="U152" s="48" t="inlineStr"/>
      <c r="V152" s="49" t="n">
        <v>45655</v>
      </c>
      <c r="W152" s="48" t="inlineStr">
        <is>
          <t>AEDT (UTC+11)</t>
        </is>
      </c>
      <c r="X152" s="48" t="inlineStr">
        <is>
          <t>3pm-6pm;</t>
        </is>
      </c>
      <c r="Y152" s="48" t="inlineStr">
        <is>
          <t>12pm-3pm;6pm-9pm;</t>
        </is>
      </c>
      <c r="Z152" s="48" t="inlineStr">
        <is>
          <t>6am-9am;9am-12pm;</t>
        </is>
      </c>
      <c r="AA152" s="48" t="inlineStr">
        <is>
          <t>3pm-6pm;</t>
        </is>
      </c>
      <c r="AB152" s="48" t="inlineStr">
        <is>
          <t>9am-12pm;12pm-3pm;3pm-6pm;</t>
        </is>
      </c>
      <c r="AC152" s="48" t="inlineStr">
        <is>
          <t>6am-9am;9am-12pm;</t>
        </is>
      </c>
      <c r="AD152" s="48" t="inlineStr">
        <is>
          <t>9am-12pm;</t>
        </is>
      </c>
      <c r="AE152" s="48" t="inlineStr">
        <is>
          <t>Either</t>
        </is>
      </c>
      <c r="AF152" s="48" t="inlineStr">
        <is>
          <t>Multiple devices</t>
        </is>
      </c>
      <c r="AG152" s="48" t="inlineStr">
        <is>
          <t>Australia</t>
        </is>
      </c>
      <c r="AH152" s="48" t="inlineStr">
        <is>
          <t>South Australia</t>
        </is>
      </c>
      <c r="AI152" s="48" t="inlineStr">
        <is>
          <t>Salisbury</t>
        </is>
      </c>
      <c r="AJ152" s="48" t="inlineStr">
        <is>
          <t>5108</t>
        </is>
      </c>
      <c r="AK152" s="49" t="n">
        <v>31161</v>
      </c>
      <c r="AL152" s="48" t="inlineStr">
        <is>
          <t>Other</t>
        </is>
      </c>
      <c r="AM152" s="48" t="inlineStr">
        <is>
          <t>Yes</t>
        </is>
      </c>
      <c r="AN152" s="48" t="inlineStr">
        <is>
          <t>B2</t>
        </is>
      </c>
      <c r="AO152" s="48" t="inlineStr">
        <is>
          <t>Moderate</t>
        </is>
      </c>
      <c r="AP152" s="48" t="inlineStr">
        <is>
          <t>Eritrea</t>
        </is>
      </c>
      <c r="AQ152" s="48" t="inlineStr">
        <is>
          <t>NA</t>
        </is>
      </c>
      <c r="AR152" s="48" t="inlineStr">
        <is>
          <t>Farsi (C1)</t>
        </is>
      </c>
      <c r="AS152" s="48" t="inlineStr">
        <is>
          <t>Muslim</t>
        </is>
      </c>
      <c r="AT152" s="48" t="inlineStr">
        <is>
          <t>Business &amp; Finance</t>
        </is>
      </c>
      <c r="AU152" s="48" t="inlineStr">
        <is>
          <t>Engineer</t>
        </is>
      </c>
      <c r="AV152" s="48" t="inlineStr">
        <is>
          <t>Medicine</t>
        </is>
      </c>
      <c r="AW152" s="48" t="inlineStr">
        <is>
          <t>Reading; Politics; Music</t>
        </is>
      </c>
      <c r="AX152" s="48" t="inlineStr">
        <is>
          <t>Refugee</t>
        </is>
      </c>
      <c r="AY152" s="48" t="inlineStr">
        <is>
          <t>Yes</t>
        </is>
      </c>
      <c r="AZ152" s="48" t="inlineStr">
        <is>
          <t>NA - Partner Organisation Verified</t>
        </is>
      </c>
      <c r="BA152" s="48" t="inlineStr">
        <is>
          <t>NA</t>
        </is>
      </c>
      <c r="BB152" s="48" t="inlineStr">
        <is>
          <t>NA</t>
        </is>
      </c>
      <c r="BC152" s="48" t="inlineStr">
        <is>
          <t>NA</t>
        </is>
      </c>
      <c r="BD152" s="48" t="inlineStr">
        <is>
          <t>NA</t>
        </is>
      </c>
      <c r="BE152" s="48" t="inlineStr"/>
      <c r="BF152" s="48" t="inlineStr"/>
      <c r="BG152" s="48" t="inlineStr">
        <is>
          <t>NA</t>
        </is>
      </c>
      <c r="BH152" s="48" t="inlineStr">
        <is>
          <t>NA - Student</t>
        </is>
      </c>
      <c r="BI152" s="48" t="inlineStr">
        <is>
          <t>Settlement Services International</t>
        </is>
      </c>
      <c r="BJ152" s="48" t="inlineStr">
        <is>
          <t>AGARWAL Akanksha</t>
        </is>
      </c>
      <c r="BK152" s="48" t="inlineStr">
        <is>
          <t>MCCLELLAND Reeve</t>
        </is>
      </c>
      <c r="BL152" s="48" t="inlineStr">
        <is>
          <t>Synthetic test record.</t>
        </is>
      </c>
      <c r="BM152" s="48" t="inlineStr"/>
      <c r="BN152" s="48">
        <f>TRIM(IF(AND($H152="Student",$J152="ADM-ACT-MAT-CNE"),"Invalid: Student cannot be CNE. ","")&amp;IF(AND($H152="Student",ISNUMBER($O152)),"Check: capacity set for a Student. ","")&amp;IF(AND(LEFT($J152,11)="ADM-ACT-MAT",$P152=0),"Check: matched status but 0 active pairings. ","")&amp;IF(AND($H152="Tutor",ISNUMBER($O152),$P152&gt;$O152),"Check: pairings exceed capacity. ","")&amp;IF(AND($BH152="Everyone",NOT(AND($BD152="Yes",$BG152="Yes"))),"Check: approved to tutor children but WWCC not provided/confirmed. ","")&amp;IF(AND($P152&gt;0,NOT(AND(OR(LEFT($AY152,3)="Yes",LEFT($AY152,2)="NA"),OR(LEFT($AZ152,3)="Yes",LEFT($AZ152,2)="NA")))),"Matched but vetting incomplete (interview/reference). ","")&amp;IF(COUNTIF($B$3:$B$600,$B152)&gt;1,"Duplicate participant name. ",""))</f>
        <v/>
      </c>
      <c r="BO152" s="48" t="inlineStr"/>
      <c r="BP152" s="48" t="inlineStr"/>
      <c r="BQ152" s="48" t="inlineStr"/>
      <c r="BR152" s="48" t="inlineStr"/>
      <c r="BS152" s="48" t="inlineStr"/>
      <c r="BT152" s="48" t="inlineStr"/>
      <c r="BU152" s="48" t="inlineStr"/>
      <c r="BV152" s="48" t="inlineStr"/>
      <c r="BW152" s="48" t="inlineStr"/>
      <c r="BX152" s="48" t="inlineStr"/>
      <c r="BY152" s="48" t="inlineStr"/>
      <c r="BZ152" s="48" t="inlineStr"/>
      <c r="CA152" s="48" t="inlineStr"/>
      <c r="CB152" s="48" t="inlineStr"/>
      <c r="CC152" s="48" t="inlineStr"/>
      <c r="CD152" s="48" t="inlineStr"/>
      <c r="CE152" s="48" t="inlineStr"/>
      <c r="CF152" s="48" t="inlineStr"/>
      <c r="CG152" s="48" t="inlineStr"/>
      <c r="CH152" s="48" t="inlineStr"/>
      <c r="CI152" s="48" t="inlineStr"/>
      <c r="CJ152" s="48" t="inlineStr"/>
      <c r="CK152" s="48" t="inlineStr"/>
      <c r="CL152" s="48" t="inlineStr"/>
      <c r="CM152" s="48" t="inlineStr"/>
      <c r="CN152" s="48" t="inlineStr"/>
      <c r="CO152" s="48" t="inlineStr"/>
      <c r="CP152" s="48" t="inlineStr"/>
      <c r="CQ152" s="48" t="inlineStr"/>
      <c r="CR152" s="48" t="inlineStr"/>
      <c r="CS152" s="48">
        <f>IF(LEFT($J152,3)="ERR",0,1)</f>
        <v/>
      </c>
      <c r="CT152" s="48">
        <f>IF(LEFT($J152,3)="ADM",1,0)</f>
        <v/>
      </c>
      <c r="CU152" s="48">
        <f>IF(OR($J152="ADM-ACT-MAT-CNE",$J152="ADM-ACT-MAT-CE",$J152="ADM-INACT-M&amp;T"),1,0)</f>
        <v/>
      </c>
      <c r="CV152" s="48">
        <f>IF(AND(CU152=1,ISNUMBER(M152),ISNUMBER(I152)),M152-I152,"")</f>
        <v/>
      </c>
      <c r="CW152" s="48">
        <f>IF(ISNUMBER(I152),TODAY()-I152,"")</f>
        <v/>
      </c>
      <c r="CX152" s="48">
        <f>IF(ISNUMBER(I152),DATE(YEAR(I152),MONTH(I152),1),"")</f>
        <v/>
      </c>
      <c r="CY152" s="48">
        <f>IFERROR(DATEDIF(AK152,TODAY(),"y"),"")</f>
        <v/>
      </c>
      <c r="CZ152" s="48">
        <f>IF(CY152="","",IF(CY152&lt;28,"18-27",IF(CY152&lt;38,"28-37",IF(CY152&lt;48,"38-47",IF(CY152&lt;58,"48-57",IF(CY152&lt;68,"58-67",IF(CY152&lt;78,"68-77","78+")))))) </f>
        <v/>
      </c>
      <c r="DA152" s="48">
        <f>IF(AND(BQ152&lt;&gt;"",BR152=""),N(BS152),0)+IF(AND(BW152&lt;&gt;"",BX152=""),N(BY152),0)+IF(AND(CC152&lt;&gt;"",CD152=""),N(CE152),0)+IF(AND(CI152&lt;&gt;"",CJ152=""),N(CK152),0)+IF(AND(CO152&lt;&gt;"",CP152=""),N(CQ152),0)</f>
        <v/>
      </c>
      <c r="DB152" s="48">
        <f>ROUND(IF(BQ152&lt;&gt;"",N(BS152)*MAX(0,((IF(BR152="",TODAY(),BR152))-BQ152)/7),0)+IF(BW152&lt;&gt;"",N(BY152)*MAX(0,((IF(BX152="",TODAY(),BX152))-BW152)/7),0)+IF(CC152&lt;&gt;"",N(CE152)*MAX(0,((IF(CD152="",TODAY(),CD152))-CC152)/7),0)+IF(CI152&lt;&gt;"",N(CK152)*MAX(0,((IF(CJ152="",TODAY(),CJ152))-CI152)/7),0)+IF(CO152&lt;&gt;"",N(CQ152)*MAX(0,((IF(CP152="",TODAY(),CP152))-CO152)/7),0),1)</f>
        <v/>
      </c>
      <c r="DC152" s="48">
        <f>IF(OR(TRIM(X152)="",TRIM(X152)="NA;",TRIM(X152)="NA"),0,1)</f>
        <v/>
      </c>
      <c r="DD152" s="48">
        <f>IF(OR(TRIM(Y152)="",TRIM(Y152)="NA;",TRIM(Y152)="NA"),0,1)</f>
        <v/>
      </c>
      <c r="DE152" s="48">
        <f>IF(OR(TRIM(Z152)="",TRIM(Z152)="NA;",TRIM(Z152)="NA"),0,1)</f>
        <v/>
      </c>
      <c r="DF152" s="48">
        <f>IF(OR(TRIM(AA152)="",TRIM(AA152)="NA;",TRIM(AA152)="NA"),0,1)</f>
        <v/>
      </c>
      <c r="DG152" s="48">
        <f>IF(OR(TRIM(AB152)="",TRIM(AB152)="NA;",TRIM(AB152)="NA"),0,1)</f>
        <v/>
      </c>
      <c r="DH152" s="48">
        <f>IF(OR(TRIM(AC152)="",TRIM(AC152)="NA;",TRIM(AC152)="NA"),0,1)</f>
        <v/>
      </c>
      <c r="DI152" s="48">
        <f>IF(OR(TRIM(AD152)="",TRIM(AD152)="NA;",TRIM(AD152)="NA"),0,1)</f>
        <v/>
      </c>
      <c r="DJ152" s="48">
        <f>TRIM(IF(DC152=1,"Mon ","")&amp;IF(DD152=1,"Tue ","")&amp;IF(DE152=1,"Wed ","")&amp;IF(DF152=1,"Thu ","")&amp;IF(DG152=1,"Fri ","")&amp;IF(DH152=1,"Sat ","")&amp;IF(DI152=1,"Sun ",""))</f>
        <v/>
      </c>
    </row>
    <row r="153">
      <c r="A153" s="48" t="inlineStr">
        <is>
          <t>S-N-00001</t>
        </is>
      </c>
      <c r="B153" s="48" t="inlineStr">
        <is>
          <t>Elena Harris</t>
        </is>
      </c>
      <c r="C153" s="48" t="inlineStr">
        <is>
          <t>elena.harris51@example.com</t>
        </is>
      </c>
      <c r="D153" s="48" t="inlineStr">
        <is>
          <t>+61 408 315 307</t>
        </is>
      </c>
      <c r="E153" s="48" t="inlineStr">
        <is>
          <t>Carlos King</t>
        </is>
      </c>
      <c r="F153" s="48" t="inlineStr">
        <is>
          <t>+61 487 339 818</t>
        </is>
      </c>
      <c r="G153" s="48" t="inlineStr">
        <is>
          <t>Sibling</t>
        </is>
      </c>
      <c r="H153" s="48" t="inlineStr">
        <is>
          <t>Student</t>
        </is>
      </c>
      <c r="I153" s="49" t="n">
        <v>45681</v>
      </c>
      <c r="J153" s="48" t="inlineStr">
        <is>
          <t>ADM-INACT-M&amp;T</t>
        </is>
      </c>
      <c r="K153" s="48">
        <f>IFERROR(VLOOKUP(J153,'(A) Introduction'!$B$35:$C$45,2,FALSE),"")</f>
        <v/>
      </c>
      <c r="L153" s="48" t="inlineStr">
        <is>
          <t>No</t>
        </is>
      </c>
      <c r="M153" s="49" t="n">
        <v>45722</v>
      </c>
      <c r="N153" s="49" t="n">
        <v>45923</v>
      </c>
      <c r="O153" s="48" t="inlineStr">
        <is>
          <t>NA</t>
        </is>
      </c>
      <c r="P153" s="48">
        <f>IF($H153="Tutor",((BQ153&lt;&gt;"")*(BR153=""))+((BW153&lt;&gt;"")*(BX153=""))+((CC153&lt;&gt;"")*(CD153=""))+((CI153&lt;&gt;"")*(CJ153=""))+((CO153&lt;&gt;"")*(CP153="")),SUMPRODUCT(--($BO$3:$BO$202=$A153),--($BR$3:$BR$202=""))+SUMPRODUCT(--($BU$3:$BU$202=$A153),--($BX$3:$BX$202=""))+SUMPRODUCT(--($CA$3:$CA$202=$A153),--($CD$3:$CD$202=""))+SUMPRODUCT(--($CG$3:$CG$202=$A153),--($CJ$3:$CJ$202=""))+SUMPRODUCT(--($CM$3:$CM$202=$A153),--($CP$3:$CP$202="")))</f>
        <v/>
      </c>
      <c r="Q153" s="48">
        <f>IF($H153="Tutor",(BQ153&lt;&gt;"")+(BW153&lt;&gt;"")+(CC153&lt;&gt;"")+(CI153&lt;&gt;"")+(CO153&lt;&gt;""),SUMPRODUCT(--($BO$3:$BO$202=$A153))+SUMPRODUCT(--($BU$3:$BU$202=$A153))+SUMPRODUCT(--($CA$3:$CA$202=$A153))+SUMPRODUCT(--($CG$3:$CG$202=$A153))+SUMPRODUCT(--($CM$3:$CM$202=$A153)))</f>
        <v/>
      </c>
      <c r="R153" s="48">
        <f>IF($H153="Tutor",TRIM(IF(AND(BQ153&lt;&gt;"",BR153=""),BP153&amp;"; ","")&amp;IF(AND(BW153&lt;&gt;"",BX153=""),BV153&amp;"; ","")&amp;IF(AND(CC153&lt;&gt;"",CD153=""),CB153&amp;"; ","")&amp;IF(AND(CI153&lt;&gt;"",CJ153=""),CH153&amp;"; ","")&amp;IF(AND(CO153&lt;&gt;"",CP153=""),CN153&amp;"; ","")),IFERROR(INDEX($A$3:$B$202,(SUMPRODUCT(($BO$3:$BO$202=$A153)*($BR$3:$BR$202="")*ROW($BO$3:$BO$202))+SUMPRODUCT(($BU$3:$BU$202=$A153)*($BX$3:$BX$202="")*ROW($BU$3:$BU$202))+SUMPRODUCT(($CA$3:$CA$202=$A153)*($CD$3:$CD$202="")*ROW($CA$3:$CA$202))+SUMPRODUCT(($CG$3:$CG$202=$A153)*($CJ$3:$CJ$202="")*ROW($CG$3:$CG$202))+SUMPRODUCT(($CM$3:$CM$202=$A153)*($CP$3:$CP$202="")*ROW($CM$3:$CM$202)))-2,2),""))</f>
        <v/>
      </c>
      <c r="S153" s="48" t="inlineStr">
        <is>
          <t>NA</t>
        </is>
      </c>
      <c r="T153" s="48" t="inlineStr"/>
      <c r="U153" s="48" t="inlineStr"/>
      <c r="V153" s="49" t="n">
        <v>45736</v>
      </c>
      <c r="W153" s="48" t="inlineStr">
        <is>
          <t>AEST (UTC+10)</t>
        </is>
      </c>
      <c r="X153" s="48" t="inlineStr">
        <is>
          <t>NA;</t>
        </is>
      </c>
      <c r="Y153" s="48" t="inlineStr">
        <is>
          <t>6pm-9pm;</t>
        </is>
      </c>
      <c r="Z153" s="48" t="inlineStr">
        <is>
          <t>6am-9am;9am-12pm;</t>
        </is>
      </c>
      <c r="AA153" s="48" t="inlineStr">
        <is>
          <t>6am-9am;9am-12pm;</t>
        </is>
      </c>
      <c r="AB153" s="48" t="inlineStr">
        <is>
          <t>12pm-3pm;6pm-9pm;</t>
        </is>
      </c>
      <c r="AC153" s="48" t="inlineStr">
        <is>
          <t>NA;</t>
        </is>
      </c>
      <c r="AD153" s="48" t="inlineStr">
        <is>
          <t>9am-12pm;</t>
        </is>
      </c>
      <c r="AE153" s="48" t="inlineStr">
        <is>
          <t>Online</t>
        </is>
      </c>
      <c r="AF153" s="48" t="inlineStr">
        <is>
          <t>Tablet</t>
        </is>
      </c>
      <c r="AG153" s="48" t="inlineStr">
        <is>
          <t>Australia</t>
        </is>
      </c>
      <c r="AH153" s="48" t="inlineStr">
        <is>
          <t>New South Wales</t>
        </is>
      </c>
      <c r="AI153" s="48" t="inlineStr">
        <is>
          <t>Doonside</t>
        </is>
      </c>
      <c r="AJ153" s="48" t="inlineStr">
        <is>
          <t>2767</t>
        </is>
      </c>
      <c r="AK153" s="49" t="n">
        <v>36308</v>
      </c>
      <c r="AL153" s="48" t="inlineStr">
        <is>
          <t>Male</t>
        </is>
      </c>
      <c r="AM153" s="48" t="inlineStr">
        <is>
          <t>Yes</t>
        </is>
      </c>
      <c r="AN153" s="48" t="inlineStr">
        <is>
          <t>B2</t>
        </is>
      </c>
      <c r="AO153" s="48" t="inlineStr">
        <is>
          <t>Low</t>
        </is>
      </c>
      <c r="AP153" s="48" t="inlineStr">
        <is>
          <t>Bangladesh</t>
        </is>
      </c>
      <c r="AQ153" s="48" t="inlineStr">
        <is>
          <t>NA</t>
        </is>
      </c>
      <c r="AR153" s="48" t="inlineStr">
        <is>
          <t>Burmese (C1)</t>
        </is>
      </c>
      <c r="AS153" s="48" t="inlineStr">
        <is>
          <t>Buddhist</t>
        </is>
      </c>
      <c r="AT153" s="48" t="inlineStr">
        <is>
          <t>Law &amp; Legal Services</t>
        </is>
      </c>
      <c r="AU153" s="48" t="inlineStr">
        <is>
          <t>Cleaner</t>
        </is>
      </c>
      <c r="AV153" s="48" t="inlineStr">
        <is>
          <t>Child Care</t>
        </is>
      </c>
      <c r="AW153" s="48" t="inlineStr">
        <is>
          <t>Cooking; Reading; Music</t>
        </is>
      </c>
      <c r="AX153" s="48" t="inlineStr">
        <is>
          <t>Asylum Seeker</t>
        </is>
      </c>
      <c r="AY153" s="48" t="inlineStr">
        <is>
          <t>No</t>
        </is>
      </c>
      <c r="AZ153" s="48" t="inlineStr">
        <is>
          <t>No</t>
        </is>
      </c>
      <c r="BA153" s="48" t="inlineStr">
        <is>
          <t>NA</t>
        </is>
      </c>
      <c r="BB153" s="48" t="inlineStr">
        <is>
          <t>NA</t>
        </is>
      </c>
      <c r="BC153" s="48" t="inlineStr">
        <is>
          <t>NA</t>
        </is>
      </c>
      <c r="BD153" s="48" t="inlineStr">
        <is>
          <t>NA</t>
        </is>
      </c>
      <c r="BE153" s="48" t="inlineStr"/>
      <c r="BF153" s="48" t="inlineStr"/>
      <c r="BG153" s="48" t="inlineStr">
        <is>
          <t>NA</t>
        </is>
      </c>
      <c r="BH153" s="48" t="inlineStr">
        <is>
          <t>NA - Student</t>
        </is>
      </c>
      <c r="BI153" s="48" t="inlineStr">
        <is>
          <t>University of Technology Sydney (including the Brennan Justice Program)</t>
        </is>
      </c>
      <c r="BJ153" s="48" t="inlineStr">
        <is>
          <t>SHANAHAN Jack</t>
        </is>
      </c>
      <c r="BK153" s="48" t="inlineStr">
        <is>
          <t>AGARWAL Akanksha</t>
        </is>
      </c>
      <c r="BL153" s="48" t="inlineStr">
        <is>
          <t>Synthetic test record.</t>
        </is>
      </c>
      <c r="BM153" s="48" t="inlineStr"/>
      <c r="BN153" s="48">
        <f>TRIM(IF(AND($H153="Student",$J153="ADM-ACT-MAT-CNE"),"Invalid: Student cannot be CNE. ","")&amp;IF(AND($H153="Student",ISNUMBER($O153)),"Check: capacity set for a Student. ","")&amp;IF(AND(LEFT($J153,11)="ADM-ACT-MAT",$P153=0),"Check: matched status but 0 active pairings. ","")&amp;IF(AND($H153="Tutor",ISNUMBER($O153),$P153&gt;$O153),"Check: pairings exceed capacity. ","")&amp;IF(AND($BH153="Everyone",NOT(AND($BD153="Yes",$BG153="Yes"))),"Check: approved to tutor children but WWCC not provided/confirmed. ","")&amp;IF(AND($P153&gt;0,NOT(AND(OR(LEFT($AY153,3)="Yes",LEFT($AY153,2)="NA"),OR(LEFT($AZ153,3)="Yes",LEFT($AZ153,2)="NA")))),"Matched but vetting incomplete (interview/reference). ","")&amp;IF(COUNTIF($B$3:$B$600,$B153)&gt;1,"Duplicate participant name. ",""))</f>
        <v/>
      </c>
      <c r="BO153" s="48" t="inlineStr"/>
      <c r="BP153" s="48" t="inlineStr"/>
      <c r="BQ153" s="48" t="inlineStr"/>
      <c r="BR153" s="48" t="inlineStr"/>
      <c r="BS153" s="48" t="inlineStr"/>
      <c r="BT153" s="48" t="inlineStr"/>
      <c r="BU153" s="48" t="inlineStr"/>
      <c r="BV153" s="48" t="inlineStr"/>
      <c r="BW153" s="48" t="inlineStr"/>
      <c r="BX153" s="48" t="inlineStr"/>
      <c r="BY153" s="48" t="inlineStr"/>
      <c r="BZ153" s="48" t="inlineStr"/>
      <c r="CA153" s="48" t="inlineStr"/>
      <c r="CB153" s="48" t="inlineStr"/>
      <c r="CC153" s="48" t="inlineStr"/>
      <c r="CD153" s="48" t="inlineStr"/>
      <c r="CE153" s="48" t="inlineStr"/>
      <c r="CF153" s="48" t="inlineStr"/>
      <c r="CG153" s="48" t="inlineStr"/>
      <c r="CH153" s="48" t="inlineStr"/>
      <c r="CI153" s="48" t="inlineStr"/>
      <c r="CJ153" s="48" t="inlineStr"/>
      <c r="CK153" s="48" t="inlineStr"/>
      <c r="CL153" s="48" t="inlineStr"/>
      <c r="CM153" s="48" t="inlineStr"/>
      <c r="CN153" s="48" t="inlineStr"/>
      <c r="CO153" s="48" t="inlineStr"/>
      <c r="CP153" s="48" t="inlineStr"/>
      <c r="CQ153" s="48" t="inlineStr"/>
      <c r="CR153" s="48" t="inlineStr"/>
      <c r="CS153" s="48">
        <f>IF(LEFT($J153,3)="ERR",0,1)</f>
        <v/>
      </c>
      <c r="CT153" s="48">
        <f>IF(LEFT($J153,3)="ADM",1,0)</f>
        <v/>
      </c>
      <c r="CU153" s="48">
        <f>IF(OR($J153="ADM-ACT-MAT-CNE",$J153="ADM-ACT-MAT-CE",$J153="ADM-INACT-M&amp;T"),1,0)</f>
        <v/>
      </c>
      <c r="CV153" s="48">
        <f>IF(AND(CU153=1,ISNUMBER(M153),ISNUMBER(I153)),M153-I153,"")</f>
        <v/>
      </c>
      <c r="CW153" s="48">
        <f>IF(ISNUMBER(I153),TODAY()-I153,"")</f>
        <v/>
      </c>
      <c r="CX153" s="48">
        <f>IF(ISNUMBER(I153),DATE(YEAR(I153),MONTH(I153),1),"")</f>
        <v/>
      </c>
      <c r="CY153" s="48">
        <f>IFERROR(DATEDIF(AK153,TODAY(),"y"),"")</f>
        <v/>
      </c>
      <c r="CZ153" s="48">
        <f>IF(CY153="","",IF(CY153&lt;28,"18-27",IF(CY153&lt;38,"28-37",IF(CY153&lt;48,"38-47",IF(CY153&lt;58,"48-57",IF(CY153&lt;68,"58-67",IF(CY153&lt;78,"68-77","78+")))))) </f>
        <v/>
      </c>
      <c r="DA153" s="48">
        <f>IF(AND(BQ153&lt;&gt;"",BR153=""),N(BS153),0)+IF(AND(BW153&lt;&gt;"",BX153=""),N(BY153),0)+IF(AND(CC153&lt;&gt;"",CD153=""),N(CE153),0)+IF(AND(CI153&lt;&gt;"",CJ153=""),N(CK153),0)+IF(AND(CO153&lt;&gt;"",CP153=""),N(CQ153),0)</f>
        <v/>
      </c>
      <c r="DB153" s="48">
        <f>ROUND(IF(BQ153&lt;&gt;"",N(BS153)*MAX(0,((IF(BR153="",TODAY(),BR153))-BQ153)/7),0)+IF(BW153&lt;&gt;"",N(BY153)*MAX(0,((IF(BX153="",TODAY(),BX153))-BW153)/7),0)+IF(CC153&lt;&gt;"",N(CE153)*MAX(0,((IF(CD153="",TODAY(),CD153))-CC153)/7),0)+IF(CI153&lt;&gt;"",N(CK153)*MAX(0,((IF(CJ153="",TODAY(),CJ153))-CI153)/7),0)+IF(CO153&lt;&gt;"",N(CQ153)*MAX(0,((IF(CP153="",TODAY(),CP153))-CO153)/7),0),1)</f>
        <v/>
      </c>
      <c r="DC153" s="48">
        <f>IF(OR(TRIM(X153)="",TRIM(X153)="NA;",TRIM(X153)="NA"),0,1)</f>
        <v/>
      </c>
      <c r="DD153" s="48">
        <f>IF(OR(TRIM(Y153)="",TRIM(Y153)="NA;",TRIM(Y153)="NA"),0,1)</f>
        <v/>
      </c>
      <c r="DE153" s="48">
        <f>IF(OR(TRIM(Z153)="",TRIM(Z153)="NA;",TRIM(Z153)="NA"),0,1)</f>
        <v/>
      </c>
      <c r="DF153" s="48">
        <f>IF(OR(TRIM(AA153)="",TRIM(AA153)="NA;",TRIM(AA153)="NA"),0,1)</f>
        <v/>
      </c>
      <c r="DG153" s="48">
        <f>IF(OR(TRIM(AB153)="",TRIM(AB153)="NA;",TRIM(AB153)="NA"),0,1)</f>
        <v/>
      </c>
      <c r="DH153" s="48">
        <f>IF(OR(TRIM(AC153)="",TRIM(AC153)="NA;",TRIM(AC153)="NA"),0,1)</f>
        <v/>
      </c>
      <c r="DI153" s="48">
        <f>IF(OR(TRIM(AD153)="",TRIM(AD153)="NA;",TRIM(AD153)="NA"),0,1)</f>
        <v/>
      </c>
      <c r="DJ153" s="48">
        <f>TRIM(IF(DC153=1,"Mon ","")&amp;IF(DD153=1,"Tue ","")&amp;IF(DE153=1,"Wed ","")&amp;IF(DF153=1,"Thu ","")&amp;IF(DG153=1,"Fri ","")&amp;IF(DH153=1,"Sat ","")&amp;IF(DI153=1,"Sun ",""))</f>
        <v/>
      </c>
    </row>
    <row r="154">
      <c r="A154" s="48" t="inlineStr">
        <is>
          <t>S-N-00002</t>
        </is>
      </c>
      <c r="B154" s="48" t="inlineStr">
        <is>
          <t>Maria Petrov</t>
        </is>
      </c>
      <c r="C154" s="48" t="inlineStr">
        <is>
          <t>maria.petrov52@example.com</t>
        </is>
      </c>
      <c r="D154" s="48" t="inlineStr">
        <is>
          <t>+61 403 347 384</t>
        </is>
      </c>
      <c r="E154" s="48" t="inlineStr">
        <is>
          <t>Elena Fernando</t>
        </is>
      </c>
      <c r="F154" s="48" t="inlineStr">
        <is>
          <t>+61 461 750 894</t>
        </is>
      </c>
      <c r="G154" s="48" t="inlineStr">
        <is>
          <t>Friend</t>
        </is>
      </c>
      <c r="H154" s="48" t="inlineStr">
        <is>
          <t>Student</t>
        </is>
      </c>
      <c r="I154" s="49" t="n">
        <v>45682</v>
      </c>
      <c r="J154" s="48" t="inlineStr">
        <is>
          <t>ADM-ACT-MAT-CE</t>
        </is>
      </c>
      <c r="K154" s="48">
        <f>IFERROR(VLOOKUP(J154,'(A) Introduction'!$B$35:$C$45,2,FALSE),"")</f>
        <v/>
      </c>
      <c r="L154" s="48" t="inlineStr">
        <is>
          <t>No</t>
        </is>
      </c>
      <c r="M154" s="49" t="n">
        <v>45735</v>
      </c>
      <c r="N154" s="48" t="inlineStr"/>
      <c r="O154" s="48" t="inlineStr">
        <is>
          <t>NA</t>
        </is>
      </c>
      <c r="P154" s="48">
        <f>IF($H154="Tutor",((BQ154&lt;&gt;"")*(BR154=""))+((BW154&lt;&gt;"")*(BX154=""))+((CC154&lt;&gt;"")*(CD154=""))+((CI154&lt;&gt;"")*(CJ154=""))+((CO154&lt;&gt;"")*(CP154="")),SUMPRODUCT(--($BO$3:$BO$202=$A154),--($BR$3:$BR$202=""))+SUMPRODUCT(--($BU$3:$BU$202=$A154),--($BX$3:$BX$202=""))+SUMPRODUCT(--($CA$3:$CA$202=$A154),--($CD$3:$CD$202=""))+SUMPRODUCT(--($CG$3:$CG$202=$A154),--($CJ$3:$CJ$202=""))+SUMPRODUCT(--($CM$3:$CM$202=$A154),--($CP$3:$CP$202="")))</f>
        <v/>
      </c>
      <c r="Q154" s="48">
        <f>IF($H154="Tutor",(BQ154&lt;&gt;"")+(BW154&lt;&gt;"")+(CC154&lt;&gt;"")+(CI154&lt;&gt;"")+(CO154&lt;&gt;""),SUMPRODUCT(--($BO$3:$BO$202=$A154))+SUMPRODUCT(--($BU$3:$BU$202=$A154))+SUMPRODUCT(--($CA$3:$CA$202=$A154))+SUMPRODUCT(--($CG$3:$CG$202=$A154))+SUMPRODUCT(--($CM$3:$CM$202=$A154)))</f>
        <v/>
      </c>
      <c r="R154" s="48">
        <f>IF($H154="Tutor",TRIM(IF(AND(BQ154&lt;&gt;"",BR154=""),BP154&amp;"; ","")&amp;IF(AND(BW154&lt;&gt;"",BX154=""),BV154&amp;"; ","")&amp;IF(AND(CC154&lt;&gt;"",CD154=""),CB154&amp;"; ","")&amp;IF(AND(CI154&lt;&gt;"",CJ154=""),CH154&amp;"; ","")&amp;IF(AND(CO154&lt;&gt;"",CP154=""),CN154&amp;"; ","")),IFERROR(INDEX($A$3:$B$202,(SUMPRODUCT(($BO$3:$BO$202=$A154)*($BR$3:$BR$202="")*ROW($BO$3:$BO$202))+SUMPRODUCT(($BU$3:$BU$202=$A154)*($BX$3:$BX$202="")*ROW($BU$3:$BU$202))+SUMPRODUCT(($CA$3:$CA$202=$A154)*($CD$3:$CD$202="")*ROW($CA$3:$CA$202))+SUMPRODUCT(($CG$3:$CG$202=$A154)*($CJ$3:$CJ$202="")*ROW($CG$3:$CG$202))+SUMPRODUCT(($CM$3:$CM$202=$A154)*($CP$3:$CP$202="")*ROW($CM$3:$CM$202)))-2,2),""))</f>
        <v/>
      </c>
      <c r="S154" s="48" t="inlineStr">
        <is>
          <t>Provided</t>
        </is>
      </c>
      <c r="T154" s="48" t="inlineStr"/>
      <c r="U154" s="48" t="inlineStr"/>
      <c r="V154" s="49" t="n">
        <v>45915</v>
      </c>
      <c r="W154" s="48" t="inlineStr">
        <is>
          <t>ACST (UTC+9:30)</t>
        </is>
      </c>
      <c r="X154" s="48" t="inlineStr">
        <is>
          <t>12pm-3pm;6pm-9pm;</t>
        </is>
      </c>
      <c r="Y154" s="48" t="inlineStr">
        <is>
          <t>9am-12pm;</t>
        </is>
      </c>
      <c r="Z154" s="48" t="inlineStr">
        <is>
          <t>6pm-9pm;</t>
        </is>
      </c>
      <c r="AA154" s="48" t="inlineStr">
        <is>
          <t>3pm-6pm;</t>
        </is>
      </c>
      <c r="AB154" s="48" t="inlineStr">
        <is>
          <t>6am-9am;9am-12pm;</t>
        </is>
      </c>
      <c r="AC154" s="48" t="inlineStr">
        <is>
          <t>NA;</t>
        </is>
      </c>
      <c r="AD154" s="48" t="inlineStr">
        <is>
          <t>3pm-6pm;</t>
        </is>
      </c>
      <c r="AE154" s="48" t="inlineStr">
        <is>
          <t>In-Person</t>
        </is>
      </c>
      <c r="AF154" s="48" t="inlineStr">
        <is>
          <t>Computer</t>
        </is>
      </c>
      <c r="AG154" s="48" t="inlineStr">
        <is>
          <t>Australia</t>
        </is>
      </c>
      <c r="AH154" s="48" t="inlineStr">
        <is>
          <t>New South Wales</t>
        </is>
      </c>
      <c r="AI154" s="48" t="inlineStr">
        <is>
          <t>Doonside</t>
        </is>
      </c>
      <c r="AJ154" s="48" t="inlineStr">
        <is>
          <t>2767</t>
        </is>
      </c>
      <c r="AK154" s="49" t="n">
        <v>30790</v>
      </c>
      <c r="AL154" s="48" t="inlineStr">
        <is>
          <t>Female</t>
        </is>
      </c>
      <c r="AM154" s="48" t="inlineStr">
        <is>
          <t>No</t>
        </is>
      </c>
      <c r="AN154" s="48" t="inlineStr">
        <is>
          <t>B2</t>
        </is>
      </c>
      <c r="AO154" s="48" t="inlineStr">
        <is>
          <t>High</t>
        </is>
      </c>
      <c r="AP154" s="48" t="inlineStr">
        <is>
          <t>South Sudan</t>
        </is>
      </c>
      <c r="AQ154" s="48" t="inlineStr">
        <is>
          <t>NA</t>
        </is>
      </c>
      <c r="AR154" s="48" t="inlineStr">
        <is>
          <t>Spanish (C1)</t>
        </is>
      </c>
      <c r="AS154" s="48" t="inlineStr">
        <is>
          <t>Christian</t>
        </is>
      </c>
      <c r="AT154" s="48" t="inlineStr">
        <is>
          <t>Hospitality &amp; Retail</t>
        </is>
      </c>
      <c r="AU154" s="48" t="inlineStr">
        <is>
          <t>Engineer</t>
        </is>
      </c>
      <c r="AV154" s="48" t="inlineStr">
        <is>
          <t>Counselling</t>
        </is>
      </c>
      <c r="AW154" s="48" t="inlineStr">
        <is>
          <t>Travel; Sport; Movies</t>
        </is>
      </c>
      <c r="AX154" s="48" t="inlineStr">
        <is>
          <t>Refugee</t>
        </is>
      </c>
      <c r="AY154" s="48" t="inlineStr">
        <is>
          <t>NA - RELT Member Verified</t>
        </is>
      </c>
      <c r="AZ154" s="48" t="inlineStr">
        <is>
          <t>Yes</t>
        </is>
      </c>
      <c r="BA154" s="48" t="inlineStr">
        <is>
          <t>NA</t>
        </is>
      </c>
      <c r="BB154" s="48" t="inlineStr">
        <is>
          <t>NA</t>
        </is>
      </c>
      <c r="BC154" s="48" t="inlineStr">
        <is>
          <t>NA</t>
        </is>
      </c>
      <c r="BD154" s="48" t="inlineStr">
        <is>
          <t>NA</t>
        </is>
      </c>
      <c r="BE154" s="48" t="inlineStr"/>
      <c r="BF154" s="48" t="inlineStr"/>
      <c r="BG154" s="48" t="inlineStr">
        <is>
          <t>NA</t>
        </is>
      </c>
      <c r="BH154" s="48" t="inlineStr">
        <is>
          <t>NA - Student</t>
        </is>
      </c>
      <c r="BI154" s="48" t="inlineStr">
        <is>
          <t>Supporting Asylum Seekers Sydney</t>
        </is>
      </c>
      <c r="BJ154" s="48" t="inlineStr">
        <is>
          <t>SHANAHAN Jack</t>
        </is>
      </c>
      <c r="BK154" s="48" t="inlineStr">
        <is>
          <t>HALLORAN Isobel</t>
        </is>
      </c>
      <c r="BL154" s="48" t="inlineStr">
        <is>
          <t>Synthetic test record.</t>
        </is>
      </c>
      <c r="BM154" s="48" t="inlineStr"/>
      <c r="BN154" s="48">
        <f>TRIM(IF(AND($H154="Student",$J154="ADM-ACT-MAT-CNE"),"Invalid: Student cannot be CNE. ","")&amp;IF(AND($H154="Student",ISNUMBER($O154)),"Check: capacity set for a Student. ","")&amp;IF(AND(LEFT($J154,11)="ADM-ACT-MAT",$P154=0),"Check: matched status but 0 active pairings. ","")&amp;IF(AND($H154="Tutor",ISNUMBER($O154),$P154&gt;$O154),"Check: pairings exceed capacity. ","")&amp;IF(AND($BH154="Everyone",NOT(AND($BD154="Yes",$BG154="Yes"))),"Check: approved to tutor children but WWCC not provided/confirmed. ","")&amp;IF(AND($P154&gt;0,NOT(AND(OR(LEFT($AY154,3)="Yes",LEFT($AY154,2)="NA"),OR(LEFT($AZ154,3)="Yes",LEFT($AZ154,2)="NA")))),"Matched but vetting incomplete (interview/reference). ","")&amp;IF(COUNTIF($B$3:$B$600,$B154)&gt;1,"Duplicate participant name. ",""))</f>
        <v/>
      </c>
      <c r="BO154" s="48" t="inlineStr"/>
      <c r="BP154" s="48" t="inlineStr"/>
      <c r="BQ154" s="48" t="inlineStr"/>
      <c r="BR154" s="48" t="inlineStr"/>
      <c r="BS154" s="48" t="inlineStr"/>
      <c r="BT154" s="48" t="inlineStr"/>
      <c r="BU154" s="48" t="inlineStr"/>
      <c r="BV154" s="48" t="inlineStr"/>
      <c r="BW154" s="48" t="inlineStr"/>
      <c r="BX154" s="48" t="inlineStr"/>
      <c r="BY154" s="48" t="inlineStr"/>
      <c r="BZ154" s="48" t="inlineStr"/>
      <c r="CA154" s="48" t="inlineStr"/>
      <c r="CB154" s="48" t="inlineStr"/>
      <c r="CC154" s="48" t="inlineStr"/>
      <c r="CD154" s="48" t="inlineStr"/>
      <c r="CE154" s="48" t="inlineStr"/>
      <c r="CF154" s="48" t="inlineStr"/>
      <c r="CG154" s="48" t="inlineStr"/>
      <c r="CH154" s="48" t="inlineStr"/>
      <c r="CI154" s="48" t="inlineStr"/>
      <c r="CJ154" s="48" t="inlineStr"/>
      <c r="CK154" s="48" t="inlineStr"/>
      <c r="CL154" s="48" t="inlineStr"/>
      <c r="CM154" s="48" t="inlineStr"/>
      <c r="CN154" s="48" t="inlineStr"/>
      <c r="CO154" s="48" t="inlineStr"/>
      <c r="CP154" s="48" t="inlineStr"/>
      <c r="CQ154" s="48" t="inlineStr"/>
      <c r="CR154" s="48" t="inlineStr"/>
      <c r="CS154" s="48">
        <f>IF(LEFT($J154,3)="ERR",0,1)</f>
        <v/>
      </c>
      <c r="CT154" s="48">
        <f>IF(LEFT($J154,3)="ADM",1,0)</f>
        <v/>
      </c>
      <c r="CU154" s="48">
        <f>IF(OR($J154="ADM-ACT-MAT-CNE",$J154="ADM-ACT-MAT-CE",$J154="ADM-INACT-M&amp;T"),1,0)</f>
        <v/>
      </c>
      <c r="CV154" s="48">
        <f>IF(AND(CU154=1,ISNUMBER(M154),ISNUMBER(I154)),M154-I154,"")</f>
        <v/>
      </c>
      <c r="CW154" s="48">
        <f>IF(ISNUMBER(I154),TODAY()-I154,"")</f>
        <v/>
      </c>
      <c r="CX154" s="48">
        <f>IF(ISNUMBER(I154),DATE(YEAR(I154),MONTH(I154),1),"")</f>
        <v/>
      </c>
      <c r="CY154" s="48">
        <f>IFERROR(DATEDIF(AK154,TODAY(),"y"),"")</f>
        <v/>
      </c>
      <c r="CZ154" s="48">
        <f>IF(CY154="","",IF(CY154&lt;28,"18-27",IF(CY154&lt;38,"28-37",IF(CY154&lt;48,"38-47",IF(CY154&lt;58,"48-57",IF(CY154&lt;68,"58-67",IF(CY154&lt;78,"68-77","78+")))))) </f>
        <v/>
      </c>
      <c r="DA154" s="48">
        <f>IF(AND(BQ154&lt;&gt;"",BR154=""),N(BS154),0)+IF(AND(BW154&lt;&gt;"",BX154=""),N(BY154),0)+IF(AND(CC154&lt;&gt;"",CD154=""),N(CE154),0)+IF(AND(CI154&lt;&gt;"",CJ154=""),N(CK154),0)+IF(AND(CO154&lt;&gt;"",CP154=""),N(CQ154),0)</f>
        <v/>
      </c>
      <c r="DB154" s="48">
        <f>ROUND(IF(BQ154&lt;&gt;"",N(BS154)*MAX(0,((IF(BR154="",TODAY(),BR154))-BQ154)/7),0)+IF(BW154&lt;&gt;"",N(BY154)*MAX(0,((IF(BX154="",TODAY(),BX154))-BW154)/7),0)+IF(CC154&lt;&gt;"",N(CE154)*MAX(0,((IF(CD154="",TODAY(),CD154))-CC154)/7),0)+IF(CI154&lt;&gt;"",N(CK154)*MAX(0,((IF(CJ154="",TODAY(),CJ154))-CI154)/7),0)+IF(CO154&lt;&gt;"",N(CQ154)*MAX(0,((IF(CP154="",TODAY(),CP154))-CO154)/7),0),1)</f>
        <v/>
      </c>
      <c r="DC154" s="48">
        <f>IF(OR(TRIM(X154)="",TRIM(X154)="NA;",TRIM(X154)="NA"),0,1)</f>
        <v/>
      </c>
      <c r="DD154" s="48">
        <f>IF(OR(TRIM(Y154)="",TRIM(Y154)="NA;",TRIM(Y154)="NA"),0,1)</f>
        <v/>
      </c>
      <c r="DE154" s="48">
        <f>IF(OR(TRIM(Z154)="",TRIM(Z154)="NA;",TRIM(Z154)="NA"),0,1)</f>
        <v/>
      </c>
      <c r="DF154" s="48">
        <f>IF(OR(TRIM(AA154)="",TRIM(AA154)="NA;",TRIM(AA154)="NA"),0,1)</f>
        <v/>
      </c>
      <c r="DG154" s="48">
        <f>IF(OR(TRIM(AB154)="",TRIM(AB154)="NA;",TRIM(AB154)="NA"),0,1)</f>
        <v/>
      </c>
      <c r="DH154" s="48">
        <f>IF(OR(TRIM(AC154)="",TRIM(AC154)="NA;",TRIM(AC154)="NA"),0,1)</f>
        <v/>
      </c>
      <c r="DI154" s="48">
        <f>IF(OR(TRIM(AD154)="",TRIM(AD154)="NA;",TRIM(AD154)="NA"),0,1)</f>
        <v/>
      </c>
      <c r="DJ154" s="48">
        <f>TRIM(IF(DC154=1,"Mon ","")&amp;IF(DD154=1,"Tue ","")&amp;IF(DE154=1,"Wed ","")&amp;IF(DF154=1,"Thu ","")&amp;IF(DG154=1,"Fri ","")&amp;IF(DH154=1,"Sat ","")&amp;IF(DI154=1,"Sun ",""))</f>
        <v/>
      </c>
    </row>
    <row r="155">
      <c r="A155" s="48" t="inlineStr">
        <is>
          <t>S-N-00003</t>
        </is>
      </c>
      <c r="B155" s="48" t="inlineStr">
        <is>
          <t>Diego Marks</t>
        </is>
      </c>
      <c r="C155" s="48" t="inlineStr">
        <is>
          <t>diego.marks53@example.com</t>
        </is>
      </c>
      <c r="D155" s="48" t="inlineStr">
        <is>
          <t>+61 498 892 100</t>
        </is>
      </c>
      <c r="E155" s="48" t="inlineStr">
        <is>
          <t>Mariam Smith</t>
        </is>
      </c>
      <c r="F155" s="48" t="inlineStr">
        <is>
          <t>+61 485 120 279</t>
        </is>
      </c>
      <c r="G155" s="48" t="inlineStr">
        <is>
          <t>Parent</t>
        </is>
      </c>
      <c r="H155" s="48" t="inlineStr">
        <is>
          <t>Student</t>
        </is>
      </c>
      <c r="I155" s="49" t="n">
        <v>45693</v>
      </c>
      <c r="J155" s="48" t="inlineStr">
        <is>
          <t>ADM-INACT-M&amp;T</t>
        </is>
      </c>
      <c r="K155" s="48">
        <f>IFERROR(VLOOKUP(J155,'(A) Introduction'!$B$35:$C$45,2,FALSE),"")</f>
        <v/>
      </c>
      <c r="L155" s="48" t="inlineStr">
        <is>
          <t>No</t>
        </is>
      </c>
      <c r="M155" s="49" t="n">
        <v>45753</v>
      </c>
      <c r="N155" s="49" t="n">
        <v>45814</v>
      </c>
      <c r="O155" s="48" t="inlineStr">
        <is>
          <t>NA</t>
        </is>
      </c>
      <c r="P155" s="48">
        <f>IF($H155="Tutor",((BQ155&lt;&gt;"")*(BR155=""))+((BW155&lt;&gt;"")*(BX155=""))+((CC155&lt;&gt;"")*(CD155=""))+((CI155&lt;&gt;"")*(CJ155=""))+((CO155&lt;&gt;"")*(CP155="")),SUMPRODUCT(--($BO$3:$BO$202=$A155),--($BR$3:$BR$202=""))+SUMPRODUCT(--($BU$3:$BU$202=$A155),--($BX$3:$BX$202=""))+SUMPRODUCT(--($CA$3:$CA$202=$A155),--($CD$3:$CD$202=""))+SUMPRODUCT(--($CG$3:$CG$202=$A155),--($CJ$3:$CJ$202=""))+SUMPRODUCT(--($CM$3:$CM$202=$A155),--($CP$3:$CP$202="")))</f>
        <v/>
      </c>
      <c r="Q155" s="48">
        <f>IF($H155="Tutor",(BQ155&lt;&gt;"")+(BW155&lt;&gt;"")+(CC155&lt;&gt;"")+(CI155&lt;&gt;"")+(CO155&lt;&gt;""),SUMPRODUCT(--($BO$3:$BO$202=$A155))+SUMPRODUCT(--($BU$3:$BU$202=$A155))+SUMPRODUCT(--($CA$3:$CA$202=$A155))+SUMPRODUCT(--($CG$3:$CG$202=$A155))+SUMPRODUCT(--($CM$3:$CM$202=$A155)))</f>
        <v/>
      </c>
      <c r="R155" s="48">
        <f>IF($H155="Tutor",TRIM(IF(AND(BQ155&lt;&gt;"",BR155=""),BP155&amp;"; ","")&amp;IF(AND(BW155&lt;&gt;"",BX155=""),BV155&amp;"; ","")&amp;IF(AND(CC155&lt;&gt;"",CD155=""),CB155&amp;"; ","")&amp;IF(AND(CI155&lt;&gt;"",CJ155=""),CH155&amp;"; ","")&amp;IF(AND(CO155&lt;&gt;"",CP155=""),CN155&amp;"; ","")),IFERROR(INDEX($A$3:$B$202,(SUMPRODUCT(($BO$3:$BO$202=$A155)*($BR$3:$BR$202="")*ROW($BO$3:$BO$202))+SUMPRODUCT(($BU$3:$BU$202=$A155)*($BX$3:$BX$202="")*ROW($BU$3:$BU$202))+SUMPRODUCT(($CA$3:$CA$202=$A155)*($CD$3:$CD$202="")*ROW($CA$3:$CA$202))+SUMPRODUCT(($CG$3:$CG$202=$A155)*($CJ$3:$CJ$202="")*ROW($CG$3:$CG$202))+SUMPRODUCT(($CM$3:$CM$202=$A155)*($CP$3:$CP$202="")*ROW($CM$3:$CM$202)))-2,2),""))</f>
        <v/>
      </c>
      <c r="S155" s="48" t="inlineStr">
        <is>
          <t>NA</t>
        </is>
      </c>
      <c r="T155" s="48" t="inlineStr"/>
      <c r="U155" s="48" t="inlineStr"/>
      <c r="V155" s="49" t="n">
        <v>45539</v>
      </c>
      <c r="W155" s="48" t="inlineStr">
        <is>
          <t>AEST (UTC+10)</t>
        </is>
      </c>
      <c r="X155" s="48" t="inlineStr">
        <is>
          <t>12pm-3pm;</t>
        </is>
      </c>
      <c r="Y155" s="48" t="inlineStr">
        <is>
          <t>NA;</t>
        </is>
      </c>
      <c r="Z155" s="48" t="inlineStr">
        <is>
          <t>6pm-9pm;</t>
        </is>
      </c>
      <c r="AA155" s="48" t="inlineStr">
        <is>
          <t>12pm-3pm;6pm-9pm;</t>
        </is>
      </c>
      <c r="AB155" s="48" t="inlineStr">
        <is>
          <t>9am-12pm;12pm-3pm;3pm-6pm;</t>
        </is>
      </c>
      <c r="AC155" s="48" t="inlineStr">
        <is>
          <t>6pm-9pm;</t>
        </is>
      </c>
      <c r="AD155" s="48" t="inlineStr">
        <is>
          <t>NA;</t>
        </is>
      </c>
      <c r="AE155" s="48" t="inlineStr">
        <is>
          <t>In-Person</t>
        </is>
      </c>
      <c r="AF155" s="48" t="inlineStr">
        <is>
          <t>Computer</t>
        </is>
      </c>
      <c r="AG155" s="48" t="inlineStr">
        <is>
          <t>Australia</t>
        </is>
      </c>
      <c r="AH155" s="48" t="inlineStr">
        <is>
          <t>New South Wales</t>
        </is>
      </c>
      <c r="AI155" s="48" t="inlineStr">
        <is>
          <t>Kogarah</t>
        </is>
      </c>
      <c r="AJ155" s="48" t="inlineStr">
        <is>
          <t>2217</t>
        </is>
      </c>
      <c r="AK155" s="49" t="n">
        <v>33903</v>
      </c>
      <c r="AL155" s="48" t="inlineStr">
        <is>
          <t>Other</t>
        </is>
      </c>
      <c r="AM155" s="48" t="inlineStr">
        <is>
          <t>No</t>
        </is>
      </c>
      <c r="AN155" s="48" t="inlineStr">
        <is>
          <t>B1</t>
        </is>
      </c>
      <c r="AO155" s="48" t="inlineStr">
        <is>
          <t>Outstanding</t>
        </is>
      </c>
      <c r="AP155" s="48" t="inlineStr">
        <is>
          <t>Iran; Colombia</t>
        </is>
      </c>
      <c r="AQ155" s="48" t="inlineStr">
        <is>
          <t>NA</t>
        </is>
      </c>
      <c r="AR155" s="48" t="inlineStr">
        <is>
          <t>Dari (B2)</t>
        </is>
      </c>
      <c r="AS155" s="48" t="inlineStr">
        <is>
          <t>Muslim</t>
        </is>
      </c>
      <c r="AT155" s="48" t="inlineStr">
        <is>
          <t>Social &amp; Community Services</t>
        </is>
      </c>
      <c r="AU155" s="48" t="inlineStr">
        <is>
          <t>Accountant</t>
        </is>
      </c>
      <c r="AV155" s="48" t="inlineStr">
        <is>
          <t>Child Care</t>
        </is>
      </c>
      <c r="AW155" s="48" t="inlineStr">
        <is>
          <t>Travel; Sport; Movies</t>
        </is>
      </c>
      <c r="AX155" s="48" t="inlineStr">
        <is>
          <t>Asylum Seeker</t>
        </is>
      </c>
      <c r="AY155" s="48" t="inlineStr">
        <is>
          <t>Yes</t>
        </is>
      </c>
      <c r="AZ155" s="48" t="inlineStr">
        <is>
          <t>Yes</t>
        </is>
      </c>
      <c r="BA155" s="48" t="inlineStr">
        <is>
          <t>NA</t>
        </is>
      </c>
      <c r="BB155" s="48" t="inlineStr">
        <is>
          <t>NA</t>
        </is>
      </c>
      <c r="BC155" s="48" t="inlineStr">
        <is>
          <t>NA</t>
        </is>
      </c>
      <c r="BD155" s="48" t="inlineStr">
        <is>
          <t>NA</t>
        </is>
      </c>
      <c r="BE155" s="48" t="inlineStr"/>
      <c r="BF155" s="48" t="inlineStr"/>
      <c r="BG155" s="48" t="inlineStr">
        <is>
          <t>NA</t>
        </is>
      </c>
      <c r="BH155" s="48" t="inlineStr">
        <is>
          <t>NA - Student</t>
        </is>
      </c>
      <c r="BI155" s="48" t="inlineStr">
        <is>
          <t>Notice Board</t>
        </is>
      </c>
      <c r="BJ155" s="48" t="inlineStr">
        <is>
          <t>KNIJNIK Marina</t>
        </is>
      </c>
      <c r="BK155" s="48" t="inlineStr">
        <is>
          <t>SHANAHAN Jack</t>
        </is>
      </c>
      <c r="BL155" s="48" t="inlineStr">
        <is>
          <t>Synthetic test record.</t>
        </is>
      </c>
      <c r="BM155" s="48" t="inlineStr"/>
      <c r="BN155" s="48">
        <f>TRIM(IF(AND($H155="Student",$J155="ADM-ACT-MAT-CNE"),"Invalid: Student cannot be CNE. ","")&amp;IF(AND($H155="Student",ISNUMBER($O155)),"Check: capacity set for a Student. ","")&amp;IF(AND(LEFT($J155,11)="ADM-ACT-MAT",$P155=0),"Check: matched status but 0 active pairings. ","")&amp;IF(AND($H155="Tutor",ISNUMBER($O155),$P155&gt;$O155),"Check: pairings exceed capacity. ","")&amp;IF(AND($BH155="Everyone",NOT(AND($BD155="Yes",$BG155="Yes"))),"Check: approved to tutor children but WWCC not provided/confirmed. ","")&amp;IF(AND($P155&gt;0,NOT(AND(OR(LEFT($AY155,3)="Yes",LEFT($AY155,2)="NA"),OR(LEFT($AZ155,3)="Yes",LEFT($AZ155,2)="NA")))),"Matched but vetting incomplete (interview/reference). ","")&amp;IF(COUNTIF($B$3:$B$600,$B155)&gt;1,"Duplicate participant name. ",""))</f>
        <v/>
      </c>
      <c r="BO155" s="48" t="inlineStr"/>
      <c r="BP155" s="48" t="inlineStr"/>
      <c r="BQ155" s="48" t="inlineStr"/>
      <c r="BR155" s="48" t="inlineStr"/>
      <c r="BS155" s="48" t="inlineStr"/>
      <c r="BT155" s="48" t="inlineStr"/>
      <c r="BU155" s="48" t="inlineStr"/>
      <c r="BV155" s="48" t="inlineStr"/>
      <c r="BW155" s="48" t="inlineStr"/>
      <c r="BX155" s="48" t="inlineStr"/>
      <c r="BY155" s="48" t="inlineStr"/>
      <c r="BZ155" s="48" t="inlineStr"/>
      <c r="CA155" s="48" t="inlineStr"/>
      <c r="CB155" s="48" t="inlineStr"/>
      <c r="CC155" s="48" t="inlineStr"/>
      <c r="CD155" s="48" t="inlineStr"/>
      <c r="CE155" s="48" t="inlineStr"/>
      <c r="CF155" s="48" t="inlineStr"/>
      <c r="CG155" s="48" t="inlineStr"/>
      <c r="CH155" s="48" t="inlineStr"/>
      <c r="CI155" s="48" t="inlineStr"/>
      <c r="CJ155" s="48" t="inlineStr"/>
      <c r="CK155" s="48" t="inlineStr"/>
      <c r="CL155" s="48" t="inlineStr"/>
      <c r="CM155" s="48" t="inlineStr"/>
      <c r="CN155" s="48" t="inlineStr"/>
      <c r="CO155" s="48" t="inlineStr"/>
      <c r="CP155" s="48" t="inlineStr"/>
      <c r="CQ155" s="48" t="inlineStr"/>
      <c r="CR155" s="48" t="inlineStr"/>
      <c r="CS155" s="48">
        <f>IF(LEFT($J155,3)="ERR",0,1)</f>
        <v/>
      </c>
      <c r="CT155" s="48">
        <f>IF(LEFT($J155,3)="ADM",1,0)</f>
        <v/>
      </c>
      <c r="CU155" s="48">
        <f>IF(OR($J155="ADM-ACT-MAT-CNE",$J155="ADM-ACT-MAT-CE",$J155="ADM-INACT-M&amp;T"),1,0)</f>
        <v/>
      </c>
      <c r="CV155" s="48">
        <f>IF(AND(CU155=1,ISNUMBER(M155),ISNUMBER(I155)),M155-I155,"")</f>
        <v/>
      </c>
      <c r="CW155" s="48">
        <f>IF(ISNUMBER(I155),TODAY()-I155,"")</f>
        <v/>
      </c>
      <c r="CX155" s="48">
        <f>IF(ISNUMBER(I155),DATE(YEAR(I155),MONTH(I155),1),"")</f>
        <v/>
      </c>
      <c r="CY155" s="48">
        <f>IFERROR(DATEDIF(AK155,TODAY(),"y"),"")</f>
        <v/>
      </c>
      <c r="CZ155" s="48">
        <f>IF(CY155="","",IF(CY155&lt;28,"18-27",IF(CY155&lt;38,"28-37",IF(CY155&lt;48,"38-47",IF(CY155&lt;58,"48-57",IF(CY155&lt;68,"58-67",IF(CY155&lt;78,"68-77","78+")))))) </f>
        <v/>
      </c>
      <c r="DA155" s="48">
        <f>IF(AND(BQ155&lt;&gt;"",BR155=""),N(BS155),0)+IF(AND(BW155&lt;&gt;"",BX155=""),N(BY155),0)+IF(AND(CC155&lt;&gt;"",CD155=""),N(CE155),0)+IF(AND(CI155&lt;&gt;"",CJ155=""),N(CK155),0)+IF(AND(CO155&lt;&gt;"",CP155=""),N(CQ155),0)</f>
        <v/>
      </c>
      <c r="DB155" s="48">
        <f>ROUND(IF(BQ155&lt;&gt;"",N(BS155)*MAX(0,((IF(BR155="",TODAY(),BR155))-BQ155)/7),0)+IF(BW155&lt;&gt;"",N(BY155)*MAX(0,((IF(BX155="",TODAY(),BX155))-BW155)/7),0)+IF(CC155&lt;&gt;"",N(CE155)*MAX(0,((IF(CD155="",TODAY(),CD155))-CC155)/7),0)+IF(CI155&lt;&gt;"",N(CK155)*MAX(0,((IF(CJ155="",TODAY(),CJ155))-CI155)/7),0)+IF(CO155&lt;&gt;"",N(CQ155)*MAX(0,((IF(CP155="",TODAY(),CP155))-CO155)/7),0),1)</f>
        <v/>
      </c>
      <c r="DC155" s="48">
        <f>IF(OR(TRIM(X155)="",TRIM(X155)="NA;",TRIM(X155)="NA"),0,1)</f>
        <v/>
      </c>
      <c r="DD155" s="48">
        <f>IF(OR(TRIM(Y155)="",TRIM(Y155)="NA;",TRIM(Y155)="NA"),0,1)</f>
        <v/>
      </c>
      <c r="DE155" s="48">
        <f>IF(OR(TRIM(Z155)="",TRIM(Z155)="NA;",TRIM(Z155)="NA"),0,1)</f>
        <v/>
      </c>
      <c r="DF155" s="48">
        <f>IF(OR(TRIM(AA155)="",TRIM(AA155)="NA;",TRIM(AA155)="NA"),0,1)</f>
        <v/>
      </c>
      <c r="DG155" s="48">
        <f>IF(OR(TRIM(AB155)="",TRIM(AB155)="NA;",TRIM(AB155)="NA"),0,1)</f>
        <v/>
      </c>
      <c r="DH155" s="48">
        <f>IF(OR(TRIM(AC155)="",TRIM(AC155)="NA;",TRIM(AC155)="NA"),0,1)</f>
        <v/>
      </c>
      <c r="DI155" s="48">
        <f>IF(OR(TRIM(AD155)="",TRIM(AD155)="NA;",TRIM(AD155)="NA"),0,1)</f>
        <v/>
      </c>
      <c r="DJ155" s="48">
        <f>TRIM(IF(DC155=1,"Mon ","")&amp;IF(DD155=1,"Tue ","")&amp;IF(DE155=1,"Wed ","")&amp;IF(DF155=1,"Thu ","")&amp;IF(DG155=1,"Fri ","")&amp;IF(DH155=1,"Sat ","")&amp;IF(DI155=1,"Sun ",""))</f>
        <v/>
      </c>
    </row>
    <row r="156">
      <c r="A156" s="48" t="inlineStr">
        <is>
          <t>S-N-00004</t>
        </is>
      </c>
      <c r="B156" s="48" t="inlineStr">
        <is>
          <t>Ahmad Ng</t>
        </is>
      </c>
      <c r="C156" s="48" t="inlineStr">
        <is>
          <t>ahmad.ng54@example.com</t>
        </is>
      </c>
      <c r="D156" s="48" t="inlineStr">
        <is>
          <t>+61 401 981 637</t>
        </is>
      </c>
      <c r="E156" s="48" t="inlineStr">
        <is>
          <t>Yusuf Green</t>
        </is>
      </c>
      <c r="F156" s="48" t="inlineStr">
        <is>
          <t>+61 475 644 856</t>
        </is>
      </c>
      <c r="G156" s="48" t="inlineStr">
        <is>
          <t>Caseworker</t>
        </is>
      </c>
      <c r="H156" s="48" t="inlineStr">
        <is>
          <t>Student</t>
        </is>
      </c>
      <c r="I156" s="49" t="n">
        <v>45701</v>
      </c>
      <c r="J156" s="48" t="inlineStr">
        <is>
          <t>NADM-REJ-UNRES</t>
        </is>
      </c>
      <c r="K156" s="48">
        <f>IFERROR(VLOOKUP(J156,'(A) Introduction'!$B$35:$C$45,2,FALSE),"")</f>
        <v/>
      </c>
      <c r="L156" s="48" t="inlineStr">
        <is>
          <t>No</t>
        </is>
      </c>
      <c r="M156" s="48" t="inlineStr"/>
      <c r="N156" s="48" t="inlineStr"/>
      <c r="O156" s="48" t="inlineStr">
        <is>
          <t>NA</t>
        </is>
      </c>
      <c r="P156" s="48">
        <f>IF($H156="Tutor",((BQ156&lt;&gt;"")*(BR156=""))+((BW156&lt;&gt;"")*(BX156=""))+((CC156&lt;&gt;"")*(CD156=""))+((CI156&lt;&gt;"")*(CJ156=""))+((CO156&lt;&gt;"")*(CP156="")),SUMPRODUCT(--($BO$3:$BO$202=$A156),--($BR$3:$BR$202=""))+SUMPRODUCT(--($BU$3:$BU$202=$A156),--($BX$3:$BX$202=""))+SUMPRODUCT(--($CA$3:$CA$202=$A156),--($CD$3:$CD$202=""))+SUMPRODUCT(--($CG$3:$CG$202=$A156),--($CJ$3:$CJ$202=""))+SUMPRODUCT(--($CM$3:$CM$202=$A156),--($CP$3:$CP$202="")))</f>
        <v/>
      </c>
      <c r="Q156" s="48">
        <f>IF($H156="Tutor",(BQ156&lt;&gt;"")+(BW156&lt;&gt;"")+(CC156&lt;&gt;"")+(CI156&lt;&gt;"")+(CO156&lt;&gt;""),SUMPRODUCT(--($BO$3:$BO$202=$A156))+SUMPRODUCT(--($BU$3:$BU$202=$A156))+SUMPRODUCT(--($CA$3:$CA$202=$A156))+SUMPRODUCT(--($CG$3:$CG$202=$A156))+SUMPRODUCT(--($CM$3:$CM$202=$A156)))</f>
        <v/>
      </c>
      <c r="R156" s="48">
        <f>IF($H156="Tutor",TRIM(IF(AND(BQ156&lt;&gt;"",BR156=""),BP156&amp;"; ","")&amp;IF(AND(BW156&lt;&gt;"",BX156=""),BV156&amp;"; ","")&amp;IF(AND(CC156&lt;&gt;"",CD156=""),CB156&amp;"; ","")&amp;IF(AND(CI156&lt;&gt;"",CJ156=""),CH156&amp;"; ","")&amp;IF(AND(CO156&lt;&gt;"",CP156=""),CN156&amp;"; ","")),IFERROR(INDEX($A$3:$B$202,(SUMPRODUCT(($BO$3:$BO$202=$A156)*($BR$3:$BR$202="")*ROW($BO$3:$BO$202))+SUMPRODUCT(($BU$3:$BU$202=$A156)*($BX$3:$BX$202="")*ROW($BU$3:$BU$202))+SUMPRODUCT(($CA$3:$CA$202=$A156)*($CD$3:$CD$202="")*ROW($CA$3:$CA$202))+SUMPRODUCT(($CG$3:$CG$202=$A156)*($CJ$3:$CJ$202="")*ROW($CG$3:$CG$202))+SUMPRODUCT(($CM$3:$CM$202=$A156)*($CP$3:$CP$202="")*ROW($CM$3:$CM$202)))-2,2),""))</f>
        <v/>
      </c>
      <c r="S156" s="48" t="inlineStr">
        <is>
          <t>NA</t>
        </is>
      </c>
      <c r="T156" s="48" t="inlineStr"/>
      <c r="U156" s="48" t="inlineStr"/>
      <c r="V156" s="48" t="inlineStr"/>
      <c r="W156" s="48" t="inlineStr">
        <is>
          <t>AEST (UTC+10)</t>
        </is>
      </c>
      <c r="X156" s="48" t="inlineStr">
        <is>
          <t>12pm-3pm;</t>
        </is>
      </c>
      <c r="Y156" s="48" t="inlineStr">
        <is>
          <t>9am-12pm;12pm-3pm;3pm-6pm;</t>
        </is>
      </c>
      <c r="Z156" s="48" t="inlineStr">
        <is>
          <t>6am-9am;9am-12pm;</t>
        </is>
      </c>
      <c r="AA156" s="48" t="inlineStr">
        <is>
          <t>9am-12pm;12pm-3pm;3pm-6pm;</t>
        </is>
      </c>
      <c r="AB156" s="48" t="inlineStr">
        <is>
          <t>6am-9am;9am-12pm;</t>
        </is>
      </c>
      <c r="AC156" s="48" t="inlineStr">
        <is>
          <t>3pm-6pm;</t>
        </is>
      </c>
      <c r="AD156" s="48" t="inlineStr">
        <is>
          <t>9am-12pm;</t>
        </is>
      </c>
      <c r="AE156" s="48" t="inlineStr">
        <is>
          <t>Either</t>
        </is>
      </c>
      <c r="AF156" s="48" t="inlineStr">
        <is>
          <t>Tablet</t>
        </is>
      </c>
      <c r="AG156" s="48" t="inlineStr">
        <is>
          <t>Australia</t>
        </is>
      </c>
      <c r="AH156" s="48" t="inlineStr">
        <is>
          <t>New South Wales</t>
        </is>
      </c>
      <c r="AI156" s="48" t="inlineStr">
        <is>
          <t>Canterbury</t>
        </is>
      </c>
      <c r="AJ156" s="48" t="inlineStr">
        <is>
          <t>2193</t>
        </is>
      </c>
      <c r="AK156" s="49" t="n">
        <v>32052</v>
      </c>
      <c r="AL156" s="48" t="inlineStr">
        <is>
          <t>Female</t>
        </is>
      </c>
      <c r="AM156" s="48" t="inlineStr">
        <is>
          <t>No</t>
        </is>
      </c>
      <c r="AN156" s="48" t="inlineStr">
        <is>
          <t>A1</t>
        </is>
      </c>
      <c r="AO156" s="48" t="inlineStr">
        <is>
          <t>High</t>
        </is>
      </c>
      <c r="AP156" s="48" t="inlineStr">
        <is>
          <t>Ukraine</t>
        </is>
      </c>
      <c r="AQ156" s="48" t="inlineStr">
        <is>
          <t>NA</t>
        </is>
      </c>
      <c r="AR156" s="48" t="inlineStr">
        <is>
          <t>Arabic (C1)</t>
        </is>
      </c>
      <c r="AS156" s="48" t="inlineStr">
        <is>
          <t>Christian (Catholic)</t>
        </is>
      </c>
      <c r="AT156" s="48" t="inlineStr">
        <is>
          <t>Arts, Media &amp; Design</t>
        </is>
      </c>
      <c r="AU156" s="48" t="inlineStr">
        <is>
          <t>Lawyer</t>
        </is>
      </c>
      <c r="AV156" s="48" t="inlineStr">
        <is>
          <t>Child Care</t>
        </is>
      </c>
      <c r="AW156" s="48" t="inlineStr">
        <is>
          <t>Cooking; Reading; Music</t>
        </is>
      </c>
      <c r="AX156" s="48" t="inlineStr">
        <is>
          <t>Refugee</t>
        </is>
      </c>
      <c r="AY156" s="48" t="inlineStr">
        <is>
          <t>NA - RELT Member Verified</t>
        </is>
      </c>
      <c r="AZ156" s="48" t="inlineStr">
        <is>
          <t>Yes</t>
        </is>
      </c>
      <c r="BA156" s="48" t="inlineStr">
        <is>
          <t>NA</t>
        </is>
      </c>
      <c r="BB156" s="48" t="inlineStr">
        <is>
          <t>NA</t>
        </is>
      </c>
      <c r="BC156" s="48" t="inlineStr">
        <is>
          <t>NA</t>
        </is>
      </c>
      <c r="BD156" s="48" t="inlineStr">
        <is>
          <t>NA</t>
        </is>
      </c>
      <c r="BE156" s="48" t="inlineStr"/>
      <c r="BF156" s="48" t="inlineStr"/>
      <c r="BG156" s="48" t="inlineStr">
        <is>
          <t>NA</t>
        </is>
      </c>
      <c r="BH156" s="48" t="inlineStr">
        <is>
          <t>NA - Student</t>
        </is>
      </c>
      <c r="BI156" s="48" t="inlineStr">
        <is>
          <t>Ayelet</t>
        </is>
      </c>
      <c r="BJ156" s="48" t="inlineStr">
        <is>
          <t>MCCRORIE John</t>
        </is>
      </c>
      <c r="BK156" s="48" t="inlineStr">
        <is>
          <t>MCCRORIE John</t>
        </is>
      </c>
      <c r="BL156" s="48" t="inlineStr">
        <is>
          <t>Synthetic test record.</t>
        </is>
      </c>
      <c r="BM156" s="48" t="inlineStr"/>
      <c r="BN156" s="48">
        <f>TRIM(IF(AND($H156="Student",$J156="ADM-ACT-MAT-CNE"),"Invalid: Student cannot be CNE. ","")&amp;IF(AND($H156="Student",ISNUMBER($O156)),"Check: capacity set for a Student. ","")&amp;IF(AND(LEFT($J156,11)="ADM-ACT-MAT",$P156=0),"Check: matched status but 0 active pairings. ","")&amp;IF(AND($H156="Tutor",ISNUMBER($O156),$P156&gt;$O156),"Check: pairings exceed capacity. ","")&amp;IF(AND($BH156="Everyone",NOT(AND($BD156="Yes",$BG156="Yes"))),"Check: approved to tutor children but WWCC not provided/confirmed. ","")&amp;IF(AND($P156&gt;0,NOT(AND(OR(LEFT($AY156,3)="Yes",LEFT($AY156,2)="NA"),OR(LEFT($AZ156,3)="Yes",LEFT($AZ156,2)="NA")))),"Matched but vetting incomplete (interview/reference). ","")&amp;IF(COUNTIF($B$3:$B$600,$B156)&gt;1,"Duplicate participant name. ",""))</f>
        <v/>
      </c>
      <c r="BO156" s="48" t="inlineStr"/>
      <c r="BP156" s="48" t="inlineStr"/>
      <c r="BQ156" s="48" t="inlineStr"/>
      <c r="BR156" s="48" t="inlineStr"/>
      <c r="BS156" s="48" t="inlineStr"/>
      <c r="BT156" s="48" t="inlineStr"/>
      <c r="BU156" s="48" t="inlineStr"/>
      <c r="BV156" s="48" t="inlineStr"/>
      <c r="BW156" s="48" t="inlineStr"/>
      <c r="BX156" s="48" t="inlineStr"/>
      <c r="BY156" s="48" t="inlineStr"/>
      <c r="BZ156" s="48" t="inlineStr"/>
      <c r="CA156" s="48" t="inlineStr"/>
      <c r="CB156" s="48" t="inlineStr"/>
      <c r="CC156" s="48" t="inlineStr"/>
      <c r="CD156" s="48" t="inlineStr"/>
      <c r="CE156" s="48" t="inlineStr"/>
      <c r="CF156" s="48" t="inlineStr"/>
      <c r="CG156" s="48" t="inlineStr"/>
      <c r="CH156" s="48" t="inlineStr"/>
      <c r="CI156" s="48" t="inlineStr"/>
      <c r="CJ156" s="48" t="inlineStr"/>
      <c r="CK156" s="48" t="inlineStr"/>
      <c r="CL156" s="48" t="inlineStr"/>
      <c r="CM156" s="48" t="inlineStr"/>
      <c r="CN156" s="48" t="inlineStr"/>
      <c r="CO156" s="48" t="inlineStr"/>
      <c r="CP156" s="48" t="inlineStr"/>
      <c r="CQ156" s="48" t="inlineStr"/>
      <c r="CR156" s="48" t="inlineStr"/>
      <c r="CS156" s="48">
        <f>IF(LEFT($J156,3)="ERR",0,1)</f>
        <v/>
      </c>
      <c r="CT156" s="48">
        <f>IF(LEFT($J156,3)="ADM",1,0)</f>
        <v/>
      </c>
      <c r="CU156" s="48">
        <f>IF(OR($J156="ADM-ACT-MAT-CNE",$J156="ADM-ACT-MAT-CE",$J156="ADM-INACT-M&amp;T"),1,0)</f>
        <v/>
      </c>
      <c r="CV156" s="48">
        <f>IF(AND(CU156=1,ISNUMBER(M156),ISNUMBER(I156)),M156-I156,"")</f>
        <v/>
      </c>
      <c r="CW156" s="48">
        <f>IF(ISNUMBER(I156),TODAY()-I156,"")</f>
        <v/>
      </c>
      <c r="CX156" s="48">
        <f>IF(ISNUMBER(I156),DATE(YEAR(I156),MONTH(I156),1),"")</f>
        <v/>
      </c>
      <c r="CY156" s="48">
        <f>IFERROR(DATEDIF(AK156,TODAY(),"y"),"")</f>
        <v/>
      </c>
      <c r="CZ156" s="48">
        <f>IF(CY156="","",IF(CY156&lt;28,"18-27",IF(CY156&lt;38,"28-37",IF(CY156&lt;48,"38-47",IF(CY156&lt;58,"48-57",IF(CY156&lt;68,"58-67",IF(CY156&lt;78,"68-77","78+")))))) </f>
        <v/>
      </c>
      <c r="DA156" s="48">
        <f>IF(AND(BQ156&lt;&gt;"",BR156=""),N(BS156),0)+IF(AND(BW156&lt;&gt;"",BX156=""),N(BY156),0)+IF(AND(CC156&lt;&gt;"",CD156=""),N(CE156),0)+IF(AND(CI156&lt;&gt;"",CJ156=""),N(CK156),0)+IF(AND(CO156&lt;&gt;"",CP156=""),N(CQ156),0)</f>
        <v/>
      </c>
      <c r="DB156" s="48">
        <f>ROUND(IF(BQ156&lt;&gt;"",N(BS156)*MAX(0,((IF(BR156="",TODAY(),BR156))-BQ156)/7),0)+IF(BW156&lt;&gt;"",N(BY156)*MAX(0,((IF(BX156="",TODAY(),BX156))-BW156)/7),0)+IF(CC156&lt;&gt;"",N(CE156)*MAX(0,((IF(CD156="",TODAY(),CD156))-CC156)/7),0)+IF(CI156&lt;&gt;"",N(CK156)*MAX(0,((IF(CJ156="",TODAY(),CJ156))-CI156)/7),0)+IF(CO156&lt;&gt;"",N(CQ156)*MAX(0,((IF(CP156="",TODAY(),CP156))-CO156)/7),0),1)</f>
        <v/>
      </c>
      <c r="DC156" s="48">
        <f>IF(OR(TRIM(X156)="",TRIM(X156)="NA;",TRIM(X156)="NA"),0,1)</f>
        <v/>
      </c>
      <c r="DD156" s="48">
        <f>IF(OR(TRIM(Y156)="",TRIM(Y156)="NA;",TRIM(Y156)="NA"),0,1)</f>
        <v/>
      </c>
      <c r="DE156" s="48">
        <f>IF(OR(TRIM(Z156)="",TRIM(Z156)="NA;",TRIM(Z156)="NA"),0,1)</f>
        <v/>
      </c>
      <c r="DF156" s="48">
        <f>IF(OR(TRIM(AA156)="",TRIM(AA156)="NA;",TRIM(AA156)="NA"),0,1)</f>
        <v/>
      </c>
      <c r="DG156" s="48">
        <f>IF(OR(TRIM(AB156)="",TRIM(AB156)="NA;",TRIM(AB156)="NA"),0,1)</f>
        <v/>
      </c>
      <c r="DH156" s="48">
        <f>IF(OR(TRIM(AC156)="",TRIM(AC156)="NA;",TRIM(AC156)="NA"),0,1)</f>
        <v/>
      </c>
      <c r="DI156" s="48">
        <f>IF(OR(TRIM(AD156)="",TRIM(AD156)="NA;",TRIM(AD156)="NA"),0,1)</f>
        <v/>
      </c>
      <c r="DJ156" s="48">
        <f>TRIM(IF(DC156=1,"Mon ","")&amp;IF(DD156=1,"Tue ","")&amp;IF(DE156=1,"Wed ","")&amp;IF(DF156=1,"Thu ","")&amp;IF(DG156=1,"Fri ","")&amp;IF(DH156=1,"Sat ","")&amp;IF(DI156=1,"Sun ",""))</f>
        <v/>
      </c>
    </row>
    <row r="157">
      <c r="A157" s="48" t="inlineStr">
        <is>
          <t>S-N-00005</t>
        </is>
      </c>
      <c r="B157" s="48" t="inlineStr">
        <is>
          <t>Laura Smith</t>
        </is>
      </c>
      <c r="C157" s="48" t="inlineStr">
        <is>
          <t>laura.smith55@example.com</t>
        </is>
      </c>
      <c r="D157" s="48" t="inlineStr">
        <is>
          <t>+61 445 319 340</t>
        </is>
      </c>
      <c r="E157" s="48" t="inlineStr">
        <is>
          <t>Viktor Khan</t>
        </is>
      </c>
      <c r="F157" s="48" t="inlineStr">
        <is>
          <t>+61 444 490 472</t>
        </is>
      </c>
      <c r="G157" s="48" t="inlineStr">
        <is>
          <t>Parent</t>
        </is>
      </c>
      <c r="H157" s="48" t="inlineStr">
        <is>
          <t>Student</t>
        </is>
      </c>
      <c r="I157" s="49" t="n">
        <v>45705</v>
      </c>
      <c r="J157" s="48" t="inlineStr">
        <is>
          <t>ADM-ACT-MAT-CE</t>
        </is>
      </c>
      <c r="K157" s="48">
        <f>IFERROR(VLOOKUP(J157,'(A) Introduction'!$B$35:$C$45,2,FALSE),"")</f>
        <v/>
      </c>
      <c r="L157" s="48" t="inlineStr">
        <is>
          <t>No</t>
        </is>
      </c>
      <c r="M157" s="49" t="n">
        <v>45780</v>
      </c>
      <c r="N157" s="48" t="inlineStr"/>
      <c r="O157" s="48" t="inlineStr">
        <is>
          <t>NA</t>
        </is>
      </c>
      <c r="P157" s="48">
        <f>IF($H157="Tutor",((BQ157&lt;&gt;"")*(BR157=""))+((BW157&lt;&gt;"")*(BX157=""))+((CC157&lt;&gt;"")*(CD157=""))+((CI157&lt;&gt;"")*(CJ157=""))+((CO157&lt;&gt;"")*(CP157="")),SUMPRODUCT(--($BO$3:$BO$202=$A157),--($BR$3:$BR$202=""))+SUMPRODUCT(--($BU$3:$BU$202=$A157),--($BX$3:$BX$202=""))+SUMPRODUCT(--($CA$3:$CA$202=$A157),--($CD$3:$CD$202=""))+SUMPRODUCT(--($CG$3:$CG$202=$A157),--($CJ$3:$CJ$202=""))+SUMPRODUCT(--($CM$3:$CM$202=$A157),--($CP$3:$CP$202="")))</f>
        <v/>
      </c>
      <c r="Q157" s="48">
        <f>IF($H157="Tutor",(BQ157&lt;&gt;"")+(BW157&lt;&gt;"")+(CC157&lt;&gt;"")+(CI157&lt;&gt;"")+(CO157&lt;&gt;""),SUMPRODUCT(--($BO$3:$BO$202=$A157))+SUMPRODUCT(--($BU$3:$BU$202=$A157))+SUMPRODUCT(--($CA$3:$CA$202=$A157))+SUMPRODUCT(--($CG$3:$CG$202=$A157))+SUMPRODUCT(--($CM$3:$CM$202=$A157)))</f>
        <v/>
      </c>
      <c r="R157" s="48">
        <f>IF($H157="Tutor",TRIM(IF(AND(BQ157&lt;&gt;"",BR157=""),BP157&amp;"; ","")&amp;IF(AND(BW157&lt;&gt;"",BX157=""),BV157&amp;"; ","")&amp;IF(AND(CC157&lt;&gt;"",CD157=""),CB157&amp;"; ","")&amp;IF(AND(CI157&lt;&gt;"",CJ157=""),CH157&amp;"; ","")&amp;IF(AND(CO157&lt;&gt;"",CP157=""),CN157&amp;"; ","")),IFERROR(INDEX($A$3:$B$202,(SUMPRODUCT(($BO$3:$BO$202=$A157)*($BR$3:$BR$202="")*ROW($BO$3:$BO$202))+SUMPRODUCT(($BU$3:$BU$202=$A157)*($BX$3:$BX$202="")*ROW($BU$3:$BU$202))+SUMPRODUCT(($CA$3:$CA$202=$A157)*($CD$3:$CD$202="")*ROW($CA$3:$CA$202))+SUMPRODUCT(($CG$3:$CG$202=$A157)*($CJ$3:$CJ$202="")*ROW($CG$3:$CG$202))+SUMPRODUCT(($CM$3:$CM$202=$A157)*($CP$3:$CP$202="")*ROW($CM$3:$CM$202)))-2,2),""))</f>
        <v/>
      </c>
      <c r="S157" s="48" t="inlineStr">
        <is>
          <t>NA</t>
        </is>
      </c>
      <c r="T157" s="48" t="inlineStr"/>
      <c r="U157" s="48" t="inlineStr"/>
      <c r="V157" s="49" t="n">
        <v>46189</v>
      </c>
      <c r="W157" s="48" t="inlineStr">
        <is>
          <t>AWST (UTC+8)</t>
        </is>
      </c>
      <c r="X157" s="48" t="inlineStr">
        <is>
          <t>9am-12pm;12pm-3pm;3pm-6pm;</t>
        </is>
      </c>
      <c r="Y157" s="48" t="inlineStr">
        <is>
          <t>6pm-9pm;</t>
        </is>
      </c>
      <c r="Z157" s="48" t="inlineStr">
        <is>
          <t>6pm-9pm;</t>
        </is>
      </c>
      <c r="AA157" s="48" t="inlineStr">
        <is>
          <t>9am-12pm;</t>
        </is>
      </c>
      <c r="AB157" s="48" t="inlineStr">
        <is>
          <t>6pm-9pm;</t>
        </is>
      </c>
      <c r="AC157" s="48" t="inlineStr">
        <is>
          <t>6pm-9pm;</t>
        </is>
      </c>
      <c r="AD157" s="48" t="inlineStr">
        <is>
          <t>6pm-9pm;</t>
        </is>
      </c>
      <c r="AE157" s="48" t="inlineStr">
        <is>
          <t>In-Person</t>
        </is>
      </c>
      <c r="AF157" s="48" t="inlineStr">
        <is>
          <t>Tablet</t>
        </is>
      </c>
      <c r="AG157" s="48" t="inlineStr">
        <is>
          <t>Australia</t>
        </is>
      </c>
      <c r="AH157" s="48" t="inlineStr">
        <is>
          <t>South Australia</t>
        </is>
      </c>
      <c r="AI157" s="48" t="inlineStr">
        <is>
          <t>Salisbury</t>
        </is>
      </c>
      <c r="AJ157" s="48" t="inlineStr">
        <is>
          <t>5108</t>
        </is>
      </c>
      <c r="AK157" s="49" t="n">
        <v>33861</v>
      </c>
      <c r="AL157" s="48" t="inlineStr">
        <is>
          <t>Other</t>
        </is>
      </c>
      <c r="AM157" s="48" t="inlineStr">
        <is>
          <t>Yes</t>
        </is>
      </c>
      <c r="AN157" s="48" t="inlineStr">
        <is>
          <t>B2</t>
        </is>
      </c>
      <c r="AO157" s="48" t="inlineStr">
        <is>
          <t>Moderate</t>
        </is>
      </c>
      <c r="AP157" s="48" t="inlineStr">
        <is>
          <t>Eritrea; Sri Lanka</t>
        </is>
      </c>
      <c r="AQ157" s="48" t="inlineStr">
        <is>
          <t>NA</t>
        </is>
      </c>
      <c r="AR157" s="48" t="inlineStr">
        <is>
          <t>Pashto (B2)</t>
        </is>
      </c>
      <c r="AS157" s="48" t="inlineStr">
        <is>
          <t>None</t>
        </is>
      </c>
      <c r="AT157" s="48" t="inlineStr">
        <is>
          <t>Hospitality &amp; Retail</t>
        </is>
      </c>
      <c r="AU157" s="48" t="inlineStr">
        <is>
          <t>Cleaner</t>
        </is>
      </c>
      <c r="AV157" s="48" t="inlineStr">
        <is>
          <t>Teacher</t>
        </is>
      </c>
      <c r="AW157" s="48" t="inlineStr">
        <is>
          <t>Reading; Politics; Music</t>
        </is>
      </c>
      <c r="AX157" s="48" t="inlineStr">
        <is>
          <t>Asylum Seeker</t>
        </is>
      </c>
      <c r="AY157" s="48" t="inlineStr">
        <is>
          <t>NA - Partner Organisation Verified</t>
        </is>
      </c>
      <c r="AZ157" s="48" t="inlineStr">
        <is>
          <t>NA - Partner Organisation Verified</t>
        </is>
      </c>
      <c r="BA157" s="48" t="inlineStr">
        <is>
          <t>NA</t>
        </is>
      </c>
      <c r="BB157" s="48" t="inlineStr">
        <is>
          <t>NA</t>
        </is>
      </c>
      <c r="BC157" s="48" t="inlineStr">
        <is>
          <t>NA</t>
        </is>
      </c>
      <c r="BD157" s="48" t="inlineStr">
        <is>
          <t>NA</t>
        </is>
      </c>
      <c r="BE157" s="48" t="inlineStr"/>
      <c r="BF157" s="48" t="inlineStr"/>
      <c r="BG157" s="48" t="inlineStr">
        <is>
          <t>NA</t>
        </is>
      </c>
      <c r="BH157" s="48" t="inlineStr">
        <is>
          <t>NA - Student</t>
        </is>
      </c>
      <c r="BI157" s="48" t="inlineStr">
        <is>
          <t>Supporting Asylum Seekers Sydney</t>
        </is>
      </c>
      <c r="BJ157" s="48" t="inlineStr">
        <is>
          <t>AGARWAL Akanksha</t>
        </is>
      </c>
      <c r="BK157" s="48" t="inlineStr">
        <is>
          <t>CROCK Mary</t>
        </is>
      </c>
      <c r="BL157" s="48" t="inlineStr">
        <is>
          <t>Synthetic test record.</t>
        </is>
      </c>
      <c r="BM157" s="48" t="inlineStr"/>
      <c r="BN157" s="48">
        <f>TRIM(IF(AND($H157="Student",$J157="ADM-ACT-MAT-CNE"),"Invalid: Student cannot be CNE. ","")&amp;IF(AND($H157="Student",ISNUMBER($O157)),"Check: capacity set for a Student. ","")&amp;IF(AND(LEFT($J157,11)="ADM-ACT-MAT",$P157=0),"Check: matched status but 0 active pairings. ","")&amp;IF(AND($H157="Tutor",ISNUMBER($O157),$P157&gt;$O157),"Check: pairings exceed capacity. ","")&amp;IF(AND($BH157="Everyone",NOT(AND($BD157="Yes",$BG157="Yes"))),"Check: approved to tutor children but WWCC not provided/confirmed. ","")&amp;IF(AND($P157&gt;0,NOT(AND(OR(LEFT($AY157,3)="Yes",LEFT($AY157,2)="NA"),OR(LEFT($AZ157,3)="Yes",LEFT($AZ157,2)="NA")))),"Matched but vetting incomplete (interview/reference). ","")&amp;IF(COUNTIF($B$3:$B$600,$B157)&gt;1,"Duplicate participant name. ",""))</f>
        <v/>
      </c>
      <c r="BO157" s="48" t="inlineStr"/>
      <c r="BP157" s="48" t="inlineStr"/>
      <c r="BQ157" s="48" t="inlineStr"/>
      <c r="BR157" s="48" t="inlineStr"/>
      <c r="BS157" s="48" t="inlineStr"/>
      <c r="BT157" s="48" t="inlineStr"/>
      <c r="BU157" s="48" t="inlineStr"/>
      <c r="BV157" s="48" t="inlineStr"/>
      <c r="BW157" s="48" t="inlineStr"/>
      <c r="BX157" s="48" t="inlineStr"/>
      <c r="BY157" s="48" t="inlineStr"/>
      <c r="BZ157" s="48" t="inlineStr"/>
      <c r="CA157" s="48" t="inlineStr"/>
      <c r="CB157" s="48" t="inlineStr"/>
      <c r="CC157" s="48" t="inlineStr"/>
      <c r="CD157" s="48" t="inlineStr"/>
      <c r="CE157" s="48" t="inlineStr"/>
      <c r="CF157" s="48" t="inlineStr"/>
      <c r="CG157" s="48" t="inlineStr"/>
      <c r="CH157" s="48" t="inlineStr"/>
      <c r="CI157" s="48" t="inlineStr"/>
      <c r="CJ157" s="48" t="inlineStr"/>
      <c r="CK157" s="48" t="inlineStr"/>
      <c r="CL157" s="48" t="inlineStr"/>
      <c r="CM157" s="48" t="inlineStr"/>
      <c r="CN157" s="48" t="inlineStr"/>
      <c r="CO157" s="48" t="inlineStr"/>
      <c r="CP157" s="48" t="inlineStr"/>
      <c r="CQ157" s="48" t="inlineStr"/>
      <c r="CR157" s="48" t="inlineStr"/>
      <c r="CS157" s="48">
        <f>IF(LEFT($J157,3)="ERR",0,1)</f>
        <v/>
      </c>
      <c r="CT157" s="48">
        <f>IF(LEFT($J157,3)="ADM",1,0)</f>
        <v/>
      </c>
      <c r="CU157" s="48">
        <f>IF(OR($J157="ADM-ACT-MAT-CNE",$J157="ADM-ACT-MAT-CE",$J157="ADM-INACT-M&amp;T"),1,0)</f>
        <v/>
      </c>
      <c r="CV157" s="48">
        <f>IF(AND(CU157=1,ISNUMBER(M157),ISNUMBER(I157)),M157-I157,"")</f>
        <v/>
      </c>
      <c r="CW157" s="48">
        <f>IF(ISNUMBER(I157),TODAY()-I157,"")</f>
        <v/>
      </c>
      <c r="CX157" s="48">
        <f>IF(ISNUMBER(I157),DATE(YEAR(I157),MONTH(I157),1),"")</f>
        <v/>
      </c>
      <c r="CY157" s="48">
        <f>IFERROR(DATEDIF(AK157,TODAY(),"y"),"")</f>
        <v/>
      </c>
      <c r="CZ157" s="48">
        <f>IF(CY157="","",IF(CY157&lt;28,"18-27",IF(CY157&lt;38,"28-37",IF(CY157&lt;48,"38-47",IF(CY157&lt;58,"48-57",IF(CY157&lt;68,"58-67",IF(CY157&lt;78,"68-77","78+")))))) </f>
        <v/>
      </c>
      <c r="DA157" s="48">
        <f>IF(AND(BQ157&lt;&gt;"",BR157=""),N(BS157),0)+IF(AND(BW157&lt;&gt;"",BX157=""),N(BY157),0)+IF(AND(CC157&lt;&gt;"",CD157=""),N(CE157),0)+IF(AND(CI157&lt;&gt;"",CJ157=""),N(CK157),0)+IF(AND(CO157&lt;&gt;"",CP157=""),N(CQ157),0)</f>
        <v/>
      </c>
      <c r="DB157" s="48">
        <f>ROUND(IF(BQ157&lt;&gt;"",N(BS157)*MAX(0,((IF(BR157="",TODAY(),BR157))-BQ157)/7),0)+IF(BW157&lt;&gt;"",N(BY157)*MAX(0,((IF(BX157="",TODAY(),BX157))-BW157)/7),0)+IF(CC157&lt;&gt;"",N(CE157)*MAX(0,((IF(CD157="",TODAY(),CD157))-CC157)/7),0)+IF(CI157&lt;&gt;"",N(CK157)*MAX(0,((IF(CJ157="",TODAY(),CJ157))-CI157)/7),0)+IF(CO157&lt;&gt;"",N(CQ157)*MAX(0,((IF(CP157="",TODAY(),CP157))-CO157)/7),0),1)</f>
        <v/>
      </c>
      <c r="DC157" s="48">
        <f>IF(OR(TRIM(X157)="",TRIM(X157)="NA;",TRIM(X157)="NA"),0,1)</f>
        <v/>
      </c>
      <c r="DD157" s="48">
        <f>IF(OR(TRIM(Y157)="",TRIM(Y157)="NA;",TRIM(Y157)="NA"),0,1)</f>
        <v/>
      </c>
      <c r="DE157" s="48">
        <f>IF(OR(TRIM(Z157)="",TRIM(Z157)="NA;",TRIM(Z157)="NA"),0,1)</f>
        <v/>
      </c>
      <c r="DF157" s="48">
        <f>IF(OR(TRIM(AA157)="",TRIM(AA157)="NA;",TRIM(AA157)="NA"),0,1)</f>
        <v/>
      </c>
      <c r="DG157" s="48">
        <f>IF(OR(TRIM(AB157)="",TRIM(AB157)="NA;",TRIM(AB157)="NA"),0,1)</f>
        <v/>
      </c>
      <c r="DH157" s="48">
        <f>IF(OR(TRIM(AC157)="",TRIM(AC157)="NA;",TRIM(AC157)="NA"),0,1)</f>
        <v/>
      </c>
      <c r="DI157" s="48">
        <f>IF(OR(TRIM(AD157)="",TRIM(AD157)="NA;",TRIM(AD157)="NA"),0,1)</f>
        <v/>
      </c>
      <c r="DJ157" s="48">
        <f>TRIM(IF(DC157=1,"Mon ","")&amp;IF(DD157=1,"Tue ","")&amp;IF(DE157=1,"Wed ","")&amp;IF(DF157=1,"Thu ","")&amp;IF(DG157=1,"Fri ","")&amp;IF(DH157=1,"Sat ","")&amp;IF(DI157=1,"Sun ",""))</f>
        <v/>
      </c>
    </row>
    <row r="158">
      <c r="A158" s="48" t="inlineStr">
        <is>
          <t>S-N-00006</t>
        </is>
      </c>
      <c r="B158" s="48" t="inlineStr">
        <is>
          <t>Anya Yang</t>
        </is>
      </c>
      <c r="C158" s="48" t="inlineStr">
        <is>
          <t>anya.yang56@example.com</t>
        </is>
      </c>
      <c r="D158" s="48" t="inlineStr">
        <is>
          <t>+61 473 130 520</t>
        </is>
      </c>
      <c r="E158" s="48" t="inlineStr">
        <is>
          <t>Maria King</t>
        </is>
      </c>
      <c r="F158" s="48" t="inlineStr">
        <is>
          <t>+61 462 117 606</t>
        </is>
      </c>
      <c r="G158" s="48" t="inlineStr">
        <is>
          <t>Friend</t>
        </is>
      </c>
      <c r="H158" s="48" t="inlineStr">
        <is>
          <t>Student</t>
        </is>
      </c>
      <c r="I158" s="49" t="n">
        <v>45716</v>
      </c>
      <c r="J158" s="48" t="inlineStr">
        <is>
          <t>ADM-ACT-MAT-CE</t>
        </is>
      </c>
      <c r="K158" s="48">
        <f>IFERROR(VLOOKUP(J158,'(A) Introduction'!$B$35:$C$45,2,FALSE),"")</f>
        <v/>
      </c>
      <c r="L158" s="48" t="inlineStr">
        <is>
          <t>No</t>
        </is>
      </c>
      <c r="M158" s="49" t="n">
        <v>45831</v>
      </c>
      <c r="N158" s="48" t="inlineStr"/>
      <c r="O158" s="48" t="inlineStr">
        <is>
          <t>NA</t>
        </is>
      </c>
      <c r="P158" s="48">
        <f>IF($H158="Tutor",((BQ158&lt;&gt;"")*(BR158=""))+((BW158&lt;&gt;"")*(BX158=""))+((CC158&lt;&gt;"")*(CD158=""))+((CI158&lt;&gt;"")*(CJ158=""))+((CO158&lt;&gt;"")*(CP158="")),SUMPRODUCT(--($BO$3:$BO$202=$A158),--($BR$3:$BR$202=""))+SUMPRODUCT(--($BU$3:$BU$202=$A158),--($BX$3:$BX$202=""))+SUMPRODUCT(--($CA$3:$CA$202=$A158),--($CD$3:$CD$202=""))+SUMPRODUCT(--($CG$3:$CG$202=$A158),--($CJ$3:$CJ$202=""))+SUMPRODUCT(--($CM$3:$CM$202=$A158),--($CP$3:$CP$202="")))</f>
        <v/>
      </c>
      <c r="Q158" s="48">
        <f>IF($H158="Tutor",(BQ158&lt;&gt;"")+(BW158&lt;&gt;"")+(CC158&lt;&gt;"")+(CI158&lt;&gt;"")+(CO158&lt;&gt;""),SUMPRODUCT(--($BO$3:$BO$202=$A158))+SUMPRODUCT(--($BU$3:$BU$202=$A158))+SUMPRODUCT(--($CA$3:$CA$202=$A158))+SUMPRODUCT(--($CG$3:$CG$202=$A158))+SUMPRODUCT(--($CM$3:$CM$202=$A158)))</f>
        <v/>
      </c>
      <c r="R158" s="48">
        <f>IF($H158="Tutor",TRIM(IF(AND(BQ158&lt;&gt;"",BR158=""),BP158&amp;"; ","")&amp;IF(AND(BW158&lt;&gt;"",BX158=""),BV158&amp;"; ","")&amp;IF(AND(CC158&lt;&gt;"",CD158=""),CB158&amp;"; ","")&amp;IF(AND(CI158&lt;&gt;"",CJ158=""),CH158&amp;"; ","")&amp;IF(AND(CO158&lt;&gt;"",CP158=""),CN158&amp;"; ","")),IFERROR(INDEX($A$3:$B$202,(SUMPRODUCT(($BO$3:$BO$202=$A158)*($BR$3:$BR$202="")*ROW($BO$3:$BO$202))+SUMPRODUCT(($BU$3:$BU$202=$A158)*($BX$3:$BX$202="")*ROW($BU$3:$BU$202))+SUMPRODUCT(($CA$3:$CA$202=$A158)*($CD$3:$CD$202="")*ROW($CA$3:$CA$202))+SUMPRODUCT(($CG$3:$CG$202=$A158)*($CJ$3:$CJ$202="")*ROW($CG$3:$CG$202))+SUMPRODUCT(($CM$3:$CM$202=$A158)*($CP$3:$CP$202="")*ROW($CM$3:$CM$202)))-2,2),""))</f>
        <v/>
      </c>
      <c r="S158" s="48" t="inlineStr">
        <is>
          <t>Not Provided</t>
        </is>
      </c>
      <c r="T158" s="48" t="inlineStr"/>
      <c r="U158" s="48" t="inlineStr"/>
      <c r="V158" s="49" t="n">
        <v>46036</v>
      </c>
      <c r="W158" s="48" t="inlineStr">
        <is>
          <t>AWST (UTC+8)</t>
        </is>
      </c>
      <c r="X158" s="48" t="inlineStr">
        <is>
          <t>6pm-9pm;</t>
        </is>
      </c>
      <c r="Y158" s="48" t="inlineStr">
        <is>
          <t>6am-9am;9am-12pm;</t>
        </is>
      </c>
      <c r="Z158" s="48" t="inlineStr">
        <is>
          <t>9am-12pm;12pm-3pm;3pm-6pm;</t>
        </is>
      </c>
      <c r="AA158" s="48" t="inlineStr">
        <is>
          <t>6pm-9pm;</t>
        </is>
      </c>
      <c r="AB158" s="48" t="inlineStr">
        <is>
          <t>3pm-6pm;</t>
        </is>
      </c>
      <c r="AC158" s="48" t="inlineStr">
        <is>
          <t>9am-12pm;12pm-3pm;3pm-6pm;</t>
        </is>
      </c>
      <c r="AD158" s="48" t="inlineStr">
        <is>
          <t>6pm-9pm;</t>
        </is>
      </c>
      <c r="AE158" s="48" t="inlineStr">
        <is>
          <t>In-Person</t>
        </is>
      </c>
      <c r="AF158" s="48" t="inlineStr">
        <is>
          <t>Multiple devices</t>
        </is>
      </c>
      <c r="AG158" s="48" t="inlineStr">
        <is>
          <t>Australia</t>
        </is>
      </c>
      <c r="AH158" s="48" t="inlineStr">
        <is>
          <t>South Australia</t>
        </is>
      </c>
      <c r="AI158" s="48" t="inlineStr">
        <is>
          <t>Salisbury</t>
        </is>
      </c>
      <c r="AJ158" s="48" t="inlineStr">
        <is>
          <t>5108</t>
        </is>
      </c>
      <c r="AK158" s="49" t="n">
        <v>26555</v>
      </c>
      <c r="AL158" s="48" t="inlineStr">
        <is>
          <t>Other</t>
        </is>
      </c>
      <c r="AM158" s="48" t="inlineStr">
        <is>
          <t>No</t>
        </is>
      </c>
      <c r="AN158" s="48" t="inlineStr">
        <is>
          <t>A2</t>
        </is>
      </c>
      <c r="AO158" s="48" t="inlineStr">
        <is>
          <t>Outstanding</t>
        </is>
      </c>
      <c r="AP158" s="48" t="inlineStr">
        <is>
          <t>Pakistan; Afghanistan</t>
        </is>
      </c>
      <c r="AQ158" s="48" t="inlineStr">
        <is>
          <t>NA</t>
        </is>
      </c>
      <c r="AR158" s="48" t="inlineStr">
        <is>
          <t>Pashto (B2)</t>
        </is>
      </c>
      <c r="AS158" s="48" t="inlineStr">
        <is>
          <t>Hindu</t>
        </is>
      </c>
      <c r="AT158" s="48" t="inlineStr">
        <is>
          <t>Other / Unspecified</t>
        </is>
      </c>
      <c r="AU158" s="48" t="inlineStr">
        <is>
          <t>Cleaner</t>
        </is>
      </c>
      <c r="AV158" s="48" t="inlineStr">
        <is>
          <t>Construction</t>
        </is>
      </c>
      <c r="AW158" s="48" t="inlineStr">
        <is>
          <t>Gardening; Cooking; Walking</t>
        </is>
      </c>
      <c r="AX158" s="48" t="inlineStr">
        <is>
          <t>Asylum Seeker</t>
        </is>
      </c>
      <c r="AY158" s="48" t="inlineStr">
        <is>
          <t>No</t>
        </is>
      </c>
      <c r="AZ158" s="48" t="inlineStr">
        <is>
          <t>Yes</t>
        </is>
      </c>
      <c r="BA158" s="48" t="inlineStr">
        <is>
          <t>NA</t>
        </is>
      </c>
      <c r="BB158" s="48" t="inlineStr">
        <is>
          <t>NA</t>
        </is>
      </c>
      <c r="BC158" s="48" t="inlineStr">
        <is>
          <t>NA</t>
        </is>
      </c>
      <c r="BD158" s="48" t="inlineStr">
        <is>
          <t>NA</t>
        </is>
      </c>
      <c r="BE158" s="48" t="inlineStr"/>
      <c r="BF158" s="48" t="inlineStr"/>
      <c r="BG158" s="48" t="inlineStr">
        <is>
          <t>NA</t>
        </is>
      </c>
      <c r="BH158" s="48" t="inlineStr">
        <is>
          <t>NA - Student</t>
        </is>
      </c>
      <c r="BI158" s="48" t="inlineStr">
        <is>
          <t>Grandmothers for Refugees</t>
        </is>
      </c>
      <c r="BJ158" s="48" t="inlineStr">
        <is>
          <t>THET Moh Moh</t>
        </is>
      </c>
      <c r="BK158" s="48" t="inlineStr">
        <is>
          <t>THET Moh Moh</t>
        </is>
      </c>
      <c r="BL158" s="48" t="inlineStr">
        <is>
          <t>Synthetic test record.</t>
        </is>
      </c>
      <c r="BM158" s="48" t="inlineStr"/>
      <c r="BN158" s="48">
        <f>TRIM(IF(AND($H158="Student",$J158="ADM-ACT-MAT-CNE"),"Invalid: Student cannot be CNE. ","")&amp;IF(AND($H158="Student",ISNUMBER($O158)),"Check: capacity set for a Student. ","")&amp;IF(AND(LEFT($J158,11)="ADM-ACT-MAT",$P158=0),"Check: matched status but 0 active pairings. ","")&amp;IF(AND($H158="Tutor",ISNUMBER($O158),$P158&gt;$O158),"Check: pairings exceed capacity. ","")&amp;IF(AND($BH158="Everyone",NOT(AND($BD158="Yes",$BG158="Yes"))),"Check: approved to tutor children but WWCC not provided/confirmed. ","")&amp;IF(AND($P158&gt;0,NOT(AND(OR(LEFT($AY158,3)="Yes",LEFT($AY158,2)="NA"),OR(LEFT($AZ158,3)="Yes",LEFT($AZ158,2)="NA")))),"Matched but vetting incomplete (interview/reference). ","")&amp;IF(COUNTIF($B$3:$B$600,$B158)&gt;1,"Duplicate participant name. ",""))</f>
        <v/>
      </c>
      <c r="BO158" s="48" t="inlineStr"/>
      <c r="BP158" s="48" t="inlineStr"/>
      <c r="BQ158" s="48" t="inlineStr"/>
      <c r="BR158" s="48" t="inlineStr"/>
      <c r="BS158" s="48" t="inlineStr"/>
      <c r="BT158" s="48" t="inlineStr"/>
      <c r="BU158" s="48" t="inlineStr"/>
      <c r="BV158" s="48" t="inlineStr"/>
      <c r="BW158" s="48" t="inlineStr"/>
      <c r="BX158" s="48" t="inlineStr"/>
      <c r="BY158" s="48" t="inlineStr"/>
      <c r="BZ158" s="48" t="inlineStr"/>
      <c r="CA158" s="48" t="inlineStr"/>
      <c r="CB158" s="48" t="inlineStr"/>
      <c r="CC158" s="48" t="inlineStr"/>
      <c r="CD158" s="48" t="inlineStr"/>
      <c r="CE158" s="48" t="inlineStr"/>
      <c r="CF158" s="48" t="inlineStr"/>
      <c r="CG158" s="48" t="inlineStr"/>
      <c r="CH158" s="48" t="inlineStr"/>
      <c r="CI158" s="48" t="inlineStr"/>
      <c r="CJ158" s="48" t="inlineStr"/>
      <c r="CK158" s="48" t="inlineStr"/>
      <c r="CL158" s="48" t="inlineStr"/>
      <c r="CM158" s="48" t="inlineStr"/>
      <c r="CN158" s="48" t="inlineStr"/>
      <c r="CO158" s="48" t="inlineStr"/>
      <c r="CP158" s="48" t="inlineStr"/>
      <c r="CQ158" s="48" t="inlineStr"/>
      <c r="CR158" s="48" t="inlineStr"/>
      <c r="CS158" s="48">
        <f>IF(LEFT($J158,3)="ERR",0,1)</f>
        <v/>
      </c>
      <c r="CT158" s="48">
        <f>IF(LEFT($J158,3)="ADM",1,0)</f>
        <v/>
      </c>
      <c r="CU158" s="48">
        <f>IF(OR($J158="ADM-ACT-MAT-CNE",$J158="ADM-ACT-MAT-CE",$J158="ADM-INACT-M&amp;T"),1,0)</f>
        <v/>
      </c>
      <c r="CV158" s="48">
        <f>IF(AND(CU158=1,ISNUMBER(M158),ISNUMBER(I158)),M158-I158,"")</f>
        <v/>
      </c>
      <c r="CW158" s="48">
        <f>IF(ISNUMBER(I158),TODAY()-I158,"")</f>
        <v/>
      </c>
      <c r="CX158" s="48">
        <f>IF(ISNUMBER(I158),DATE(YEAR(I158),MONTH(I158),1),"")</f>
        <v/>
      </c>
      <c r="CY158" s="48">
        <f>IFERROR(DATEDIF(AK158,TODAY(),"y"),"")</f>
        <v/>
      </c>
      <c r="CZ158" s="48">
        <f>IF(CY158="","",IF(CY158&lt;28,"18-27",IF(CY158&lt;38,"28-37",IF(CY158&lt;48,"38-47",IF(CY158&lt;58,"48-57",IF(CY158&lt;68,"58-67",IF(CY158&lt;78,"68-77","78+")))))) </f>
        <v/>
      </c>
      <c r="DA158" s="48">
        <f>IF(AND(BQ158&lt;&gt;"",BR158=""),N(BS158),0)+IF(AND(BW158&lt;&gt;"",BX158=""),N(BY158),0)+IF(AND(CC158&lt;&gt;"",CD158=""),N(CE158),0)+IF(AND(CI158&lt;&gt;"",CJ158=""),N(CK158),0)+IF(AND(CO158&lt;&gt;"",CP158=""),N(CQ158),0)</f>
        <v/>
      </c>
      <c r="DB158" s="48">
        <f>ROUND(IF(BQ158&lt;&gt;"",N(BS158)*MAX(0,((IF(BR158="",TODAY(),BR158))-BQ158)/7),0)+IF(BW158&lt;&gt;"",N(BY158)*MAX(0,((IF(BX158="",TODAY(),BX158))-BW158)/7),0)+IF(CC158&lt;&gt;"",N(CE158)*MAX(0,((IF(CD158="",TODAY(),CD158))-CC158)/7),0)+IF(CI158&lt;&gt;"",N(CK158)*MAX(0,((IF(CJ158="",TODAY(),CJ158))-CI158)/7),0)+IF(CO158&lt;&gt;"",N(CQ158)*MAX(0,((IF(CP158="",TODAY(),CP158))-CO158)/7),0),1)</f>
        <v/>
      </c>
      <c r="DC158" s="48">
        <f>IF(OR(TRIM(X158)="",TRIM(X158)="NA;",TRIM(X158)="NA"),0,1)</f>
        <v/>
      </c>
      <c r="DD158" s="48">
        <f>IF(OR(TRIM(Y158)="",TRIM(Y158)="NA;",TRIM(Y158)="NA"),0,1)</f>
        <v/>
      </c>
      <c r="DE158" s="48">
        <f>IF(OR(TRIM(Z158)="",TRIM(Z158)="NA;",TRIM(Z158)="NA"),0,1)</f>
        <v/>
      </c>
      <c r="DF158" s="48">
        <f>IF(OR(TRIM(AA158)="",TRIM(AA158)="NA;",TRIM(AA158)="NA"),0,1)</f>
        <v/>
      </c>
      <c r="DG158" s="48">
        <f>IF(OR(TRIM(AB158)="",TRIM(AB158)="NA;",TRIM(AB158)="NA"),0,1)</f>
        <v/>
      </c>
      <c r="DH158" s="48">
        <f>IF(OR(TRIM(AC158)="",TRIM(AC158)="NA;",TRIM(AC158)="NA"),0,1)</f>
        <v/>
      </c>
      <c r="DI158" s="48">
        <f>IF(OR(TRIM(AD158)="",TRIM(AD158)="NA;",TRIM(AD158)="NA"),0,1)</f>
        <v/>
      </c>
      <c r="DJ158" s="48">
        <f>TRIM(IF(DC158=1,"Mon ","")&amp;IF(DD158=1,"Tue ","")&amp;IF(DE158=1,"Wed ","")&amp;IF(DF158=1,"Thu ","")&amp;IF(DG158=1,"Fri ","")&amp;IF(DH158=1,"Sat ","")&amp;IF(DI158=1,"Sun ",""))</f>
        <v/>
      </c>
    </row>
    <row r="159">
      <c r="A159" s="48" t="inlineStr">
        <is>
          <t>S-N-00007</t>
        </is>
      </c>
      <c r="B159" s="48" t="inlineStr">
        <is>
          <t>Rania Marks</t>
        </is>
      </c>
      <c r="C159" s="48" t="inlineStr">
        <is>
          <t>rania.marks57@example.com</t>
        </is>
      </c>
      <c r="D159" s="48" t="inlineStr">
        <is>
          <t>+61 412 841 455</t>
        </is>
      </c>
      <c r="E159" s="48" t="inlineStr">
        <is>
          <t>Jose Wright</t>
        </is>
      </c>
      <c r="F159" s="48" t="inlineStr">
        <is>
          <t>+61 401 626 522</t>
        </is>
      </c>
      <c r="G159" s="48" t="inlineStr">
        <is>
          <t>Adult Child</t>
        </is>
      </c>
      <c r="H159" s="48" t="inlineStr">
        <is>
          <t>Student</t>
        </is>
      </c>
      <c r="I159" s="49" t="n">
        <v>45719</v>
      </c>
      <c r="J159" s="48" t="inlineStr">
        <is>
          <t>ADM-INACT-M&amp;T</t>
        </is>
      </c>
      <c r="K159" s="48">
        <f>IFERROR(VLOOKUP(J159,'(A) Introduction'!$B$35:$C$45,2,FALSE),"")</f>
        <v/>
      </c>
      <c r="L159" s="48" t="inlineStr">
        <is>
          <t>No</t>
        </is>
      </c>
      <c r="M159" s="49" t="n">
        <v>45826</v>
      </c>
      <c r="N159" s="49" t="n">
        <v>46018</v>
      </c>
      <c r="O159" s="48" t="inlineStr">
        <is>
          <t>NA</t>
        </is>
      </c>
      <c r="P159" s="48">
        <f>IF($H159="Tutor",((BQ159&lt;&gt;"")*(BR159=""))+((BW159&lt;&gt;"")*(BX159=""))+((CC159&lt;&gt;"")*(CD159=""))+((CI159&lt;&gt;"")*(CJ159=""))+((CO159&lt;&gt;"")*(CP159="")),SUMPRODUCT(--($BO$3:$BO$202=$A159),--($BR$3:$BR$202=""))+SUMPRODUCT(--($BU$3:$BU$202=$A159),--($BX$3:$BX$202=""))+SUMPRODUCT(--($CA$3:$CA$202=$A159),--($CD$3:$CD$202=""))+SUMPRODUCT(--($CG$3:$CG$202=$A159),--($CJ$3:$CJ$202=""))+SUMPRODUCT(--($CM$3:$CM$202=$A159),--($CP$3:$CP$202="")))</f>
        <v/>
      </c>
      <c r="Q159" s="48">
        <f>IF($H159="Tutor",(BQ159&lt;&gt;"")+(BW159&lt;&gt;"")+(CC159&lt;&gt;"")+(CI159&lt;&gt;"")+(CO159&lt;&gt;""),SUMPRODUCT(--($BO$3:$BO$202=$A159))+SUMPRODUCT(--($BU$3:$BU$202=$A159))+SUMPRODUCT(--($CA$3:$CA$202=$A159))+SUMPRODUCT(--($CG$3:$CG$202=$A159))+SUMPRODUCT(--($CM$3:$CM$202=$A159)))</f>
        <v/>
      </c>
      <c r="R159" s="48">
        <f>IF($H159="Tutor",TRIM(IF(AND(BQ159&lt;&gt;"",BR159=""),BP159&amp;"; ","")&amp;IF(AND(BW159&lt;&gt;"",BX159=""),BV159&amp;"; ","")&amp;IF(AND(CC159&lt;&gt;"",CD159=""),CB159&amp;"; ","")&amp;IF(AND(CI159&lt;&gt;"",CJ159=""),CH159&amp;"; ","")&amp;IF(AND(CO159&lt;&gt;"",CP159=""),CN159&amp;"; ","")),IFERROR(INDEX($A$3:$B$202,(SUMPRODUCT(($BO$3:$BO$202=$A159)*($BR$3:$BR$202="")*ROW($BO$3:$BO$202))+SUMPRODUCT(($BU$3:$BU$202=$A159)*($BX$3:$BX$202="")*ROW($BU$3:$BU$202))+SUMPRODUCT(($CA$3:$CA$202=$A159)*($CD$3:$CD$202="")*ROW($CA$3:$CA$202))+SUMPRODUCT(($CG$3:$CG$202=$A159)*($CJ$3:$CJ$202="")*ROW($CG$3:$CG$202))+SUMPRODUCT(($CM$3:$CM$202=$A159)*($CP$3:$CP$202="")*ROW($CM$3:$CM$202)))-2,2),""))</f>
        <v/>
      </c>
      <c r="S159" s="48" t="inlineStr">
        <is>
          <t>Not Provided</t>
        </is>
      </c>
      <c r="T159" s="48" t="inlineStr"/>
      <c r="U159" s="48" t="inlineStr"/>
      <c r="V159" s="49" t="n">
        <v>45830</v>
      </c>
      <c r="W159" s="48" t="inlineStr">
        <is>
          <t>AEDT (UTC+11)</t>
        </is>
      </c>
      <c r="X159" s="48" t="inlineStr">
        <is>
          <t>6pm-9pm;</t>
        </is>
      </c>
      <c r="Y159" s="48" t="inlineStr">
        <is>
          <t>6pm-9pm;</t>
        </is>
      </c>
      <c r="Z159" s="48" t="inlineStr">
        <is>
          <t>12pm-3pm;6pm-9pm;</t>
        </is>
      </c>
      <c r="AA159" s="48" t="inlineStr">
        <is>
          <t>6am-9am;9am-12pm;</t>
        </is>
      </c>
      <c r="AB159" s="48" t="inlineStr">
        <is>
          <t>6pm-9pm;</t>
        </is>
      </c>
      <c r="AC159" s="48" t="inlineStr">
        <is>
          <t>NA;</t>
        </is>
      </c>
      <c r="AD159" s="48" t="inlineStr">
        <is>
          <t>6pm-9pm;</t>
        </is>
      </c>
      <c r="AE159" s="48" t="inlineStr">
        <is>
          <t>Online</t>
        </is>
      </c>
      <c r="AF159" s="48" t="inlineStr">
        <is>
          <t>Phone</t>
        </is>
      </c>
      <c r="AG159" s="48" t="inlineStr">
        <is>
          <t>Australia</t>
        </is>
      </c>
      <c r="AH159" s="48" t="inlineStr">
        <is>
          <t>Victoria</t>
        </is>
      </c>
      <c r="AI159" s="48" t="inlineStr">
        <is>
          <t>Sunshine</t>
        </is>
      </c>
      <c r="AJ159" s="48" t="inlineStr">
        <is>
          <t>3020</t>
        </is>
      </c>
      <c r="AK159" s="49" t="n">
        <v>37183</v>
      </c>
      <c r="AL159" s="48" t="inlineStr">
        <is>
          <t>Other</t>
        </is>
      </c>
      <c r="AM159" s="48" t="inlineStr">
        <is>
          <t>No</t>
        </is>
      </c>
      <c r="AN159" s="48" t="inlineStr">
        <is>
          <t>A2</t>
        </is>
      </c>
      <c r="AO159" s="48" t="inlineStr">
        <is>
          <t>Moderate</t>
        </is>
      </c>
      <c r="AP159" s="48" t="inlineStr">
        <is>
          <t>Venezuela</t>
        </is>
      </c>
      <c r="AQ159" s="48" t="inlineStr">
        <is>
          <t>NA</t>
        </is>
      </c>
      <c r="AR159" s="48" t="inlineStr">
        <is>
          <t>Tigrinya (C1)</t>
        </is>
      </c>
      <c r="AS159" s="48" t="inlineStr">
        <is>
          <t>NA</t>
        </is>
      </c>
      <c r="AT159" s="48" t="inlineStr">
        <is>
          <t>Education &amp; Academia</t>
        </is>
      </c>
      <c r="AU159" s="48" t="inlineStr">
        <is>
          <t>Student</t>
        </is>
      </c>
      <c r="AV159" s="48" t="inlineStr">
        <is>
          <t>Child Care</t>
        </is>
      </c>
      <c r="AW159" s="48" t="inlineStr">
        <is>
          <t>Language learning; Self-development</t>
        </is>
      </c>
      <c r="AX159" s="48" t="inlineStr">
        <is>
          <t>Asylum Seeker</t>
        </is>
      </c>
      <c r="AY159" s="48" t="inlineStr">
        <is>
          <t>No</t>
        </is>
      </c>
      <c r="AZ159" s="48" t="inlineStr">
        <is>
          <t>No</t>
        </is>
      </c>
      <c r="BA159" s="48" t="inlineStr">
        <is>
          <t>NA</t>
        </is>
      </c>
      <c r="BB159" s="48" t="inlineStr">
        <is>
          <t>NA</t>
        </is>
      </c>
      <c r="BC159" s="48" t="inlineStr">
        <is>
          <t>NA</t>
        </is>
      </c>
      <c r="BD159" s="48" t="inlineStr">
        <is>
          <t>NA</t>
        </is>
      </c>
      <c r="BE159" s="48" t="inlineStr"/>
      <c r="BF159" s="48" t="inlineStr"/>
      <c r="BG159" s="48" t="inlineStr">
        <is>
          <t>NA</t>
        </is>
      </c>
      <c r="BH159" s="48" t="inlineStr">
        <is>
          <t>NA - Student</t>
        </is>
      </c>
      <c r="BI159" s="48" t="inlineStr">
        <is>
          <t>Settlement Services International</t>
        </is>
      </c>
      <c r="BJ159" s="48" t="inlineStr">
        <is>
          <t>ZULMAN Levi</t>
        </is>
      </c>
      <c r="BK159" s="48" t="inlineStr">
        <is>
          <t>MCCLELLAND Reeve</t>
        </is>
      </c>
      <c r="BL159" s="48" t="inlineStr">
        <is>
          <t>Synthetic test record.</t>
        </is>
      </c>
      <c r="BM159" s="48" t="inlineStr"/>
      <c r="BN159" s="48">
        <f>TRIM(IF(AND($H159="Student",$J159="ADM-ACT-MAT-CNE"),"Invalid: Student cannot be CNE. ","")&amp;IF(AND($H159="Student",ISNUMBER($O159)),"Check: capacity set for a Student. ","")&amp;IF(AND(LEFT($J159,11)="ADM-ACT-MAT",$P159=0),"Check: matched status but 0 active pairings. ","")&amp;IF(AND($H159="Tutor",ISNUMBER($O159),$P159&gt;$O159),"Check: pairings exceed capacity. ","")&amp;IF(AND($BH159="Everyone",NOT(AND($BD159="Yes",$BG159="Yes"))),"Check: approved to tutor children but WWCC not provided/confirmed. ","")&amp;IF(AND($P159&gt;0,NOT(AND(OR(LEFT($AY159,3)="Yes",LEFT($AY159,2)="NA"),OR(LEFT($AZ159,3)="Yes",LEFT($AZ159,2)="NA")))),"Matched but vetting incomplete (interview/reference). ","")&amp;IF(COUNTIF($B$3:$B$600,$B159)&gt;1,"Duplicate participant name. ",""))</f>
        <v/>
      </c>
      <c r="BO159" s="48" t="inlineStr"/>
      <c r="BP159" s="48" t="inlineStr"/>
      <c r="BQ159" s="48" t="inlineStr"/>
      <c r="BR159" s="48" t="inlineStr"/>
      <c r="BS159" s="48" t="inlineStr"/>
      <c r="BT159" s="48" t="inlineStr"/>
      <c r="BU159" s="48" t="inlineStr"/>
      <c r="BV159" s="48" t="inlineStr"/>
      <c r="BW159" s="48" t="inlineStr"/>
      <c r="BX159" s="48" t="inlineStr"/>
      <c r="BY159" s="48" t="inlineStr"/>
      <c r="BZ159" s="48" t="inlineStr"/>
      <c r="CA159" s="48" t="inlineStr"/>
      <c r="CB159" s="48" t="inlineStr"/>
      <c r="CC159" s="48" t="inlineStr"/>
      <c r="CD159" s="48" t="inlineStr"/>
      <c r="CE159" s="48" t="inlineStr"/>
      <c r="CF159" s="48" t="inlineStr"/>
      <c r="CG159" s="48" t="inlineStr"/>
      <c r="CH159" s="48" t="inlineStr"/>
      <c r="CI159" s="48" t="inlineStr"/>
      <c r="CJ159" s="48" t="inlineStr"/>
      <c r="CK159" s="48" t="inlineStr"/>
      <c r="CL159" s="48" t="inlineStr"/>
      <c r="CM159" s="48" t="inlineStr"/>
      <c r="CN159" s="48" t="inlineStr"/>
      <c r="CO159" s="48" t="inlineStr"/>
      <c r="CP159" s="48" t="inlineStr"/>
      <c r="CQ159" s="48" t="inlineStr"/>
      <c r="CR159" s="48" t="inlineStr"/>
      <c r="CS159" s="48">
        <f>IF(LEFT($J159,3)="ERR",0,1)</f>
        <v/>
      </c>
      <c r="CT159" s="48">
        <f>IF(LEFT($J159,3)="ADM",1,0)</f>
        <v/>
      </c>
      <c r="CU159" s="48">
        <f>IF(OR($J159="ADM-ACT-MAT-CNE",$J159="ADM-ACT-MAT-CE",$J159="ADM-INACT-M&amp;T"),1,0)</f>
        <v/>
      </c>
      <c r="CV159" s="48">
        <f>IF(AND(CU159=1,ISNUMBER(M159),ISNUMBER(I159)),M159-I159,"")</f>
        <v/>
      </c>
      <c r="CW159" s="48">
        <f>IF(ISNUMBER(I159),TODAY()-I159,"")</f>
        <v/>
      </c>
      <c r="CX159" s="48">
        <f>IF(ISNUMBER(I159),DATE(YEAR(I159),MONTH(I159),1),"")</f>
        <v/>
      </c>
      <c r="CY159" s="48">
        <f>IFERROR(DATEDIF(AK159,TODAY(),"y"),"")</f>
        <v/>
      </c>
      <c r="CZ159" s="48">
        <f>IF(CY159="","",IF(CY159&lt;28,"18-27",IF(CY159&lt;38,"28-37",IF(CY159&lt;48,"38-47",IF(CY159&lt;58,"48-57",IF(CY159&lt;68,"58-67",IF(CY159&lt;78,"68-77","78+")))))) </f>
        <v/>
      </c>
      <c r="DA159" s="48">
        <f>IF(AND(BQ159&lt;&gt;"",BR159=""),N(BS159),0)+IF(AND(BW159&lt;&gt;"",BX159=""),N(BY159),0)+IF(AND(CC159&lt;&gt;"",CD159=""),N(CE159),0)+IF(AND(CI159&lt;&gt;"",CJ159=""),N(CK159),0)+IF(AND(CO159&lt;&gt;"",CP159=""),N(CQ159),0)</f>
        <v/>
      </c>
      <c r="DB159" s="48">
        <f>ROUND(IF(BQ159&lt;&gt;"",N(BS159)*MAX(0,((IF(BR159="",TODAY(),BR159))-BQ159)/7),0)+IF(BW159&lt;&gt;"",N(BY159)*MAX(0,((IF(BX159="",TODAY(),BX159))-BW159)/7),0)+IF(CC159&lt;&gt;"",N(CE159)*MAX(0,((IF(CD159="",TODAY(),CD159))-CC159)/7),0)+IF(CI159&lt;&gt;"",N(CK159)*MAX(0,((IF(CJ159="",TODAY(),CJ159))-CI159)/7),0)+IF(CO159&lt;&gt;"",N(CQ159)*MAX(0,((IF(CP159="",TODAY(),CP159))-CO159)/7),0),1)</f>
        <v/>
      </c>
      <c r="DC159" s="48">
        <f>IF(OR(TRIM(X159)="",TRIM(X159)="NA;",TRIM(X159)="NA"),0,1)</f>
        <v/>
      </c>
      <c r="DD159" s="48">
        <f>IF(OR(TRIM(Y159)="",TRIM(Y159)="NA;",TRIM(Y159)="NA"),0,1)</f>
        <v/>
      </c>
      <c r="DE159" s="48">
        <f>IF(OR(TRIM(Z159)="",TRIM(Z159)="NA;",TRIM(Z159)="NA"),0,1)</f>
        <v/>
      </c>
      <c r="DF159" s="48">
        <f>IF(OR(TRIM(AA159)="",TRIM(AA159)="NA;",TRIM(AA159)="NA"),0,1)</f>
        <v/>
      </c>
      <c r="DG159" s="48">
        <f>IF(OR(TRIM(AB159)="",TRIM(AB159)="NA;",TRIM(AB159)="NA"),0,1)</f>
        <v/>
      </c>
      <c r="DH159" s="48">
        <f>IF(OR(TRIM(AC159)="",TRIM(AC159)="NA;",TRIM(AC159)="NA"),0,1)</f>
        <v/>
      </c>
      <c r="DI159" s="48">
        <f>IF(OR(TRIM(AD159)="",TRIM(AD159)="NA;",TRIM(AD159)="NA"),0,1)</f>
        <v/>
      </c>
      <c r="DJ159" s="48">
        <f>TRIM(IF(DC159=1,"Mon ","")&amp;IF(DD159=1,"Tue ","")&amp;IF(DE159=1,"Wed ","")&amp;IF(DF159=1,"Thu ","")&amp;IF(DG159=1,"Fri ","")&amp;IF(DH159=1,"Sat ","")&amp;IF(DI159=1,"Sun ",""))</f>
        <v/>
      </c>
    </row>
    <row r="160">
      <c r="A160" s="48" t="inlineStr">
        <is>
          <t>S-N-00008</t>
        </is>
      </c>
      <c r="B160" s="48" t="inlineStr">
        <is>
          <t>Nadia Harris</t>
        </is>
      </c>
      <c r="C160" s="48" t="inlineStr">
        <is>
          <t>nadia.harris58@example.com</t>
        </is>
      </c>
      <c r="D160" s="48" t="inlineStr">
        <is>
          <t>+61 447 922 562</t>
        </is>
      </c>
      <c r="E160" s="48" t="inlineStr">
        <is>
          <t>Nadia Hadaya</t>
        </is>
      </c>
      <c r="F160" s="48" t="inlineStr">
        <is>
          <t>+61 409 663 016</t>
        </is>
      </c>
      <c r="G160" s="48" t="inlineStr">
        <is>
          <t>Parent</t>
        </is>
      </c>
      <c r="H160" s="48" t="inlineStr">
        <is>
          <t>Student</t>
        </is>
      </c>
      <c r="I160" s="49" t="n">
        <v>45721</v>
      </c>
      <c r="J160" s="48" t="inlineStr">
        <is>
          <t>ADM-ACT-UNMAT</t>
        </is>
      </c>
      <c r="K160" s="48">
        <f>IFERROR(VLOOKUP(J160,'(A) Introduction'!$B$35:$C$45,2,FALSE),"")</f>
        <v/>
      </c>
      <c r="L160" s="48" t="inlineStr">
        <is>
          <t>No</t>
        </is>
      </c>
      <c r="M160" s="48" t="inlineStr"/>
      <c r="N160" s="48" t="inlineStr"/>
      <c r="O160" s="48" t="inlineStr">
        <is>
          <t>NA</t>
        </is>
      </c>
      <c r="P160" s="48">
        <f>IF($H160="Tutor",((BQ160&lt;&gt;"")*(BR160=""))+((BW160&lt;&gt;"")*(BX160=""))+((CC160&lt;&gt;"")*(CD160=""))+((CI160&lt;&gt;"")*(CJ160=""))+((CO160&lt;&gt;"")*(CP160="")),SUMPRODUCT(--($BO$3:$BO$202=$A160),--($BR$3:$BR$202=""))+SUMPRODUCT(--($BU$3:$BU$202=$A160),--($BX$3:$BX$202=""))+SUMPRODUCT(--($CA$3:$CA$202=$A160),--($CD$3:$CD$202=""))+SUMPRODUCT(--($CG$3:$CG$202=$A160),--($CJ$3:$CJ$202=""))+SUMPRODUCT(--($CM$3:$CM$202=$A160),--($CP$3:$CP$202="")))</f>
        <v/>
      </c>
      <c r="Q160" s="48">
        <f>IF($H160="Tutor",(BQ160&lt;&gt;"")+(BW160&lt;&gt;"")+(CC160&lt;&gt;"")+(CI160&lt;&gt;"")+(CO160&lt;&gt;""),SUMPRODUCT(--($BO$3:$BO$202=$A160))+SUMPRODUCT(--($BU$3:$BU$202=$A160))+SUMPRODUCT(--($CA$3:$CA$202=$A160))+SUMPRODUCT(--($CG$3:$CG$202=$A160))+SUMPRODUCT(--($CM$3:$CM$202=$A160)))</f>
        <v/>
      </c>
      <c r="R160" s="48">
        <f>IF($H160="Tutor",TRIM(IF(AND(BQ160&lt;&gt;"",BR160=""),BP160&amp;"; ","")&amp;IF(AND(BW160&lt;&gt;"",BX160=""),BV160&amp;"; ","")&amp;IF(AND(CC160&lt;&gt;"",CD160=""),CB160&amp;"; ","")&amp;IF(AND(CI160&lt;&gt;"",CJ160=""),CH160&amp;"; ","")&amp;IF(AND(CO160&lt;&gt;"",CP160=""),CN160&amp;"; ","")),IFERROR(INDEX($A$3:$B$202,(SUMPRODUCT(($BO$3:$BO$202=$A160)*($BR$3:$BR$202="")*ROW($BO$3:$BO$202))+SUMPRODUCT(($BU$3:$BU$202=$A160)*($BX$3:$BX$202="")*ROW($BU$3:$BU$202))+SUMPRODUCT(($CA$3:$CA$202=$A160)*($CD$3:$CD$202="")*ROW($CA$3:$CA$202))+SUMPRODUCT(($CG$3:$CG$202=$A160)*($CJ$3:$CJ$202="")*ROW($CG$3:$CG$202))+SUMPRODUCT(($CM$3:$CM$202=$A160)*($CP$3:$CP$202="")*ROW($CM$3:$CM$202)))-2,2),""))</f>
        <v/>
      </c>
      <c r="S160" s="48" t="inlineStr">
        <is>
          <t>Provided</t>
        </is>
      </c>
      <c r="T160" s="48" t="inlineStr"/>
      <c r="U160" s="48" t="inlineStr"/>
      <c r="V160" s="49" t="n">
        <v>46081</v>
      </c>
      <c r="W160" s="48" t="inlineStr">
        <is>
          <t>ACDT (UTC+10:30)</t>
        </is>
      </c>
      <c r="X160" s="48" t="inlineStr">
        <is>
          <t>9am-12pm;12pm-3pm;3pm-6pm;</t>
        </is>
      </c>
      <c r="Y160" s="48" t="inlineStr">
        <is>
          <t>6am-9am;9am-12pm;</t>
        </is>
      </c>
      <c r="Z160" s="48" t="inlineStr">
        <is>
          <t>6pm-9pm;</t>
        </is>
      </c>
      <c r="AA160" s="48" t="inlineStr">
        <is>
          <t>3pm-6pm;</t>
        </is>
      </c>
      <c r="AB160" s="48" t="inlineStr">
        <is>
          <t>NA;</t>
        </is>
      </c>
      <c r="AC160" s="48" t="inlineStr">
        <is>
          <t>12pm-3pm;</t>
        </is>
      </c>
      <c r="AD160" s="48" t="inlineStr">
        <is>
          <t>12pm-3pm;6pm-9pm;</t>
        </is>
      </c>
      <c r="AE160" s="48" t="inlineStr">
        <is>
          <t>Either</t>
        </is>
      </c>
      <c r="AF160" s="48" t="inlineStr">
        <is>
          <t>Multiple devices</t>
        </is>
      </c>
      <c r="AG160" s="48" t="inlineStr">
        <is>
          <t>Australia</t>
        </is>
      </c>
      <c r="AH160" s="48" t="inlineStr">
        <is>
          <t>New South Wales</t>
        </is>
      </c>
      <c r="AI160" s="48" t="inlineStr">
        <is>
          <t>Epping</t>
        </is>
      </c>
      <c r="AJ160" s="48" t="inlineStr">
        <is>
          <t>2121</t>
        </is>
      </c>
      <c r="AK160" s="49" t="n">
        <v>32890</v>
      </c>
      <c r="AL160" s="48" t="inlineStr">
        <is>
          <t>Male</t>
        </is>
      </c>
      <c r="AM160" s="48" t="inlineStr">
        <is>
          <t>Yes</t>
        </is>
      </c>
      <c r="AN160" s="48" t="inlineStr">
        <is>
          <t>B2</t>
        </is>
      </c>
      <c r="AO160" s="48" t="inlineStr">
        <is>
          <t>Outstanding</t>
        </is>
      </c>
      <c r="AP160" s="48" t="inlineStr">
        <is>
          <t>Colombia</t>
        </is>
      </c>
      <c r="AQ160" s="48" t="inlineStr">
        <is>
          <t>NA</t>
        </is>
      </c>
      <c r="AR160" s="48" t="inlineStr">
        <is>
          <t>Spanish (C1)</t>
        </is>
      </c>
      <c r="AS160" s="48" t="inlineStr">
        <is>
          <t>NA</t>
        </is>
      </c>
      <c r="AT160" s="48" t="inlineStr">
        <is>
          <t>Childcare &amp; Aged Care</t>
        </is>
      </c>
      <c r="AU160" s="48" t="inlineStr">
        <is>
          <t>Student</t>
        </is>
      </c>
      <c r="AV160" s="48" t="inlineStr">
        <is>
          <t>Construction</t>
        </is>
      </c>
      <c r="AW160" s="48" t="inlineStr">
        <is>
          <t>Art; Photography; Travel</t>
        </is>
      </c>
      <c r="AX160" s="48" t="inlineStr">
        <is>
          <t>Asylum Seeker</t>
        </is>
      </c>
      <c r="AY160" s="48" t="inlineStr">
        <is>
          <t>NA - RELT Member Verified</t>
        </is>
      </c>
      <c r="AZ160" s="48" t="inlineStr">
        <is>
          <t>Yes</t>
        </is>
      </c>
      <c r="BA160" s="48" t="inlineStr">
        <is>
          <t>NA</t>
        </is>
      </c>
      <c r="BB160" s="48" t="inlineStr">
        <is>
          <t>NA</t>
        </is>
      </c>
      <c r="BC160" s="48" t="inlineStr">
        <is>
          <t>NA</t>
        </is>
      </c>
      <c r="BD160" s="48" t="inlineStr">
        <is>
          <t>NA</t>
        </is>
      </c>
      <c r="BE160" s="48" t="inlineStr"/>
      <c r="BF160" s="48" t="inlineStr"/>
      <c r="BG160" s="48" t="inlineStr">
        <is>
          <t>NA</t>
        </is>
      </c>
      <c r="BH160" s="48" t="inlineStr">
        <is>
          <t>NA - Student</t>
        </is>
      </c>
      <c r="BI160" s="48" t="inlineStr">
        <is>
          <t>Notice Board</t>
        </is>
      </c>
      <c r="BJ160" s="48" t="inlineStr">
        <is>
          <t>THET Moh Moh</t>
        </is>
      </c>
      <c r="BK160" s="48" t="inlineStr">
        <is>
          <t>HALLORAN Isobel</t>
        </is>
      </c>
      <c r="BL160" s="48" t="inlineStr">
        <is>
          <t>Synthetic test record.</t>
        </is>
      </c>
      <c r="BM160" s="48" t="inlineStr"/>
      <c r="BN160" s="48">
        <f>TRIM(IF(AND($H160="Student",$J160="ADM-ACT-MAT-CNE"),"Invalid: Student cannot be CNE. ","")&amp;IF(AND($H160="Student",ISNUMBER($O160)),"Check: capacity set for a Student. ","")&amp;IF(AND(LEFT($J160,11)="ADM-ACT-MAT",$P160=0),"Check: matched status but 0 active pairings. ","")&amp;IF(AND($H160="Tutor",ISNUMBER($O160),$P160&gt;$O160),"Check: pairings exceed capacity. ","")&amp;IF(AND($BH160="Everyone",NOT(AND($BD160="Yes",$BG160="Yes"))),"Check: approved to tutor children but WWCC not provided/confirmed. ","")&amp;IF(AND($P160&gt;0,NOT(AND(OR(LEFT($AY160,3)="Yes",LEFT($AY160,2)="NA"),OR(LEFT($AZ160,3)="Yes",LEFT($AZ160,2)="NA")))),"Matched but vetting incomplete (interview/reference). ","")&amp;IF(COUNTIF($B$3:$B$600,$B160)&gt;1,"Duplicate participant name. ",""))</f>
        <v/>
      </c>
      <c r="BO160" s="48" t="inlineStr"/>
      <c r="BP160" s="48" t="inlineStr"/>
      <c r="BQ160" s="48" t="inlineStr"/>
      <c r="BR160" s="48" t="inlineStr"/>
      <c r="BS160" s="48" t="inlineStr"/>
      <c r="BT160" s="48" t="inlineStr"/>
      <c r="BU160" s="48" t="inlineStr"/>
      <c r="BV160" s="48" t="inlineStr"/>
      <c r="BW160" s="48" t="inlineStr"/>
      <c r="BX160" s="48" t="inlineStr"/>
      <c r="BY160" s="48" t="inlineStr"/>
      <c r="BZ160" s="48" t="inlineStr"/>
      <c r="CA160" s="48" t="inlineStr"/>
      <c r="CB160" s="48" t="inlineStr"/>
      <c r="CC160" s="48" t="inlineStr"/>
      <c r="CD160" s="48" t="inlineStr"/>
      <c r="CE160" s="48" t="inlineStr"/>
      <c r="CF160" s="48" t="inlineStr"/>
      <c r="CG160" s="48" t="inlineStr"/>
      <c r="CH160" s="48" t="inlineStr"/>
      <c r="CI160" s="48" t="inlineStr"/>
      <c r="CJ160" s="48" t="inlineStr"/>
      <c r="CK160" s="48" t="inlineStr"/>
      <c r="CL160" s="48" t="inlineStr"/>
      <c r="CM160" s="48" t="inlineStr"/>
      <c r="CN160" s="48" t="inlineStr"/>
      <c r="CO160" s="48" t="inlineStr"/>
      <c r="CP160" s="48" t="inlineStr"/>
      <c r="CQ160" s="48" t="inlineStr"/>
      <c r="CR160" s="48" t="inlineStr"/>
      <c r="CS160" s="48">
        <f>IF(LEFT($J160,3)="ERR",0,1)</f>
        <v/>
      </c>
      <c r="CT160" s="48">
        <f>IF(LEFT($J160,3)="ADM",1,0)</f>
        <v/>
      </c>
      <c r="CU160" s="48">
        <f>IF(OR($J160="ADM-ACT-MAT-CNE",$J160="ADM-ACT-MAT-CE",$J160="ADM-INACT-M&amp;T"),1,0)</f>
        <v/>
      </c>
      <c r="CV160" s="48">
        <f>IF(AND(CU160=1,ISNUMBER(M160),ISNUMBER(I160)),M160-I160,"")</f>
        <v/>
      </c>
      <c r="CW160" s="48">
        <f>IF(ISNUMBER(I160),TODAY()-I160,"")</f>
        <v/>
      </c>
      <c r="CX160" s="48">
        <f>IF(ISNUMBER(I160),DATE(YEAR(I160),MONTH(I160),1),"")</f>
        <v/>
      </c>
      <c r="CY160" s="48">
        <f>IFERROR(DATEDIF(AK160,TODAY(),"y"),"")</f>
        <v/>
      </c>
      <c r="CZ160" s="48">
        <f>IF(CY160="","",IF(CY160&lt;28,"18-27",IF(CY160&lt;38,"28-37",IF(CY160&lt;48,"38-47",IF(CY160&lt;58,"48-57",IF(CY160&lt;68,"58-67",IF(CY160&lt;78,"68-77","78+")))))) </f>
        <v/>
      </c>
      <c r="DA160" s="48">
        <f>IF(AND(BQ160&lt;&gt;"",BR160=""),N(BS160),0)+IF(AND(BW160&lt;&gt;"",BX160=""),N(BY160),0)+IF(AND(CC160&lt;&gt;"",CD160=""),N(CE160),0)+IF(AND(CI160&lt;&gt;"",CJ160=""),N(CK160),0)+IF(AND(CO160&lt;&gt;"",CP160=""),N(CQ160),0)</f>
        <v/>
      </c>
      <c r="DB160" s="48">
        <f>ROUND(IF(BQ160&lt;&gt;"",N(BS160)*MAX(0,((IF(BR160="",TODAY(),BR160))-BQ160)/7),0)+IF(BW160&lt;&gt;"",N(BY160)*MAX(0,((IF(BX160="",TODAY(),BX160))-BW160)/7),0)+IF(CC160&lt;&gt;"",N(CE160)*MAX(0,((IF(CD160="",TODAY(),CD160))-CC160)/7),0)+IF(CI160&lt;&gt;"",N(CK160)*MAX(0,((IF(CJ160="",TODAY(),CJ160))-CI160)/7),0)+IF(CO160&lt;&gt;"",N(CQ160)*MAX(0,((IF(CP160="",TODAY(),CP160))-CO160)/7),0),1)</f>
        <v/>
      </c>
      <c r="DC160" s="48">
        <f>IF(OR(TRIM(X160)="",TRIM(X160)="NA;",TRIM(X160)="NA"),0,1)</f>
        <v/>
      </c>
      <c r="DD160" s="48">
        <f>IF(OR(TRIM(Y160)="",TRIM(Y160)="NA;",TRIM(Y160)="NA"),0,1)</f>
        <v/>
      </c>
      <c r="DE160" s="48">
        <f>IF(OR(TRIM(Z160)="",TRIM(Z160)="NA;",TRIM(Z160)="NA"),0,1)</f>
        <v/>
      </c>
      <c r="DF160" s="48">
        <f>IF(OR(TRIM(AA160)="",TRIM(AA160)="NA;",TRIM(AA160)="NA"),0,1)</f>
        <v/>
      </c>
      <c r="DG160" s="48">
        <f>IF(OR(TRIM(AB160)="",TRIM(AB160)="NA;",TRIM(AB160)="NA"),0,1)</f>
        <v/>
      </c>
      <c r="DH160" s="48">
        <f>IF(OR(TRIM(AC160)="",TRIM(AC160)="NA;",TRIM(AC160)="NA"),0,1)</f>
        <v/>
      </c>
      <c r="DI160" s="48">
        <f>IF(OR(TRIM(AD160)="",TRIM(AD160)="NA;",TRIM(AD160)="NA"),0,1)</f>
        <v/>
      </c>
      <c r="DJ160" s="48">
        <f>TRIM(IF(DC160=1,"Mon ","")&amp;IF(DD160=1,"Tue ","")&amp;IF(DE160=1,"Wed ","")&amp;IF(DF160=1,"Thu ","")&amp;IF(DG160=1,"Fri ","")&amp;IF(DH160=1,"Sat ","")&amp;IF(DI160=1,"Sun ",""))</f>
        <v/>
      </c>
    </row>
    <row r="161">
      <c r="A161" s="48" t="inlineStr">
        <is>
          <t>S-N-00009</t>
        </is>
      </c>
      <c r="B161" s="48" t="inlineStr">
        <is>
          <t>Chloe Wilson</t>
        </is>
      </c>
      <c r="C161" s="48" t="inlineStr">
        <is>
          <t>chloe.wilson59@example.com</t>
        </is>
      </c>
      <c r="D161" s="48" t="inlineStr">
        <is>
          <t>+61 417 086 140</t>
        </is>
      </c>
      <c r="E161" s="48" t="inlineStr">
        <is>
          <t>Viktor Garcia</t>
        </is>
      </c>
      <c r="F161" s="48" t="inlineStr">
        <is>
          <t>+61 418 747 748</t>
        </is>
      </c>
      <c r="G161" s="48" t="inlineStr">
        <is>
          <t>Friend</t>
        </is>
      </c>
      <c r="H161" s="48" t="inlineStr">
        <is>
          <t>Student</t>
        </is>
      </c>
      <c r="I161" s="49" t="n">
        <v>45743</v>
      </c>
      <c r="J161" s="48" t="inlineStr">
        <is>
          <t>ADM-ACT-UNMAT</t>
        </is>
      </c>
      <c r="K161" s="48">
        <f>IFERROR(VLOOKUP(J161,'(A) Introduction'!$B$35:$C$45,2,FALSE),"")</f>
        <v/>
      </c>
      <c r="L161" s="48" t="inlineStr">
        <is>
          <t>No</t>
        </is>
      </c>
      <c r="M161" s="48" t="inlineStr"/>
      <c r="N161" s="48" t="inlineStr"/>
      <c r="O161" s="48" t="inlineStr">
        <is>
          <t>NA</t>
        </is>
      </c>
      <c r="P161" s="48">
        <f>IF($H161="Tutor",((BQ161&lt;&gt;"")*(BR161=""))+((BW161&lt;&gt;"")*(BX161=""))+((CC161&lt;&gt;"")*(CD161=""))+((CI161&lt;&gt;"")*(CJ161=""))+((CO161&lt;&gt;"")*(CP161="")),SUMPRODUCT(--($BO$3:$BO$202=$A161),--($BR$3:$BR$202=""))+SUMPRODUCT(--($BU$3:$BU$202=$A161),--($BX$3:$BX$202=""))+SUMPRODUCT(--($CA$3:$CA$202=$A161),--($CD$3:$CD$202=""))+SUMPRODUCT(--($CG$3:$CG$202=$A161),--($CJ$3:$CJ$202=""))+SUMPRODUCT(--($CM$3:$CM$202=$A161),--($CP$3:$CP$202="")))</f>
        <v/>
      </c>
      <c r="Q161" s="48">
        <f>IF($H161="Tutor",(BQ161&lt;&gt;"")+(BW161&lt;&gt;"")+(CC161&lt;&gt;"")+(CI161&lt;&gt;"")+(CO161&lt;&gt;""),SUMPRODUCT(--($BO$3:$BO$202=$A161))+SUMPRODUCT(--($BU$3:$BU$202=$A161))+SUMPRODUCT(--($CA$3:$CA$202=$A161))+SUMPRODUCT(--($CG$3:$CG$202=$A161))+SUMPRODUCT(--($CM$3:$CM$202=$A161)))</f>
        <v/>
      </c>
      <c r="R161" s="48">
        <f>IF($H161="Tutor",TRIM(IF(AND(BQ161&lt;&gt;"",BR161=""),BP161&amp;"; ","")&amp;IF(AND(BW161&lt;&gt;"",BX161=""),BV161&amp;"; ","")&amp;IF(AND(CC161&lt;&gt;"",CD161=""),CB161&amp;"; ","")&amp;IF(AND(CI161&lt;&gt;"",CJ161=""),CH161&amp;"; ","")&amp;IF(AND(CO161&lt;&gt;"",CP161=""),CN161&amp;"; ","")),IFERROR(INDEX($A$3:$B$202,(SUMPRODUCT(($BO$3:$BO$202=$A161)*($BR$3:$BR$202="")*ROW($BO$3:$BO$202))+SUMPRODUCT(($BU$3:$BU$202=$A161)*($BX$3:$BX$202="")*ROW($BU$3:$BU$202))+SUMPRODUCT(($CA$3:$CA$202=$A161)*($CD$3:$CD$202="")*ROW($CA$3:$CA$202))+SUMPRODUCT(($CG$3:$CG$202=$A161)*($CJ$3:$CJ$202="")*ROW($CG$3:$CG$202))+SUMPRODUCT(($CM$3:$CM$202=$A161)*($CP$3:$CP$202="")*ROW($CM$3:$CM$202)))-2,2),""))</f>
        <v/>
      </c>
      <c r="S161" s="48" t="inlineStr">
        <is>
          <t>Not Provided</t>
        </is>
      </c>
      <c r="T161" s="48" t="inlineStr"/>
      <c r="U161" s="48" t="inlineStr"/>
      <c r="V161" s="49" t="n">
        <v>45907</v>
      </c>
      <c r="W161" s="48" t="inlineStr">
        <is>
          <t>AWST (UTC+8)</t>
        </is>
      </c>
      <c r="X161" s="48" t="inlineStr">
        <is>
          <t>12pm-3pm;6pm-9pm;</t>
        </is>
      </c>
      <c r="Y161" s="48" t="inlineStr">
        <is>
          <t>9am-12pm;</t>
        </is>
      </c>
      <c r="Z161" s="48" t="inlineStr">
        <is>
          <t>6pm-9pm;</t>
        </is>
      </c>
      <c r="AA161" s="48" t="inlineStr">
        <is>
          <t>9am-12pm;12pm-3pm;3pm-6pm;</t>
        </is>
      </c>
      <c r="AB161" s="48" t="inlineStr">
        <is>
          <t>12pm-3pm;6pm-9pm;</t>
        </is>
      </c>
      <c r="AC161" s="48" t="inlineStr">
        <is>
          <t>9am-12pm;12pm-3pm;3pm-6pm;</t>
        </is>
      </c>
      <c r="AD161" s="48" t="inlineStr">
        <is>
          <t>6pm-9pm;</t>
        </is>
      </c>
      <c r="AE161" s="48" t="inlineStr">
        <is>
          <t>In-Person</t>
        </is>
      </c>
      <c r="AF161" s="48" t="inlineStr">
        <is>
          <t>Tablet</t>
        </is>
      </c>
      <c r="AG161" s="48" t="inlineStr">
        <is>
          <t>Australia</t>
        </is>
      </c>
      <c r="AH161" s="48" t="inlineStr">
        <is>
          <t>New South Wales</t>
        </is>
      </c>
      <c r="AI161" s="48" t="inlineStr">
        <is>
          <t>Bankstown</t>
        </is>
      </c>
      <c r="AJ161" s="48" t="inlineStr">
        <is>
          <t>2200</t>
        </is>
      </c>
      <c r="AK161" s="49" t="n">
        <v>26345</v>
      </c>
      <c r="AL161" s="48" t="inlineStr">
        <is>
          <t>Female</t>
        </is>
      </c>
      <c r="AM161" s="48" t="inlineStr">
        <is>
          <t>Yes</t>
        </is>
      </c>
      <c r="AN161" s="48" t="inlineStr">
        <is>
          <t>A1</t>
        </is>
      </c>
      <c r="AO161" s="48" t="inlineStr">
        <is>
          <t>Outstanding</t>
        </is>
      </c>
      <c r="AP161" s="48" t="inlineStr">
        <is>
          <t>Eritrea</t>
        </is>
      </c>
      <c r="AQ161" s="48" t="inlineStr">
        <is>
          <t>NA</t>
        </is>
      </c>
      <c r="AR161" s="48" t="inlineStr">
        <is>
          <t>Dari (B2)</t>
        </is>
      </c>
      <c r="AS161" s="48" t="inlineStr">
        <is>
          <t>Hindu</t>
        </is>
      </c>
      <c r="AT161" s="48" t="inlineStr">
        <is>
          <t>Military &amp; Public Safety</t>
        </is>
      </c>
      <c r="AU161" s="48" t="inlineStr">
        <is>
          <t>Aged Care Worker</t>
        </is>
      </c>
      <c r="AV161" s="48" t="inlineStr">
        <is>
          <t>Nursing</t>
        </is>
      </c>
      <c r="AW161" s="48" t="inlineStr">
        <is>
          <t>Cooking; Reading; Music</t>
        </is>
      </c>
      <c r="AX161" s="48" t="inlineStr">
        <is>
          <t>Refugee</t>
        </is>
      </c>
      <c r="AY161" s="48" t="inlineStr">
        <is>
          <t>No</t>
        </is>
      </c>
      <c r="AZ161" s="48" t="inlineStr">
        <is>
          <t>NA - Partner Organisation Verified</t>
        </is>
      </c>
      <c r="BA161" s="48" t="inlineStr">
        <is>
          <t>NA</t>
        </is>
      </c>
      <c r="BB161" s="48" t="inlineStr">
        <is>
          <t>NA</t>
        </is>
      </c>
      <c r="BC161" s="48" t="inlineStr">
        <is>
          <t>NA</t>
        </is>
      </c>
      <c r="BD161" s="48" t="inlineStr">
        <is>
          <t>NA</t>
        </is>
      </c>
      <c r="BE161" s="48" t="inlineStr"/>
      <c r="BF161" s="48" t="inlineStr"/>
      <c r="BG161" s="48" t="inlineStr">
        <is>
          <t>NA</t>
        </is>
      </c>
      <c r="BH161" s="48" t="inlineStr">
        <is>
          <t>NA - Student</t>
        </is>
      </c>
      <c r="BI161" s="48" t="inlineStr">
        <is>
          <t>Refugee Council of Australia</t>
        </is>
      </c>
      <c r="BJ161" s="48" t="inlineStr">
        <is>
          <t>CROCK Mary</t>
        </is>
      </c>
      <c r="BK161" s="48" t="inlineStr">
        <is>
          <t>SINGH Veera</t>
        </is>
      </c>
      <c r="BL161" s="48" t="inlineStr">
        <is>
          <t>Synthetic test record.</t>
        </is>
      </c>
      <c r="BM161" s="48" t="inlineStr"/>
      <c r="BN161" s="48">
        <f>TRIM(IF(AND($H161="Student",$J161="ADM-ACT-MAT-CNE"),"Invalid: Student cannot be CNE. ","")&amp;IF(AND($H161="Student",ISNUMBER($O161)),"Check: capacity set for a Student. ","")&amp;IF(AND(LEFT($J161,11)="ADM-ACT-MAT",$P161=0),"Check: matched status but 0 active pairings. ","")&amp;IF(AND($H161="Tutor",ISNUMBER($O161),$P161&gt;$O161),"Check: pairings exceed capacity. ","")&amp;IF(AND($BH161="Everyone",NOT(AND($BD161="Yes",$BG161="Yes"))),"Check: approved to tutor children but WWCC not provided/confirmed. ","")&amp;IF(AND($P161&gt;0,NOT(AND(OR(LEFT($AY161,3)="Yes",LEFT($AY161,2)="NA"),OR(LEFT($AZ161,3)="Yes",LEFT($AZ161,2)="NA")))),"Matched but vetting incomplete (interview/reference). ","")&amp;IF(COUNTIF($B$3:$B$600,$B161)&gt;1,"Duplicate participant name. ",""))</f>
        <v/>
      </c>
      <c r="BO161" s="48" t="inlineStr"/>
      <c r="BP161" s="48" t="inlineStr"/>
      <c r="BQ161" s="48" t="inlineStr"/>
      <c r="BR161" s="48" t="inlineStr"/>
      <c r="BS161" s="48" t="inlineStr"/>
      <c r="BT161" s="48" t="inlineStr"/>
      <c r="BU161" s="48" t="inlineStr"/>
      <c r="BV161" s="48" t="inlineStr"/>
      <c r="BW161" s="48" t="inlineStr"/>
      <c r="BX161" s="48" t="inlineStr"/>
      <c r="BY161" s="48" t="inlineStr"/>
      <c r="BZ161" s="48" t="inlineStr"/>
      <c r="CA161" s="48" t="inlineStr"/>
      <c r="CB161" s="48" t="inlineStr"/>
      <c r="CC161" s="48" t="inlineStr"/>
      <c r="CD161" s="48" t="inlineStr"/>
      <c r="CE161" s="48" t="inlineStr"/>
      <c r="CF161" s="48" t="inlineStr"/>
      <c r="CG161" s="48" t="inlineStr"/>
      <c r="CH161" s="48" t="inlineStr"/>
      <c r="CI161" s="48" t="inlineStr"/>
      <c r="CJ161" s="48" t="inlineStr"/>
      <c r="CK161" s="48" t="inlineStr"/>
      <c r="CL161" s="48" t="inlineStr"/>
      <c r="CM161" s="48" t="inlineStr"/>
      <c r="CN161" s="48" t="inlineStr"/>
      <c r="CO161" s="48" t="inlineStr"/>
      <c r="CP161" s="48" t="inlineStr"/>
      <c r="CQ161" s="48" t="inlineStr"/>
      <c r="CR161" s="48" t="inlineStr"/>
      <c r="CS161" s="48">
        <f>IF(LEFT($J161,3)="ERR",0,1)</f>
        <v/>
      </c>
      <c r="CT161" s="48">
        <f>IF(LEFT($J161,3)="ADM",1,0)</f>
        <v/>
      </c>
      <c r="CU161" s="48">
        <f>IF(OR($J161="ADM-ACT-MAT-CNE",$J161="ADM-ACT-MAT-CE",$J161="ADM-INACT-M&amp;T"),1,0)</f>
        <v/>
      </c>
      <c r="CV161" s="48">
        <f>IF(AND(CU161=1,ISNUMBER(M161),ISNUMBER(I161)),M161-I161,"")</f>
        <v/>
      </c>
      <c r="CW161" s="48">
        <f>IF(ISNUMBER(I161),TODAY()-I161,"")</f>
        <v/>
      </c>
      <c r="CX161" s="48">
        <f>IF(ISNUMBER(I161),DATE(YEAR(I161),MONTH(I161),1),"")</f>
        <v/>
      </c>
      <c r="CY161" s="48">
        <f>IFERROR(DATEDIF(AK161,TODAY(),"y"),"")</f>
        <v/>
      </c>
      <c r="CZ161" s="48">
        <f>IF(CY161="","",IF(CY161&lt;28,"18-27",IF(CY161&lt;38,"28-37",IF(CY161&lt;48,"38-47",IF(CY161&lt;58,"48-57",IF(CY161&lt;68,"58-67",IF(CY161&lt;78,"68-77","78+")))))) </f>
        <v/>
      </c>
      <c r="DA161" s="48">
        <f>IF(AND(BQ161&lt;&gt;"",BR161=""),N(BS161),0)+IF(AND(BW161&lt;&gt;"",BX161=""),N(BY161),0)+IF(AND(CC161&lt;&gt;"",CD161=""),N(CE161),0)+IF(AND(CI161&lt;&gt;"",CJ161=""),N(CK161),0)+IF(AND(CO161&lt;&gt;"",CP161=""),N(CQ161),0)</f>
        <v/>
      </c>
      <c r="DB161" s="48">
        <f>ROUND(IF(BQ161&lt;&gt;"",N(BS161)*MAX(0,((IF(BR161="",TODAY(),BR161))-BQ161)/7),0)+IF(BW161&lt;&gt;"",N(BY161)*MAX(0,((IF(BX161="",TODAY(),BX161))-BW161)/7),0)+IF(CC161&lt;&gt;"",N(CE161)*MAX(0,((IF(CD161="",TODAY(),CD161))-CC161)/7),0)+IF(CI161&lt;&gt;"",N(CK161)*MAX(0,((IF(CJ161="",TODAY(),CJ161))-CI161)/7),0)+IF(CO161&lt;&gt;"",N(CQ161)*MAX(0,((IF(CP161="",TODAY(),CP161))-CO161)/7),0),1)</f>
        <v/>
      </c>
      <c r="DC161" s="48">
        <f>IF(OR(TRIM(X161)="",TRIM(X161)="NA;",TRIM(X161)="NA"),0,1)</f>
        <v/>
      </c>
      <c r="DD161" s="48">
        <f>IF(OR(TRIM(Y161)="",TRIM(Y161)="NA;",TRIM(Y161)="NA"),0,1)</f>
        <v/>
      </c>
      <c r="DE161" s="48">
        <f>IF(OR(TRIM(Z161)="",TRIM(Z161)="NA;",TRIM(Z161)="NA"),0,1)</f>
        <v/>
      </c>
      <c r="DF161" s="48">
        <f>IF(OR(TRIM(AA161)="",TRIM(AA161)="NA;",TRIM(AA161)="NA"),0,1)</f>
        <v/>
      </c>
      <c r="DG161" s="48">
        <f>IF(OR(TRIM(AB161)="",TRIM(AB161)="NA;",TRIM(AB161)="NA"),0,1)</f>
        <v/>
      </c>
      <c r="DH161" s="48">
        <f>IF(OR(TRIM(AC161)="",TRIM(AC161)="NA;",TRIM(AC161)="NA"),0,1)</f>
        <v/>
      </c>
      <c r="DI161" s="48">
        <f>IF(OR(TRIM(AD161)="",TRIM(AD161)="NA;",TRIM(AD161)="NA"),0,1)</f>
        <v/>
      </c>
      <c r="DJ161" s="48">
        <f>TRIM(IF(DC161=1,"Mon ","")&amp;IF(DD161=1,"Tue ","")&amp;IF(DE161=1,"Wed ","")&amp;IF(DF161=1,"Thu ","")&amp;IF(DG161=1,"Fri ","")&amp;IF(DH161=1,"Sat ","")&amp;IF(DI161=1,"Sun ",""))</f>
        <v/>
      </c>
    </row>
    <row r="162">
      <c r="A162" s="48" t="inlineStr">
        <is>
          <t>S-N-00010</t>
        </is>
      </c>
      <c r="B162" s="48" t="inlineStr">
        <is>
          <t>Ava Ng</t>
        </is>
      </c>
      <c r="C162" s="48" t="inlineStr">
        <is>
          <t>ava.ng60@example.com</t>
        </is>
      </c>
      <c r="D162" s="48" t="inlineStr">
        <is>
          <t>+61 466 080 535</t>
        </is>
      </c>
      <c r="E162" s="48" t="inlineStr">
        <is>
          <t>Peter Silva</t>
        </is>
      </c>
      <c r="F162" s="48" t="inlineStr">
        <is>
          <t>+61 473 052 672</t>
        </is>
      </c>
      <c r="G162" s="48" t="inlineStr">
        <is>
          <t>Sibling</t>
        </is>
      </c>
      <c r="H162" s="48" t="inlineStr">
        <is>
          <t>Student</t>
        </is>
      </c>
      <c r="I162" s="49" t="n">
        <v>45744</v>
      </c>
      <c r="J162" s="48" t="inlineStr">
        <is>
          <t>ADM-ACT-MAT-CE</t>
        </is>
      </c>
      <c r="K162" s="48">
        <f>IFERROR(VLOOKUP(J162,'(A) Introduction'!$B$35:$C$45,2,FALSE),"")</f>
        <v/>
      </c>
      <c r="L162" s="48" t="inlineStr">
        <is>
          <t>No</t>
        </is>
      </c>
      <c r="M162" s="49" t="n">
        <v>45848</v>
      </c>
      <c r="N162" s="48" t="inlineStr"/>
      <c r="O162" s="48" t="inlineStr">
        <is>
          <t>NA</t>
        </is>
      </c>
      <c r="P162" s="48">
        <f>IF($H162="Tutor",((BQ162&lt;&gt;"")*(BR162=""))+((BW162&lt;&gt;"")*(BX162=""))+((CC162&lt;&gt;"")*(CD162=""))+((CI162&lt;&gt;"")*(CJ162=""))+((CO162&lt;&gt;"")*(CP162="")),SUMPRODUCT(--($BO$3:$BO$202=$A162),--($BR$3:$BR$202=""))+SUMPRODUCT(--($BU$3:$BU$202=$A162),--($BX$3:$BX$202=""))+SUMPRODUCT(--($CA$3:$CA$202=$A162),--($CD$3:$CD$202=""))+SUMPRODUCT(--($CG$3:$CG$202=$A162),--($CJ$3:$CJ$202=""))+SUMPRODUCT(--($CM$3:$CM$202=$A162),--($CP$3:$CP$202="")))</f>
        <v/>
      </c>
      <c r="Q162" s="48">
        <f>IF($H162="Tutor",(BQ162&lt;&gt;"")+(BW162&lt;&gt;"")+(CC162&lt;&gt;"")+(CI162&lt;&gt;"")+(CO162&lt;&gt;""),SUMPRODUCT(--($BO$3:$BO$202=$A162))+SUMPRODUCT(--($BU$3:$BU$202=$A162))+SUMPRODUCT(--($CA$3:$CA$202=$A162))+SUMPRODUCT(--($CG$3:$CG$202=$A162))+SUMPRODUCT(--($CM$3:$CM$202=$A162)))</f>
        <v/>
      </c>
      <c r="R162" s="48">
        <f>IF($H162="Tutor",TRIM(IF(AND(BQ162&lt;&gt;"",BR162=""),BP162&amp;"; ","")&amp;IF(AND(BW162&lt;&gt;"",BX162=""),BV162&amp;"; ","")&amp;IF(AND(CC162&lt;&gt;"",CD162=""),CB162&amp;"; ","")&amp;IF(AND(CI162&lt;&gt;"",CJ162=""),CH162&amp;"; ","")&amp;IF(AND(CO162&lt;&gt;"",CP162=""),CN162&amp;"; ","")),IFERROR(INDEX($A$3:$B$202,(SUMPRODUCT(($BO$3:$BO$202=$A162)*($BR$3:$BR$202="")*ROW($BO$3:$BO$202))+SUMPRODUCT(($BU$3:$BU$202=$A162)*($BX$3:$BX$202="")*ROW($BU$3:$BU$202))+SUMPRODUCT(($CA$3:$CA$202=$A162)*($CD$3:$CD$202="")*ROW($CA$3:$CA$202))+SUMPRODUCT(($CG$3:$CG$202=$A162)*($CJ$3:$CJ$202="")*ROW($CG$3:$CG$202))+SUMPRODUCT(($CM$3:$CM$202=$A162)*($CP$3:$CP$202="")*ROW($CM$3:$CM$202)))-2,2),""))</f>
        <v/>
      </c>
      <c r="S162" s="48" t="inlineStr">
        <is>
          <t>Provided</t>
        </is>
      </c>
      <c r="T162" s="48" t="inlineStr"/>
      <c r="U162" s="48" t="inlineStr"/>
      <c r="V162" s="49" t="n">
        <v>46106</v>
      </c>
      <c r="W162" s="48" t="inlineStr">
        <is>
          <t>AEST (UTC+10)</t>
        </is>
      </c>
      <c r="X162" s="48" t="inlineStr">
        <is>
          <t>6pm-9pm;</t>
        </is>
      </c>
      <c r="Y162" s="48" t="inlineStr">
        <is>
          <t>6pm-9pm;</t>
        </is>
      </c>
      <c r="Z162" s="48" t="inlineStr">
        <is>
          <t>9am-12pm;12pm-3pm;3pm-6pm;</t>
        </is>
      </c>
      <c r="AA162" s="48" t="inlineStr">
        <is>
          <t>3pm-6pm;</t>
        </is>
      </c>
      <c r="AB162" s="48" t="inlineStr">
        <is>
          <t>NA;</t>
        </is>
      </c>
      <c r="AC162" s="48" t="inlineStr">
        <is>
          <t>6am-9am;9am-12pm;</t>
        </is>
      </c>
      <c r="AD162" s="48" t="inlineStr">
        <is>
          <t>9am-12pm;12pm-3pm;3pm-6pm;</t>
        </is>
      </c>
      <c r="AE162" s="48" t="inlineStr">
        <is>
          <t>Online</t>
        </is>
      </c>
      <c r="AF162" s="48" t="inlineStr">
        <is>
          <t>Multiple devices</t>
        </is>
      </c>
      <c r="AG162" s="48" t="inlineStr">
        <is>
          <t>Australia</t>
        </is>
      </c>
      <c r="AH162" s="48" t="inlineStr">
        <is>
          <t>New South Wales</t>
        </is>
      </c>
      <c r="AI162" s="48" t="inlineStr">
        <is>
          <t>Blacktown</t>
        </is>
      </c>
      <c r="AJ162" s="48" t="inlineStr">
        <is>
          <t>2148</t>
        </is>
      </c>
      <c r="AK162" s="49" t="n">
        <v>30085</v>
      </c>
      <c r="AL162" s="48" t="inlineStr">
        <is>
          <t>Other</t>
        </is>
      </c>
      <c r="AM162" s="48" t="inlineStr">
        <is>
          <t>Yes</t>
        </is>
      </c>
      <c r="AN162" s="48" t="inlineStr">
        <is>
          <t>B1</t>
        </is>
      </c>
      <c r="AO162" s="48" t="inlineStr">
        <is>
          <t>Outstanding</t>
        </is>
      </c>
      <c r="AP162" s="48" t="inlineStr">
        <is>
          <t>Palestine</t>
        </is>
      </c>
      <c r="AQ162" s="48" t="inlineStr">
        <is>
          <t>NA</t>
        </is>
      </c>
      <c r="AR162" s="48" t="inlineStr">
        <is>
          <t>Dari (B2)</t>
        </is>
      </c>
      <c r="AS162" s="48" t="inlineStr">
        <is>
          <t>None</t>
        </is>
      </c>
      <c r="AT162" s="48" t="inlineStr">
        <is>
          <t>Childcare &amp; Aged Care</t>
        </is>
      </c>
      <c r="AU162" s="48" t="inlineStr">
        <is>
          <t>Engineer</t>
        </is>
      </c>
      <c r="AV162" s="48" t="inlineStr">
        <is>
          <t>Child Care</t>
        </is>
      </c>
      <c r="AW162" s="48" t="inlineStr">
        <is>
          <t>Football; Cooking; Family</t>
        </is>
      </c>
      <c r="AX162" s="48" t="inlineStr">
        <is>
          <t>Asylum Seeker</t>
        </is>
      </c>
      <c r="AY162" s="48" t="inlineStr">
        <is>
          <t>No</t>
        </is>
      </c>
      <c r="AZ162" s="48" t="inlineStr">
        <is>
          <t>No</t>
        </is>
      </c>
      <c r="BA162" s="48" t="inlineStr">
        <is>
          <t>NA</t>
        </is>
      </c>
      <c r="BB162" s="48" t="inlineStr">
        <is>
          <t>NA</t>
        </is>
      </c>
      <c r="BC162" s="48" t="inlineStr">
        <is>
          <t>NA</t>
        </is>
      </c>
      <c r="BD162" s="48" t="inlineStr">
        <is>
          <t>NA</t>
        </is>
      </c>
      <c r="BE162" s="48" t="inlineStr"/>
      <c r="BF162" s="48" t="inlineStr"/>
      <c r="BG162" s="48" t="inlineStr">
        <is>
          <t>NA</t>
        </is>
      </c>
      <c r="BH162" s="48" t="inlineStr">
        <is>
          <t>NA - Student</t>
        </is>
      </c>
      <c r="BI162" s="48" t="inlineStr">
        <is>
          <t>Asylum Seeker Resource Centre</t>
        </is>
      </c>
      <c r="BJ162" s="48" t="inlineStr">
        <is>
          <t>THET Moh Moh</t>
        </is>
      </c>
      <c r="BK162" s="48" t="inlineStr">
        <is>
          <t>NUICH Curtis</t>
        </is>
      </c>
      <c r="BL162" s="48" t="inlineStr">
        <is>
          <t>Synthetic test record.</t>
        </is>
      </c>
      <c r="BM162" s="48" t="inlineStr"/>
      <c r="BN162" s="48">
        <f>TRIM(IF(AND($H162="Student",$J162="ADM-ACT-MAT-CNE"),"Invalid: Student cannot be CNE. ","")&amp;IF(AND($H162="Student",ISNUMBER($O162)),"Check: capacity set for a Student. ","")&amp;IF(AND(LEFT($J162,11)="ADM-ACT-MAT",$P162=0),"Check: matched status but 0 active pairings. ","")&amp;IF(AND($H162="Tutor",ISNUMBER($O162),$P162&gt;$O162),"Check: pairings exceed capacity. ","")&amp;IF(AND($BH162="Everyone",NOT(AND($BD162="Yes",$BG162="Yes"))),"Check: approved to tutor children but WWCC not provided/confirmed. ","")&amp;IF(AND($P162&gt;0,NOT(AND(OR(LEFT($AY162,3)="Yes",LEFT($AY162,2)="NA"),OR(LEFT($AZ162,3)="Yes",LEFT($AZ162,2)="NA")))),"Matched but vetting incomplete (interview/reference). ","")&amp;IF(COUNTIF($B$3:$B$600,$B162)&gt;1,"Duplicate participant name. ",""))</f>
        <v/>
      </c>
      <c r="BO162" s="48" t="inlineStr"/>
      <c r="BP162" s="48" t="inlineStr"/>
      <c r="BQ162" s="48" t="inlineStr"/>
      <c r="BR162" s="48" t="inlineStr"/>
      <c r="BS162" s="48" t="inlineStr"/>
      <c r="BT162" s="48" t="inlineStr"/>
      <c r="BU162" s="48" t="inlineStr"/>
      <c r="BV162" s="48" t="inlineStr"/>
      <c r="BW162" s="48" t="inlineStr"/>
      <c r="BX162" s="48" t="inlineStr"/>
      <c r="BY162" s="48" t="inlineStr"/>
      <c r="BZ162" s="48" t="inlineStr"/>
      <c r="CA162" s="48" t="inlineStr"/>
      <c r="CB162" s="48" t="inlineStr"/>
      <c r="CC162" s="48" t="inlineStr"/>
      <c r="CD162" s="48" t="inlineStr"/>
      <c r="CE162" s="48" t="inlineStr"/>
      <c r="CF162" s="48" t="inlineStr"/>
      <c r="CG162" s="48" t="inlineStr"/>
      <c r="CH162" s="48" t="inlineStr"/>
      <c r="CI162" s="48" t="inlineStr"/>
      <c r="CJ162" s="48" t="inlineStr"/>
      <c r="CK162" s="48" t="inlineStr"/>
      <c r="CL162" s="48" t="inlineStr"/>
      <c r="CM162" s="48" t="inlineStr"/>
      <c r="CN162" s="48" t="inlineStr"/>
      <c r="CO162" s="48" t="inlineStr"/>
      <c r="CP162" s="48" t="inlineStr"/>
      <c r="CQ162" s="48" t="inlineStr"/>
      <c r="CR162" s="48" t="inlineStr"/>
      <c r="CS162" s="48">
        <f>IF(LEFT($J162,3)="ERR",0,1)</f>
        <v/>
      </c>
      <c r="CT162" s="48">
        <f>IF(LEFT($J162,3)="ADM",1,0)</f>
        <v/>
      </c>
      <c r="CU162" s="48">
        <f>IF(OR($J162="ADM-ACT-MAT-CNE",$J162="ADM-ACT-MAT-CE",$J162="ADM-INACT-M&amp;T"),1,0)</f>
        <v/>
      </c>
      <c r="CV162" s="48">
        <f>IF(AND(CU162=1,ISNUMBER(M162),ISNUMBER(I162)),M162-I162,"")</f>
        <v/>
      </c>
      <c r="CW162" s="48">
        <f>IF(ISNUMBER(I162),TODAY()-I162,"")</f>
        <v/>
      </c>
      <c r="CX162" s="48">
        <f>IF(ISNUMBER(I162),DATE(YEAR(I162),MONTH(I162),1),"")</f>
        <v/>
      </c>
      <c r="CY162" s="48">
        <f>IFERROR(DATEDIF(AK162,TODAY(),"y"),"")</f>
        <v/>
      </c>
      <c r="CZ162" s="48">
        <f>IF(CY162="","",IF(CY162&lt;28,"18-27",IF(CY162&lt;38,"28-37",IF(CY162&lt;48,"38-47",IF(CY162&lt;58,"48-57",IF(CY162&lt;68,"58-67",IF(CY162&lt;78,"68-77","78+")))))) </f>
        <v/>
      </c>
      <c r="DA162" s="48">
        <f>IF(AND(BQ162&lt;&gt;"",BR162=""),N(BS162),0)+IF(AND(BW162&lt;&gt;"",BX162=""),N(BY162),0)+IF(AND(CC162&lt;&gt;"",CD162=""),N(CE162),0)+IF(AND(CI162&lt;&gt;"",CJ162=""),N(CK162),0)+IF(AND(CO162&lt;&gt;"",CP162=""),N(CQ162),0)</f>
        <v/>
      </c>
      <c r="DB162" s="48">
        <f>ROUND(IF(BQ162&lt;&gt;"",N(BS162)*MAX(0,((IF(BR162="",TODAY(),BR162))-BQ162)/7),0)+IF(BW162&lt;&gt;"",N(BY162)*MAX(0,((IF(BX162="",TODAY(),BX162))-BW162)/7),0)+IF(CC162&lt;&gt;"",N(CE162)*MAX(0,((IF(CD162="",TODAY(),CD162))-CC162)/7),0)+IF(CI162&lt;&gt;"",N(CK162)*MAX(0,((IF(CJ162="",TODAY(),CJ162))-CI162)/7),0)+IF(CO162&lt;&gt;"",N(CQ162)*MAX(0,((IF(CP162="",TODAY(),CP162))-CO162)/7),0),1)</f>
        <v/>
      </c>
      <c r="DC162" s="48">
        <f>IF(OR(TRIM(X162)="",TRIM(X162)="NA;",TRIM(X162)="NA"),0,1)</f>
        <v/>
      </c>
      <c r="DD162" s="48">
        <f>IF(OR(TRIM(Y162)="",TRIM(Y162)="NA;",TRIM(Y162)="NA"),0,1)</f>
        <v/>
      </c>
      <c r="DE162" s="48">
        <f>IF(OR(TRIM(Z162)="",TRIM(Z162)="NA;",TRIM(Z162)="NA"),0,1)</f>
        <v/>
      </c>
      <c r="DF162" s="48">
        <f>IF(OR(TRIM(AA162)="",TRIM(AA162)="NA;",TRIM(AA162)="NA"),0,1)</f>
        <v/>
      </c>
      <c r="DG162" s="48">
        <f>IF(OR(TRIM(AB162)="",TRIM(AB162)="NA;",TRIM(AB162)="NA"),0,1)</f>
        <v/>
      </c>
      <c r="DH162" s="48">
        <f>IF(OR(TRIM(AC162)="",TRIM(AC162)="NA;",TRIM(AC162)="NA"),0,1)</f>
        <v/>
      </c>
      <c r="DI162" s="48">
        <f>IF(OR(TRIM(AD162)="",TRIM(AD162)="NA;",TRIM(AD162)="NA"),0,1)</f>
        <v/>
      </c>
      <c r="DJ162" s="48">
        <f>TRIM(IF(DC162=1,"Mon ","")&amp;IF(DD162=1,"Tue ","")&amp;IF(DE162=1,"Wed ","")&amp;IF(DF162=1,"Thu ","")&amp;IF(DG162=1,"Fri ","")&amp;IF(DH162=1,"Sat ","")&amp;IF(DI162=1,"Sun ",""))</f>
        <v/>
      </c>
    </row>
    <row r="163">
      <c r="A163" s="48" t="inlineStr">
        <is>
          <t>S-N-00011</t>
        </is>
      </c>
      <c r="B163" s="48" t="inlineStr">
        <is>
          <t>Sam Baker</t>
        </is>
      </c>
      <c r="C163" s="48" t="inlineStr">
        <is>
          <t>sam.baker61@example.com</t>
        </is>
      </c>
      <c r="D163" s="48" t="inlineStr">
        <is>
          <t>+61 436 496 084</t>
        </is>
      </c>
      <c r="E163" s="48" t="inlineStr">
        <is>
          <t>Ava Levi</t>
        </is>
      </c>
      <c r="F163" s="48" t="inlineStr">
        <is>
          <t>+61 498 392 243</t>
        </is>
      </c>
      <c r="G163" s="48" t="inlineStr">
        <is>
          <t>Caseworker</t>
        </is>
      </c>
      <c r="H163" s="48" t="inlineStr">
        <is>
          <t>Student</t>
        </is>
      </c>
      <c r="I163" s="49" t="n">
        <v>45749</v>
      </c>
      <c r="J163" s="48" t="inlineStr">
        <is>
          <t>ADM-ACT-UNMAT</t>
        </is>
      </c>
      <c r="K163" s="48">
        <f>IFERROR(VLOOKUP(J163,'(A) Introduction'!$B$35:$C$45,2,FALSE),"")</f>
        <v/>
      </c>
      <c r="L163" s="48" t="inlineStr">
        <is>
          <t>No</t>
        </is>
      </c>
      <c r="M163" s="48" t="inlineStr"/>
      <c r="N163" s="48" t="inlineStr"/>
      <c r="O163" s="48" t="inlineStr">
        <is>
          <t>NA</t>
        </is>
      </c>
      <c r="P163" s="48">
        <f>IF($H163="Tutor",((BQ163&lt;&gt;"")*(BR163=""))+((BW163&lt;&gt;"")*(BX163=""))+((CC163&lt;&gt;"")*(CD163=""))+((CI163&lt;&gt;"")*(CJ163=""))+((CO163&lt;&gt;"")*(CP163="")),SUMPRODUCT(--($BO$3:$BO$202=$A163),--($BR$3:$BR$202=""))+SUMPRODUCT(--($BU$3:$BU$202=$A163),--($BX$3:$BX$202=""))+SUMPRODUCT(--($CA$3:$CA$202=$A163),--($CD$3:$CD$202=""))+SUMPRODUCT(--($CG$3:$CG$202=$A163),--($CJ$3:$CJ$202=""))+SUMPRODUCT(--($CM$3:$CM$202=$A163),--($CP$3:$CP$202="")))</f>
        <v/>
      </c>
      <c r="Q163" s="48">
        <f>IF($H163="Tutor",(BQ163&lt;&gt;"")+(BW163&lt;&gt;"")+(CC163&lt;&gt;"")+(CI163&lt;&gt;"")+(CO163&lt;&gt;""),SUMPRODUCT(--($BO$3:$BO$202=$A163))+SUMPRODUCT(--($BU$3:$BU$202=$A163))+SUMPRODUCT(--($CA$3:$CA$202=$A163))+SUMPRODUCT(--($CG$3:$CG$202=$A163))+SUMPRODUCT(--($CM$3:$CM$202=$A163)))</f>
        <v/>
      </c>
      <c r="R163" s="48">
        <f>IF($H163="Tutor",TRIM(IF(AND(BQ163&lt;&gt;"",BR163=""),BP163&amp;"; ","")&amp;IF(AND(BW163&lt;&gt;"",BX163=""),BV163&amp;"; ","")&amp;IF(AND(CC163&lt;&gt;"",CD163=""),CB163&amp;"; ","")&amp;IF(AND(CI163&lt;&gt;"",CJ163=""),CH163&amp;"; ","")&amp;IF(AND(CO163&lt;&gt;"",CP163=""),CN163&amp;"; ","")),IFERROR(INDEX($A$3:$B$202,(SUMPRODUCT(($BO$3:$BO$202=$A163)*($BR$3:$BR$202="")*ROW($BO$3:$BO$202))+SUMPRODUCT(($BU$3:$BU$202=$A163)*($BX$3:$BX$202="")*ROW($BU$3:$BU$202))+SUMPRODUCT(($CA$3:$CA$202=$A163)*($CD$3:$CD$202="")*ROW($CA$3:$CA$202))+SUMPRODUCT(($CG$3:$CG$202=$A163)*($CJ$3:$CJ$202="")*ROW($CG$3:$CG$202))+SUMPRODUCT(($CM$3:$CM$202=$A163)*($CP$3:$CP$202="")*ROW($CM$3:$CM$202)))-2,2),""))</f>
        <v/>
      </c>
      <c r="S163" s="48" t="inlineStr">
        <is>
          <t>NA</t>
        </is>
      </c>
      <c r="T163" s="48" t="inlineStr"/>
      <c r="U163" s="48" t="inlineStr"/>
      <c r="V163" s="49" t="n">
        <v>45885</v>
      </c>
      <c r="W163" s="48" t="inlineStr">
        <is>
          <t>AEST (UTC+10)</t>
        </is>
      </c>
      <c r="X163" s="48" t="inlineStr">
        <is>
          <t>3pm-6pm;</t>
        </is>
      </c>
      <c r="Y163" s="48" t="inlineStr">
        <is>
          <t>3pm-6pm;</t>
        </is>
      </c>
      <c r="Z163" s="48" t="inlineStr">
        <is>
          <t>9am-12pm;</t>
        </is>
      </c>
      <c r="AA163" s="48" t="inlineStr">
        <is>
          <t>3pm-6pm;</t>
        </is>
      </c>
      <c r="AB163" s="48" t="inlineStr">
        <is>
          <t>3pm-6pm;</t>
        </is>
      </c>
      <c r="AC163" s="48" t="inlineStr">
        <is>
          <t>3pm-6pm;</t>
        </is>
      </c>
      <c r="AD163" s="48" t="inlineStr">
        <is>
          <t>NA;</t>
        </is>
      </c>
      <c r="AE163" s="48" t="inlineStr">
        <is>
          <t>Either</t>
        </is>
      </c>
      <c r="AF163" s="48" t="inlineStr">
        <is>
          <t>Computer</t>
        </is>
      </c>
      <c r="AG163" s="48" t="inlineStr">
        <is>
          <t>Australia</t>
        </is>
      </c>
      <c r="AH163" s="48" t="inlineStr">
        <is>
          <t>New South Wales</t>
        </is>
      </c>
      <c r="AI163" s="48" t="inlineStr">
        <is>
          <t>Bardia</t>
        </is>
      </c>
      <c r="AJ163" s="48" t="inlineStr">
        <is>
          <t>2565</t>
        </is>
      </c>
      <c r="AK163" s="49" t="n">
        <v>32540</v>
      </c>
      <c r="AL163" s="48" t="inlineStr">
        <is>
          <t>Female</t>
        </is>
      </c>
      <c r="AM163" s="48" t="inlineStr">
        <is>
          <t>No</t>
        </is>
      </c>
      <c r="AN163" s="48" t="inlineStr">
        <is>
          <t>B2</t>
        </is>
      </c>
      <c r="AO163" s="48" t="inlineStr">
        <is>
          <t>High</t>
        </is>
      </c>
      <c r="AP163" s="48" t="inlineStr">
        <is>
          <t>Sudan</t>
        </is>
      </c>
      <c r="AQ163" s="48" t="inlineStr">
        <is>
          <t>NA</t>
        </is>
      </c>
      <c r="AR163" s="48" t="inlineStr">
        <is>
          <t>Farsi (C1)</t>
        </is>
      </c>
      <c r="AS163" s="48" t="inlineStr">
        <is>
          <t>NA</t>
        </is>
      </c>
      <c r="AT163" s="48" t="inlineStr">
        <is>
          <t>Childcare &amp; Aged Care</t>
        </is>
      </c>
      <c r="AU163" s="48" t="inlineStr">
        <is>
          <t>Retail</t>
        </is>
      </c>
      <c r="AV163" s="48" t="inlineStr">
        <is>
          <t>Counselling</t>
        </is>
      </c>
      <c r="AW163" s="48" t="inlineStr">
        <is>
          <t>Cooking; Reading; Music</t>
        </is>
      </c>
      <c r="AX163" s="48" t="inlineStr">
        <is>
          <t>Asylum Seeker</t>
        </is>
      </c>
      <c r="AY163" s="48" t="inlineStr">
        <is>
          <t>Yes</t>
        </is>
      </c>
      <c r="AZ163" s="48" t="inlineStr">
        <is>
          <t>Yes</t>
        </is>
      </c>
      <c r="BA163" s="48" t="inlineStr">
        <is>
          <t>NA</t>
        </is>
      </c>
      <c r="BB163" s="48" t="inlineStr">
        <is>
          <t>NA</t>
        </is>
      </c>
      <c r="BC163" s="48" t="inlineStr">
        <is>
          <t>NA</t>
        </is>
      </c>
      <c r="BD163" s="48" t="inlineStr">
        <is>
          <t>NA</t>
        </is>
      </c>
      <c r="BE163" s="48" t="inlineStr"/>
      <c r="BF163" s="48" t="inlineStr"/>
      <c r="BG163" s="48" t="inlineStr">
        <is>
          <t>NA</t>
        </is>
      </c>
      <c r="BH163" s="48" t="inlineStr">
        <is>
          <t>NA - Student</t>
        </is>
      </c>
      <c r="BI163" s="48" t="inlineStr">
        <is>
          <t>University of Queensland (Including the Refugee Tutoring Club)</t>
        </is>
      </c>
      <c r="BJ163" s="48" t="inlineStr">
        <is>
          <t>HALLORAN Isobel</t>
        </is>
      </c>
      <c r="BK163" s="48" t="inlineStr">
        <is>
          <t>NUICH Curtis</t>
        </is>
      </c>
      <c r="BL163" s="48" t="inlineStr">
        <is>
          <t>Synthetic test record.</t>
        </is>
      </c>
      <c r="BM163" s="48" t="inlineStr"/>
      <c r="BN163" s="48">
        <f>TRIM(IF(AND($H163="Student",$J163="ADM-ACT-MAT-CNE"),"Invalid: Student cannot be CNE. ","")&amp;IF(AND($H163="Student",ISNUMBER($O163)),"Check: capacity set for a Student. ","")&amp;IF(AND(LEFT($J163,11)="ADM-ACT-MAT",$P163=0),"Check: matched status but 0 active pairings. ","")&amp;IF(AND($H163="Tutor",ISNUMBER($O163),$P163&gt;$O163),"Check: pairings exceed capacity. ","")&amp;IF(AND($BH163="Everyone",NOT(AND($BD163="Yes",$BG163="Yes"))),"Check: approved to tutor children but WWCC not provided/confirmed. ","")&amp;IF(AND($P163&gt;0,NOT(AND(OR(LEFT($AY163,3)="Yes",LEFT($AY163,2)="NA"),OR(LEFT($AZ163,3)="Yes",LEFT($AZ163,2)="NA")))),"Matched but vetting incomplete (interview/reference). ","")&amp;IF(COUNTIF($B$3:$B$600,$B163)&gt;1,"Duplicate participant name. ",""))</f>
        <v/>
      </c>
      <c r="BO163" s="48" t="inlineStr"/>
      <c r="BP163" s="48" t="inlineStr"/>
      <c r="BQ163" s="48" t="inlineStr"/>
      <c r="BR163" s="48" t="inlineStr"/>
      <c r="BS163" s="48" t="inlineStr"/>
      <c r="BT163" s="48" t="inlineStr"/>
      <c r="BU163" s="48" t="inlineStr"/>
      <c r="BV163" s="48" t="inlineStr"/>
      <c r="BW163" s="48" t="inlineStr"/>
      <c r="BX163" s="48" t="inlineStr"/>
      <c r="BY163" s="48" t="inlineStr"/>
      <c r="BZ163" s="48" t="inlineStr"/>
      <c r="CA163" s="48" t="inlineStr"/>
      <c r="CB163" s="48" t="inlineStr"/>
      <c r="CC163" s="48" t="inlineStr"/>
      <c r="CD163" s="48" t="inlineStr"/>
      <c r="CE163" s="48" t="inlineStr"/>
      <c r="CF163" s="48" t="inlineStr"/>
      <c r="CG163" s="48" t="inlineStr"/>
      <c r="CH163" s="48" t="inlineStr"/>
      <c r="CI163" s="48" t="inlineStr"/>
      <c r="CJ163" s="48" t="inlineStr"/>
      <c r="CK163" s="48" t="inlineStr"/>
      <c r="CL163" s="48" t="inlineStr"/>
      <c r="CM163" s="48" t="inlineStr"/>
      <c r="CN163" s="48" t="inlineStr"/>
      <c r="CO163" s="48" t="inlineStr"/>
      <c r="CP163" s="48" t="inlineStr"/>
      <c r="CQ163" s="48" t="inlineStr"/>
      <c r="CR163" s="48" t="inlineStr"/>
      <c r="CS163" s="48">
        <f>IF(LEFT($J163,3)="ERR",0,1)</f>
        <v/>
      </c>
      <c r="CT163" s="48">
        <f>IF(LEFT($J163,3)="ADM",1,0)</f>
        <v/>
      </c>
      <c r="CU163" s="48">
        <f>IF(OR($J163="ADM-ACT-MAT-CNE",$J163="ADM-ACT-MAT-CE",$J163="ADM-INACT-M&amp;T"),1,0)</f>
        <v/>
      </c>
      <c r="CV163" s="48">
        <f>IF(AND(CU163=1,ISNUMBER(M163),ISNUMBER(I163)),M163-I163,"")</f>
        <v/>
      </c>
      <c r="CW163" s="48">
        <f>IF(ISNUMBER(I163),TODAY()-I163,"")</f>
        <v/>
      </c>
      <c r="CX163" s="48">
        <f>IF(ISNUMBER(I163),DATE(YEAR(I163),MONTH(I163),1),"")</f>
        <v/>
      </c>
      <c r="CY163" s="48">
        <f>IFERROR(DATEDIF(AK163,TODAY(),"y"),"")</f>
        <v/>
      </c>
      <c r="CZ163" s="48">
        <f>IF(CY163="","",IF(CY163&lt;28,"18-27",IF(CY163&lt;38,"28-37",IF(CY163&lt;48,"38-47",IF(CY163&lt;58,"48-57",IF(CY163&lt;68,"58-67",IF(CY163&lt;78,"68-77","78+")))))) </f>
        <v/>
      </c>
      <c r="DA163" s="48">
        <f>IF(AND(BQ163&lt;&gt;"",BR163=""),N(BS163),0)+IF(AND(BW163&lt;&gt;"",BX163=""),N(BY163),0)+IF(AND(CC163&lt;&gt;"",CD163=""),N(CE163),0)+IF(AND(CI163&lt;&gt;"",CJ163=""),N(CK163),0)+IF(AND(CO163&lt;&gt;"",CP163=""),N(CQ163),0)</f>
        <v/>
      </c>
      <c r="DB163" s="48">
        <f>ROUND(IF(BQ163&lt;&gt;"",N(BS163)*MAX(0,((IF(BR163="",TODAY(),BR163))-BQ163)/7),0)+IF(BW163&lt;&gt;"",N(BY163)*MAX(0,((IF(BX163="",TODAY(),BX163))-BW163)/7),0)+IF(CC163&lt;&gt;"",N(CE163)*MAX(0,((IF(CD163="",TODAY(),CD163))-CC163)/7),0)+IF(CI163&lt;&gt;"",N(CK163)*MAX(0,((IF(CJ163="",TODAY(),CJ163))-CI163)/7),0)+IF(CO163&lt;&gt;"",N(CQ163)*MAX(0,((IF(CP163="",TODAY(),CP163))-CO163)/7),0),1)</f>
        <v/>
      </c>
      <c r="DC163" s="48">
        <f>IF(OR(TRIM(X163)="",TRIM(X163)="NA;",TRIM(X163)="NA"),0,1)</f>
        <v/>
      </c>
      <c r="DD163" s="48">
        <f>IF(OR(TRIM(Y163)="",TRIM(Y163)="NA;",TRIM(Y163)="NA"),0,1)</f>
        <v/>
      </c>
      <c r="DE163" s="48">
        <f>IF(OR(TRIM(Z163)="",TRIM(Z163)="NA;",TRIM(Z163)="NA"),0,1)</f>
        <v/>
      </c>
      <c r="DF163" s="48">
        <f>IF(OR(TRIM(AA163)="",TRIM(AA163)="NA;",TRIM(AA163)="NA"),0,1)</f>
        <v/>
      </c>
      <c r="DG163" s="48">
        <f>IF(OR(TRIM(AB163)="",TRIM(AB163)="NA;",TRIM(AB163)="NA"),0,1)</f>
        <v/>
      </c>
      <c r="DH163" s="48">
        <f>IF(OR(TRIM(AC163)="",TRIM(AC163)="NA;",TRIM(AC163)="NA"),0,1)</f>
        <v/>
      </c>
      <c r="DI163" s="48">
        <f>IF(OR(TRIM(AD163)="",TRIM(AD163)="NA;",TRIM(AD163)="NA"),0,1)</f>
        <v/>
      </c>
      <c r="DJ163" s="48">
        <f>TRIM(IF(DC163=1,"Mon ","")&amp;IF(DD163=1,"Tue ","")&amp;IF(DE163=1,"Wed ","")&amp;IF(DF163=1,"Thu ","")&amp;IF(DG163=1,"Fri ","")&amp;IF(DH163=1,"Sat ","")&amp;IF(DI163=1,"Sun ",""))</f>
        <v/>
      </c>
    </row>
    <row r="164">
      <c r="A164" s="48" t="inlineStr">
        <is>
          <t>S-N-00012</t>
        </is>
      </c>
      <c r="B164" s="48" t="inlineStr">
        <is>
          <t>Bilal Silva</t>
        </is>
      </c>
      <c r="C164" s="48" t="inlineStr">
        <is>
          <t>bilal.silva62@example.com</t>
        </is>
      </c>
      <c r="D164" s="48" t="inlineStr">
        <is>
          <t>+61 473 751 862</t>
        </is>
      </c>
      <c r="E164" s="48" t="inlineStr">
        <is>
          <t>Sara Brown</t>
        </is>
      </c>
      <c r="F164" s="48" t="inlineStr">
        <is>
          <t>+61 478 940 667</t>
        </is>
      </c>
      <c r="G164" s="48" t="inlineStr">
        <is>
          <t>Sibling</t>
        </is>
      </c>
      <c r="H164" s="48" t="inlineStr">
        <is>
          <t>Student</t>
        </is>
      </c>
      <c r="I164" s="49" t="n">
        <v>45756</v>
      </c>
      <c r="J164" s="48" t="inlineStr">
        <is>
          <t>NADM-REJ-UNRES</t>
        </is>
      </c>
      <c r="K164" s="48">
        <f>IFERROR(VLOOKUP(J164,'(A) Introduction'!$B$35:$C$45,2,FALSE),"")</f>
        <v/>
      </c>
      <c r="L164" s="48" t="inlineStr">
        <is>
          <t>No</t>
        </is>
      </c>
      <c r="M164" s="48" t="inlineStr"/>
      <c r="N164" s="48" t="inlineStr"/>
      <c r="O164" s="48" t="inlineStr">
        <is>
          <t>NA</t>
        </is>
      </c>
      <c r="P164" s="48">
        <f>IF($H164="Tutor",((BQ164&lt;&gt;"")*(BR164=""))+((BW164&lt;&gt;"")*(BX164=""))+((CC164&lt;&gt;"")*(CD164=""))+((CI164&lt;&gt;"")*(CJ164=""))+((CO164&lt;&gt;"")*(CP164="")),SUMPRODUCT(--($BO$3:$BO$202=$A164),--($BR$3:$BR$202=""))+SUMPRODUCT(--($BU$3:$BU$202=$A164),--($BX$3:$BX$202=""))+SUMPRODUCT(--($CA$3:$CA$202=$A164),--($CD$3:$CD$202=""))+SUMPRODUCT(--($CG$3:$CG$202=$A164),--($CJ$3:$CJ$202=""))+SUMPRODUCT(--($CM$3:$CM$202=$A164),--($CP$3:$CP$202="")))</f>
        <v/>
      </c>
      <c r="Q164" s="48">
        <f>IF($H164="Tutor",(BQ164&lt;&gt;"")+(BW164&lt;&gt;"")+(CC164&lt;&gt;"")+(CI164&lt;&gt;"")+(CO164&lt;&gt;""),SUMPRODUCT(--($BO$3:$BO$202=$A164))+SUMPRODUCT(--($BU$3:$BU$202=$A164))+SUMPRODUCT(--($CA$3:$CA$202=$A164))+SUMPRODUCT(--($CG$3:$CG$202=$A164))+SUMPRODUCT(--($CM$3:$CM$202=$A164)))</f>
        <v/>
      </c>
      <c r="R164" s="48">
        <f>IF($H164="Tutor",TRIM(IF(AND(BQ164&lt;&gt;"",BR164=""),BP164&amp;"; ","")&amp;IF(AND(BW164&lt;&gt;"",BX164=""),BV164&amp;"; ","")&amp;IF(AND(CC164&lt;&gt;"",CD164=""),CB164&amp;"; ","")&amp;IF(AND(CI164&lt;&gt;"",CJ164=""),CH164&amp;"; ","")&amp;IF(AND(CO164&lt;&gt;"",CP164=""),CN164&amp;"; ","")),IFERROR(INDEX($A$3:$B$202,(SUMPRODUCT(($BO$3:$BO$202=$A164)*($BR$3:$BR$202="")*ROW($BO$3:$BO$202))+SUMPRODUCT(($BU$3:$BU$202=$A164)*($BX$3:$BX$202="")*ROW($BU$3:$BU$202))+SUMPRODUCT(($CA$3:$CA$202=$A164)*($CD$3:$CD$202="")*ROW($CA$3:$CA$202))+SUMPRODUCT(($CG$3:$CG$202=$A164)*($CJ$3:$CJ$202="")*ROW($CG$3:$CG$202))+SUMPRODUCT(($CM$3:$CM$202=$A164)*($CP$3:$CP$202="")*ROW($CM$3:$CM$202)))-2,2),""))</f>
        <v/>
      </c>
      <c r="S164" s="48" t="inlineStr">
        <is>
          <t>Provided</t>
        </is>
      </c>
      <c r="T164" s="48" t="inlineStr"/>
      <c r="U164" s="48" t="inlineStr"/>
      <c r="V164" s="48" t="inlineStr"/>
      <c r="W164" s="48" t="inlineStr">
        <is>
          <t>ACDT (UTC+10:30)</t>
        </is>
      </c>
      <c r="X164" s="48" t="inlineStr">
        <is>
          <t>3pm-6pm;</t>
        </is>
      </c>
      <c r="Y164" s="48" t="inlineStr">
        <is>
          <t>6pm-9pm;</t>
        </is>
      </c>
      <c r="Z164" s="48" t="inlineStr">
        <is>
          <t>NA;</t>
        </is>
      </c>
      <c r="AA164" s="48" t="inlineStr">
        <is>
          <t>9am-12pm;</t>
        </is>
      </c>
      <c r="AB164" s="48" t="inlineStr">
        <is>
          <t>6pm-9pm;</t>
        </is>
      </c>
      <c r="AC164" s="48" t="inlineStr">
        <is>
          <t>12pm-3pm;6pm-9pm;</t>
        </is>
      </c>
      <c r="AD164" s="48" t="inlineStr">
        <is>
          <t>6pm-9pm;</t>
        </is>
      </c>
      <c r="AE164" s="48" t="inlineStr">
        <is>
          <t>In-Person</t>
        </is>
      </c>
      <c r="AF164" s="48" t="inlineStr">
        <is>
          <t>Multiple devices</t>
        </is>
      </c>
      <c r="AG164" s="48" t="inlineStr">
        <is>
          <t>Australia</t>
        </is>
      </c>
      <c r="AH164" s="48" t="inlineStr">
        <is>
          <t>New South Wales</t>
        </is>
      </c>
      <c r="AI164" s="48" t="inlineStr">
        <is>
          <t>Campsie</t>
        </is>
      </c>
      <c r="AJ164" s="48" t="inlineStr">
        <is>
          <t>2194</t>
        </is>
      </c>
      <c r="AK164" s="49" t="n">
        <v>34871</v>
      </c>
      <c r="AL164" s="48" t="inlineStr">
        <is>
          <t>Other</t>
        </is>
      </c>
      <c r="AM164" s="48" t="inlineStr">
        <is>
          <t>No</t>
        </is>
      </c>
      <c r="AN164" s="48" t="inlineStr">
        <is>
          <t>B2</t>
        </is>
      </c>
      <c r="AO164" s="48" t="inlineStr">
        <is>
          <t>Outstanding</t>
        </is>
      </c>
      <c r="AP164" s="48" t="inlineStr">
        <is>
          <t>Sri Lanka</t>
        </is>
      </c>
      <c r="AQ164" s="48" t="inlineStr">
        <is>
          <t>NA</t>
        </is>
      </c>
      <c r="AR164" s="48" t="inlineStr">
        <is>
          <t>Somali (C1)</t>
        </is>
      </c>
      <c r="AS164" s="48" t="inlineStr">
        <is>
          <t>Hindu</t>
        </is>
      </c>
      <c r="AT164" s="48" t="inlineStr">
        <is>
          <t>Arts, Media &amp; Design</t>
        </is>
      </c>
      <c r="AU164" s="48" t="inlineStr">
        <is>
          <t>Accountant</t>
        </is>
      </c>
      <c r="AV164" s="48" t="inlineStr">
        <is>
          <t>Counselling</t>
        </is>
      </c>
      <c r="AW164" s="48" t="inlineStr">
        <is>
          <t>Art; Photography; Travel</t>
        </is>
      </c>
      <c r="AX164" s="48" t="inlineStr">
        <is>
          <t>Asylum Seeker</t>
        </is>
      </c>
      <c r="AY164" s="48" t="inlineStr">
        <is>
          <t>NA - Partner Organisation Verified</t>
        </is>
      </c>
      <c r="AZ164" s="48" t="inlineStr">
        <is>
          <t>Yes</t>
        </is>
      </c>
      <c r="BA164" s="48" t="inlineStr">
        <is>
          <t>NA</t>
        </is>
      </c>
      <c r="BB164" s="48" t="inlineStr">
        <is>
          <t>NA</t>
        </is>
      </c>
      <c r="BC164" s="48" t="inlineStr">
        <is>
          <t>NA</t>
        </is>
      </c>
      <c r="BD164" s="48" t="inlineStr">
        <is>
          <t>NA</t>
        </is>
      </c>
      <c r="BE164" s="48" t="inlineStr"/>
      <c r="BF164" s="48" t="inlineStr"/>
      <c r="BG164" s="48" t="inlineStr">
        <is>
          <t>NA</t>
        </is>
      </c>
      <c r="BH164" s="48" t="inlineStr">
        <is>
          <t>NA - Student</t>
        </is>
      </c>
      <c r="BI164" s="48" t="inlineStr">
        <is>
          <t>Bread &amp; Butter Project</t>
        </is>
      </c>
      <c r="BJ164" s="48" t="inlineStr">
        <is>
          <t>SHANAHAN Jack</t>
        </is>
      </c>
      <c r="BK164" s="48" t="inlineStr">
        <is>
          <t>THET Moh Moh</t>
        </is>
      </c>
      <c r="BL164" s="48" t="inlineStr">
        <is>
          <t>Synthetic test record.</t>
        </is>
      </c>
      <c r="BM164" s="48" t="inlineStr"/>
      <c r="BN164" s="48">
        <f>TRIM(IF(AND($H164="Student",$J164="ADM-ACT-MAT-CNE"),"Invalid: Student cannot be CNE. ","")&amp;IF(AND($H164="Student",ISNUMBER($O164)),"Check: capacity set for a Student. ","")&amp;IF(AND(LEFT($J164,11)="ADM-ACT-MAT",$P164=0),"Check: matched status but 0 active pairings. ","")&amp;IF(AND($H164="Tutor",ISNUMBER($O164),$P164&gt;$O164),"Check: pairings exceed capacity. ","")&amp;IF(AND($BH164="Everyone",NOT(AND($BD164="Yes",$BG164="Yes"))),"Check: approved to tutor children but WWCC not provided/confirmed. ","")&amp;IF(AND($P164&gt;0,NOT(AND(OR(LEFT($AY164,3)="Yes",LEFT($AY164,2)="NA"),OR(LEFT($AZ164,3)="Yes",LEFT($AZ164,2)="NA")))),"Matched but vetting incomplete (interview/reference). ","")&amp;IF(COUNTIF($B$3:$B$600,$B164)&gt;1,"Duplicate participant name. ",""))</f>
        <v/>
      </c>
      <c r="BO164" s="48" t="inlineStr"/>
      <c r="BP164" s="48" t="inlineStr"/>
      <c r="BQ164" s="48" t="inlineStr"/>
      <c r="BR164" s="48" t="inlineStr"/>
      <c r="BS164" s="48" t="inlineStr"/>
      <c r="BT164" s="48" t="inlineStr"/>
      <c r="BU164" s="48" t="inlineStr"/>
      <c r="BV164" s="48" t="inlineStr"/>
      <c r="BW164" s="48" t="inlineStr"/>
      <c r="BX164" s="48" t="inlineStr"/>
      <c r="BY164" s="48" t="inlineStr"/>
      <c r="BZ164" s="48" t="inlineStr"/>
      <c r="CA164" s="48" t="inlineStr"/>
      <c r="CB164" s="48" t="inlineStr"/>
      <c r="CC164" s="48" t="inlineStr"/>
      <c r="CD164" s="48" t="inlineStr"/>
      <c r="CE164" s="48" t="inlineStr"/>
      <c r="CF164" s="48" t="inlineStr"/>
      <c r="CG164" s="48" t="inlineStr"/>
      <c r="CH164" s="48" t="inlineStr"/>
      <c r="CI164" s="48" t="inlineStr"/>
      <c r="CJ164" s="48" t="inlineStr"/>
      <c r="CK164" s="48" t="inlineStr"/>
      <c r="CL164" s="48" t="inlineStr"/>
      <c r="CM164" s="48" t="inlineStr"/>
      <c r="CN164" s="48" t="inlineStr"/>
      <c r="CO164" s="48" t="inlineStr"/>
      <c r="CP164" s="48" t="inlineStr"/>
      <c r="CQ164" s="48" t="inlineStr"/>
      <c r="CR164" s="48" t="inlineStr"/>
      <c r="CS164" s="48">
        <f>IF(LEFT($J164,3)="ERR",0,1)</f>
        <v/>
      </c>
      <c r="CT164" s="48">
        <f>IF(LEFT($J164,3)="ADM",1,0)</f>
        <v/>
      </c>
      <c r="CU164" s="48">
        <f>IF(OR($J164="ADM-ACT-MAT-CNE",$J164="ADM-ACT-MAT-CE",$J164="ADM-INACT-M&amp;T"),1,0)</f>
        <v/>
      </c>
      <c r="CV164" s="48">
        <f>IF(AND(CU164=1,ISNUMBER(M164),ISNUMBER(I164)),M164-I164,"")</f>
        <v/>
      </c>
      <c r="CW164" s="48">
        <f>IF(ISNUMBER(I164),TODAY()-I164,"")</f>
        <v/>
      </c>
      <c r="CX164" s="48">
        <f>IF(ISNUMBER(I164),DATE(YEAR(I164),MONTH(I164),1),"")</f>
        <v/>
      </c>
      <c r="CY164" s="48">
        <f>IFERROR(DATEDIF(AK164,TODAY(),"y"),"")</f>
        <v/>
      </c>
      <c r="CZ164" s="48">
        <f>IF(CY164="","",IF(CY164&lt;28,"18-27",IF(CY164&lt;38,"28-37",IF(CY164&lt;48,"38-47",IF(CY164&lt;58,"48-57",IF(CY164&lt;68,"58-67",IF(CY164&lt;78,"68-77","78+")))))) </f>
        <v/>
      </c>
      <c r="DA164" s="48">
        <f>IF(AND(BQ164&lt;&gt;"",BR164=""),N(BS164),0)+IF(AND(BW164&lt;&gt;"",BX164=""),N(BY164),0)+IF(AND(CC164&lt;&gt;"",CD164=""),N(CE164),0)+IF(AND(CI164&lt;&gt;"",CJ164=""),N(CK164),0)+IF(AND(CO164&lt;&gt;"",CP164=""),N(CQ164),0)</f>
        <v/>
      </c>
      <c r="DB164" s="48">
        <f>ROUND(IF(BQ164&lt;&gt;"",N(BS164)*MAX(0,((IF(BR164="",TODAY(),BR164))-BQ164)/7),0)+IF(BW164&lt;&gt;"",N(BY164)*MAX(0,((IF(BX164="",TODAY(),BX164))-BW164)/7),0)+IF(CC164&lt;&gt;"",N(CE164)*MAX(0,((IF(CD164="",TODAY(),CD164))-CC164)/7),0)+IF(CI164&lt;&gt;"",N(CK164)*MAX(0,((IF(CJ164="",TODAY(),CJ164))-CI164)/7),0)+IF(CO164&lt;&gt;"",N(CQ164)*MAX(0,((IF(CP164="",TODAY(),CP164))-CO164)/7),0),1)</f>
        <v/>
      </c>
      <c r="DC164" s="48">
        <f>IF(OR(TRIM(X164)="",TRIM(X164)="NA;",TRIM(X164)="NA"),0,1)</f>
        <v/>
      </c>
      <c r="DD164" s="48">
        <f>IF(OR(TRIM(Y164)="",TRIM(Y164)="NA;",TRIM(Y164)="NA"),0,1)</f>
        <v/>
      </c>
      <c r="DE164" s="48">
        <f>IF(OR(TRIM(Z164)="",TRIM(Z164)="NA;",TRIM(Z164)="NA"),0,1)</f>
        <v/>
      </c>
      <c r="DF164" s="48">
        <f>IF(OR(TRIM(AA164)="",TRIM(AA164)="NA;",TRIM(AA164)="NA"),0,1)</f>
        <v/>
      </c>
      <c r="DG164" s="48">
        <f>IF(OR(TRIM(AB164)="",TRIM(AB164)="NA;",TRIM(AB164)="NA"),0,1)</f>
        <v/>
      </c>
      <c r="DH164" s="48">
        <f>IF(OR(TRIM(AC164)="",TRIM(AC164)="NA;",TRIM(AC164)="NA"),0,1)</f>
        <v/>
      </c>
      <c r="DI164" s="48">
        <f>IF(OR(TRIM(AD164)="",TRIM(AD164)="NA;",TRIM(AD164)="NA"),0,1)</f>
        <v/>
      </c>
      <c r="DJ164" s="48">
        <f>TRIM(IF(DC164=1,"Mon ","")&amp;IF(DD164=1,"Tue ","")&amp;IF(DE164=1,"Wed ","")&amp;IF(DF164=1,"Thu ","")&amp;IF(DG164=1,"Fri ","")&amp;IF(DH164=1,"Sat ","")&amp;IF(DI164=1,"Sun ",""))</f>
        <v/>
      </c>
    </row>
    <row r="165">
      <c r="A165" s="48" t="inlineStr">
        <is>
          <t>S-N-00013</t>
        </is>
      </c>
      <c r="B165" s="48" t="inlineStr">
        <is>
          <t>Reza Ng</t>
        </is>
      </c>
      <c r="C165" s="48" t="inlineStr">
        <is>
          <t>reza.ng63@example.com</t>
        </is>
      </c>
      <c r="D165" s="48" t="inlineStr">
        <is>
          <t>+61 412 261 670</t>
        </is>
      </c>
      <c r="E165" s="48" t="inlineStr">
        <is>
          <t>Carlos Green</t>
        </is>
      </c>
      <c r="F165" s="48" t="inlineStr">
        <is>
          <t>+61 481 124 725</t>
        </is>
      </c>
      <c r="G165" s="48" t="inlineStr">
        <is>
          <t>Spouse</t>
        </is>
      </c>
      <c r="H165" s="48" t="inlineStr">
        <is>
          <t>Student</t>
        </is>
      </c>
      <c r="I165" s="49" t="n">
        <v>45775</v>
      </c>
      <c r="J165" s="48" t="inlineStr">
        <is>
          <t>NADM-UNP</t>
        </is>
      </c>
      <c r="K165" s="48">
        <f>IFERROR(VLOOKUP(J165,'(A) Introduction'!$B$35:$C$45,2,FALSE),"")</f>
        <v/>
      </c>
      <c r="L165" s="48" t="inlineStr">
        <is>
          <t>No</t>
        </is>
      </c>
      <c r="M165" s="48" t="inlineStr"/>
      <c r="N165" s="48" t="inlineStr"/>
      <c r="O165" s="48" t="inlineStr">
        <is>
          <t>NA</t>
        </is>
      </c>
      <c r="P165" s="48">
        <f>IF($H165="Tutor",((BQ165&lt;&gt;"")*(BR165=""))+((BW165&lt;&gt;"")*(BX165=""))+((CC165&lt;&gt;"")*(CD165=""))+((CI165&lt;&gt;"")*(CJ165=""))+((CO165&lt;&gt;"")*(CP165="")),SUMPRODUCT(--($BO$3:$BO$202=$A165),--($BR$3:$BR$202=""))+SUMPRODUCT(--($BU$3:$BU$202=$A165),--($BX$3:$BX$202=""))+SUMPRODUCT(--($CA$3:$CA$202=$A165),--($CD$3:$CD$202=""))+SUMPRODUCT(--($CG$3:$CG$202=$A165),--($CJ$3:$CJ$202=""))+SUMPRODUCT(--($CM$3:$CM$202=$A165),--($CP$3:$CP$202="")))</f>
        <v/>
      </c>
      <c r="Q165" s="48">
        <f>IF($H165="Tutor",(BQ165&lt;&gt;"")+(BW165&lt;&gt;"")+(CC165&lt;&gt;"")+(CI165&lt;&gt;"")+(CO165&lt;&gt;""),SUMPRODUCT(--($BO$3:$BO$202=$A165))+SUMPRODUCT(--($BU$3:$BU$202=$A165))+SUMPRODUCT(--($CA$3:$CA$202=$A165))+SUMPRODUCT(--($CG$3:$CG$202=$A165))+SUMPRODUCT(--($CM$3:$CM$202=$A165)))</f>
        <v/>
      </c>
      <c r="R165" s="48">
        <f>IF($H165="Tutor",TRIM(IF(AND(BQ165&lt;&gt;"",BR165=""),BP165&amp;"; ","")&amp;IF(AND(BW165&lt;&gt;"",BX165=""),BV165&amp;"; ","")&amp;IF(AND(CC165&lt;&gt;"",CD165=""),CB165&amp;"; ","")&amp;IF(AND(CI165&lt;&gt;"",CJ165=""),CH165&amp;"; ","")&amp;IF(AND(CO165&lt;&gt;"",CP165=""),CN165&amp;"; ","")),IFERROR(INDEX($A$3:$B$202,(SUMPRODUCT(($BO$3:$BO$202=$A165)*($BR$3:$BR$202="")*ROW($BO$3:$BO$202))+SUMPRODUCT(($BU$3:$BU$202=$A165)*($BX$3:$BX$202="")*ROW($BU$3:$BU$202))+SUMPRODUCT(($CA$3:$CA$202=$A165)*($CD$3:$CD$202="")*ROW($CA$3:$CA$202))+SUMPRODUCT(($CG$3:$CG$202=$A165)*($CJ$3:$CJ$202="")*ROW($CG$3:$CG$202))+SUMPRODUCT(($CM$3:$CM$202=$A165)*($CP$3:$CP$202="")*ROW($CM$3:$CM$202)))-2,2),""))</f>
        <v/>
      </c>
      <c r="S165" s="48" t="inlineStr">
        <is>
          <t>Not Provided</t>
        </is>
      </c>
      <c r="T165" s="48" t="inlineStr"/>
      <c r="U165" s="48" t="inlineStr"/>
      <c r="V165" s="48" t="inlineStr"/>
      <c r="W165" s="48" t="inlineStr">
        <is>
          <t>AEDT (UTC+11)</t>
        </is>
      </c>
      <c r="X165" s="48" t="inlineStr">
        <is>
          <t>12pm-3pm;</t>
        </is>
      </c>
      <c r="Y165" s="48" t="inlineStr">
        <is>
          <t>12pm-3pm;</t>
        </is>
      </c>
      <c r="Z165" s="48" t="inlineStr">
        <is>
          <t>9am-12pm;12pm-3pm;3pm-6pm;</t>
        </is>
      </c>
      <c r="AA165" s="48" t="inlineStr">
        <is>
          <t>6am-9am;9am-12pm;</t>
        </is>
      </c>
      <c r="AB165" s="48" t="inlineStr">
        <is>
          <t>9am-12pm;</t>
        </is>
      </c>
      <c r="AC165" s="48" t="inlineStr">
        <is>
          <t>6am-9am;9am-12pm;</t>
        </is>
      </c>
      <c r="AD165" s="48" t="inlineStr">
        <is>
          <t>9am-12pm;12pm-3pm;3pm-6pm;</t>
        </is>
      </c>
      <c r="AE165" s="48" t="inlineStr">
        <is>
          <t>Online</t>
        </is>
      </c>
      <c r="AF165" s="48" t="inlineStr">
        <is>
          <t>Computer</t>
        </is>
      </c>
      <c r="AG165" s="48" t="inlineStr">
        <is>
          <t>Australia</t>
        </is>
      </c>
      <c r="AH165" s="48" t="inlineStr">
        <is>
          <t>New South Wales</t>
        </is>
      </c>
      <c r="AI165" s="48" t="inlineStr">
        <is>
          <t>Doonside</t>
        </is>
      </c>
      <c r="AJ165" s="48" t="inlineStr">
        <is>
          <t>2767</t>
        </is>
      </c>
      <c r="AK165" s="49" t="n">
        <v>36273</v>
      </c>
      <c r="AL165" s="48" t="inlineStr">
        <is>
          <t>Female</t>
        </is>
      </c>
      <c r="AM165" s="48" t="inlineStr">
        <is>
          <t>No</t>
        </is>
      </c>
      <c r="AN165" s="48" t="inlineStr">
        <is>
          <t>B2</t>
        </is>
      </c>
      <c r="AO165" s="48" t="inlineStr">
        <is>
          <t>Low</t>
        </is>
      </c>
      <c r="AP165" s="48" t="inlineStr">
        <is>
          <t>Afghanistan</t>
        </is>
      </c>
      <c r="AQ165" s="48" t="inlineStr">
        <is>
          <t>NA</t>
        </is>
      </c>
      <c r="AR165" s="48" t="inlineStr">
        <is>
          <t>Bengali (C1)</t>
        </is>
      </c>
      <c r="AS165" s="48" t="inlineStr">
        <is>
          <t>Christian (Orthodox)</t>
        </is>
      </c>
      <c r="AT165" s="48" t="inlineStr">
        <is>
          <t>Trades &amp; Construction</t>
        </is>
      </c>
      <c r="AU165" s="48" t="inlineStr">
        <is>
          <t>Accountant</t>
        </is>
      </c>
      <c r="AV165" s="48" t="inlineStr">
        <is>
          <t>Nursing</t>
        </is>
      </c>
      <c r="AW165" s="48" t="inlineStr">
        <is>
          <t>Travel; Sport; Movies</t>
        </is>
      </c>
      <c r="AX165" s="48" t="inlineStr">
        <is>
          <t>Refugee</t>
        </is>
      </c>
      <c r="AY165" s="48" t="inlineStr">
        <is>
          <t>Yes</t>
        </is>
      </c>
      <c r="AZ165" s="48" t="inlineStr">
        <is>
          <t>Yes</t>
        </is>
      </c>
      <c r="BA165" s="48" t="inlineStr">
        <is>
          <t>NA</t>
        </is>
      </c>
      <c r="BB165" s="48" t="inlineStr">
        <is>
          <t>NA</t>
        </is>
      </c>
      <c r="BC165" s="48" t="inlineStr">
        <is>
          <t>NA</t>
        </is>
      </c>
      <c r="BD165" s="48" t="inlineStr">
        <is>
          <t>NA</t>
        </is>
      </c>
      <c r="BE165" s="48" t="inlineStr"/>
      <c r="BF165" s="48" t="inlineStr"/>
      <c r="BG165" s="48" t="inlineStr">
        <is>
          <t>NA</t>
        </is>
      </c>
      <c r="BH165" s="48" t="inlineStr">
        <is>
          <t>NA - Student</t>
        </is>
      </c>
      <c r="BI165" s="48" t="inlineStr">
        <is>
          <t>Asylum Seeker Resource Centre</t>
        </is>
      </c>
      <c r="BJ165" s="48" t="inlineStr">
        <is>
          <t>SINGH Veera</t>
        </is>
      </c>
      <c r="BK165" s="48" t="inlineStr">
        <is>
          <t>THET Moh Moh</t>
        </is>
      </c>
      <c r="BL165" s="48" t="inlineStr">
        <is>
          <t>Synthetic test record.</t>
        </is>
      </c>
      <c r="BM165" s="48" t="inlineStr"/>
      <c r="BN165" s="48">
        <f>TRIM(IF(AND($H165="Student",$J165="ADM-ACT-MAT-CNE"),"Invalid: Student cannot be CNE. ","")&amp;IF(AND($H165="Student",ISNUMBER($O165)),"Check: capacity set for a Student. ","")&amp;IF(AND(LEFT($J165,11)="ADM-ACT-MAT",$P165=0),"Check: matched status but 0 active pairings. ","")&amp;IF(AND($H165="Tutor",ISNUMBER($O165),$P165&gt;$O165),"Check: pairings exceed capacity. ","")&amp;IF(AND($BH165="Everyone",NOT(AND($BD165="Yes",$BG165="Yes"))),"Check: approved to tutor children but WWCC not provided/confirmed. ","")&amp;IF(AND($P165&gt;0,NOT(AND(OR(LEFT($AY165,3)="Yes",LEFT($AY165,2)="NA"),OR(LEFT($AZ165,3)="Yes",LEFT($AZ165,2)="NA")))),"Matched but vetting incomplete (interview/reference). ","")&amp;IF(COUNTIF($B$3:$B$600,$B165)&gt;1,"Duplicate participant name. ",""))</f>
        <v/>
      </c>
      <c r="BO165" s="48" t="inlineStr"/>
      <c r="BP165" s="48" t="inlineStr"/>
      <c r="BQ165" s="48" t="inlineStr"/>
      <c r="BR165" s="48" t="inlineStr"/>
      <c r="BS165" s="48" t="inlineStr"/>
      <c r="BT165" s="48" t="inlineStr"/>
      <c r="BU165" s="48" t="inlineStr"/>
      <c r="BV165" s="48" t="inlineStr"/>
      <c r="BW165" s="48" t="inlineStr"/>
      <c r="BX165" s="48" t="inlineStr"/>
      <c r="BY165" s="48" t="inlineStr"/>
      <c r="BZ165" s="48" t="inlineStr"/>
      <c r="CA165" s="48" t="inlineStr"/>
      <c r="CB165" s="48" t="inlineStr"/>
      <c r="CC165" s="48" t="inlineStr"/>
      <c r="CD165" s="48" t="inlineStr"/>
      <c r="CE165" s="48" t="inlineStr"/>
      <c r="CF165" s="48" t="inlineStr"/>
      <c r="CG165" s="48" t="inlineStr"/>
      <c r="CH165" s="48" t="inlineStr"/>
      <c r="CI165" s="48" t="inlineStr"/>
      <c r="CJ165" s="48" t="inlineStr"/>
      <c r="CK165" s="48" t="inlineStr"/>
      <c r="CL165" s="48" t="inlineStr"/>
      <c r="CM165" s="48" t="inlineStr"/>
      <c r="CN165" s="48" t="inlineStr"/>
      <c r="CO165" s="48" t="inlineStr"/>
      <c r="CP165" s="48" t="inlineStr"/>
      <c r="CQ165" s="48" t="inlineStr"/>
      <c r="CR165" s="48" t="inlineStr"/>
      <c r="CS165" s="48">
        <f>IF(LEFT($J165,3)="ERR",0,1)</f>
        <v/>
      </c>
      <c r="CT165" s="48">
        <f>IF(LEFT($J165,3)="ADM",1,0)</f>
        <v/>
      </c>
      <c r="CU165" s="48">
        <f>IF(OR($J165="ADM-ACT-MAT-CNE",$J165="ADM-ACT-MAT-CE",$J165="ADM-INACT-M&amp;T"),1,0)</f>
        <v/>
      </c>
      <c r="CV165" s="48">
        <f>IF(AND(CU165=1,ISNUMBER(M165),ISNUMBER(I165)),M165-I165,"")</f>
        <v/>
      </c>
      <c r="CW165" s="48">
        <f>IF(ISNUMBER(I165),TODAY()-I165,"")</f>
        <v/>
      </c>
      <c r="CX165" s="48">
        <f>IF(ISNUMBER(I165),DATE(YEAR(I165),MONTH(I165),1),"")</f>
        <v/>
      </c>
      <c r="CY165" s="48">
        <f>IFERROR(DATEDIF(AK165,TODAY(),"y"),"")</f>
        <v/>
      </c>
      <c r="CZ165" s="48">
        <f>IF(CY165="","",IF(CY165&lt;28,"18-27",IF(CY165&lt;38,"28-37",IF(CY165&lt;48,"38-47",IF(CY165&lt;58,"48-57",IF(CY165&lt;68,"58-67",IF(CY165&lt;78,"68-77","78+")))))) </f>
        <v/>
      </c>
      <c r="DA165" s="48">
        <f>IF(AND(BQ165&lt;&gt;"",BR165=""),N(BS165),0)+IF(AND(BW165&lt;&gt;"",BX165=""),N(BY165),0)+IF(AND(CC165&lt;&gt;"",CD165=""),N(CE165),0)+IF(AND(CI165&lt;&gt;"",CJ165=""),N(CK165),0)+IF(AND(CO165&lt;&gt;"",CP165=""),N(CQ165),0)</f>
        <v/>
      </c>
      <c r="DB165" s="48">
        <f>ROUND(IF(BQ165&lt;&gt;"",N(BS165)*MAX(0,((IF(BR165="",TODAY(),BR165))-BQ165)/7),0)+IF(BW165&lt;&gt;"",N(BY165)*MAX(0,((IF(BX165="",TODAY(),BX165))-BW165)/7),0)+IF(CC165&lt;&gt;"",N(CE165)*MAX(0,((IF(CD165="",TODAY(),CD165))-CC165)/7),0)+IF(CI165&lt;&gt;"",N(CK165)*MAX(0,((IF(CJ165="",TODAY(),CJ165))-CI165)/7),0)+IF(CO165&lt;&gt;"",N(CQ165)*MAX(0,((IF(CP165="",TODAY(),CP165))-CO165)/7),0),1)</f>
        <v/>
      </c>
      <c r="DC165" s="48">
        <f>IF(OR(TRIM(X165)="",TRIM(X165)="NA;",TRIM(X165)="NA"),0,1)</f>
        <v/>
      </c>
      <c r="DD165" s="48">
        <f>IF(OR(TRIM(Y165)="",TRIM(Y165)="NA;",TRIM(Y165)="NA"),0,1)</f>
        <v/>
      </c>
      <c r="DE165" s="48">
        <f>IF(OR(TRIM(Z165)="",TRIM(Z165)="NA;",TRIM(Z165)="NA"),0,1)</f>
        <v/>
      </c>
      <c r="DF165" s="48">
        <f>IF(OR(TRIM(AA165)="",TRIM(AA165)="NA;",TRIM(AA165)="NA"),0,1)</f>
        <v/>
      </c>
      <c r="DG165" s="48">
        <f>IF(OR(TRIM(AB165)="",TRIM(AB165)="NA;",TRIM(AB165)="NA"),0,1)</f>
        <v/>
      </c>
      <c r="DH165" s="48">
        <f>IF(OR(TRIM(AC165)="",TRIM(AC165)="NA;",TRIM(AC165)="NA"),0,1)</f>
        <v/>
      </c>
      <c r="DI165" s="48">
        <f>IF(OR(TRIM(AD165)="",TRIM(AD165)="NA;",TRIM(AD165)="NA"),0,1)</f>
        <v/>
      </c>
      <c r="DJ165" s="48">
        <f>TRIM(IF(DC165=1,"Mon ","")&amp;IF(DD165=1,"Tue ","")&amp;IF(DE165=1,"Wed ","")&amp;IF(DF165=1,"Thu ","")&amp;IF(DG165=1,"Fri ","")&amp;IF(DH165=1,"Sat ","")&amp;IF(DI165=1,"Sun ",""))</f>
        <v/>
      </c>
    </row>
    <row r="166">
      <c r="A166" s="48" t="inlineStr">
        <is>
          <t>S-N-00014</t>
        </is>
      </c>
      <c r="B166" s="48" t="inlineStr">
        <is>
          <t>Jose Green</t>
        </is>
      </c>
      <c r="C166" s="48" t="inlineStr">
        <is>
          <t>jose.green64@example.com</t>
        </is>
      </c>
      <c r="D166" s="48" t="inlineStr">
        <is>
          <t>+61 448 672 782</t>
        </is>
      </c>
      <c r="E166" s="48" t="inlineStr">
        <is>
          <t>Fatima Petrov</t>
        </is>
      </c>
      <c r="F166" s="48" t="inlineStr">
        <is>
          <t>+61 469 787 441</t>
        </is>
      </c>
      <c r="G166" s="48" t="inlineStr">
        <is>
          <t>Parent</t>
        </is>
      </c>
      <c r="H166" s="48" t="inlineStr">
        <is>
          <t>Student</t>
        </is>
      </c>
      <c r="I166" s="49" t="n">
        <v>45780</v>
      </c>
      <c r="J166" s="48" t="inlineStr">
        <is>
          <t>ADM-ACT-MAT-CE</t>
        </is>
      </c>
      <c r="K166" s="48">
        <f>IFERROR(VLOOKUP(J166,'(A) Introduction'!$B$35:$C$45,2,FALSE),"")</f>
        <v/>
      </c>
      <c r="L166" s="48" t="inlineStr">
        <is>
          <t>No</t>
        </is>
      </c>
      <c r="M166" s="49" t="n">
        <v>45868</v>
      </c>
      <c r="N166" s="48" t="inlineStr"/>
      <c r="O166" s="48" t="inlineStr">
        <is>
          <t>NA</t>
        </is>
      </c>
      <c r="P166" s="48">
        <f>IF($H166="Tutor",((BQ166&lt;&gt;"")*(BR166=""))+((BW166&lt;&gt;"")*(BX166=""))+((CC166&lt;&gt;"")*(CD166=""))+((CI166&lt;&gt;"")*(CJ166=""))+((CO166&lt;&gt;"")*(CP166="")),SUMPRODUCT(--($BO$3:$BO$202=$A166),--($BR$3:$BR$202=""))+SUMPRODUCT(--($BU$3:$BU$202=$A166),--($BX$3:$BX$202=""))+SUMPRODUCT(--($CA$3:$CA$202=$A166),--($CD$3:$CD$202=""))+SUMPRODUCT(--($CG$3:$CG$202=$A166),--($CJ$3:$CJ$202=""))+SUMPRODUCT(--($CM$3:$CM$202=$A166),--($CP$3:$CP$202="")))</f>
        <v/>
      </c>
      <c r="Q166" s="48">
        <f>IF($H166="Tutor",(BQ166&lt;&gt;"")+(BW166&lt;&gt;"")+(CC166&lt;&gt;"")+(CI166&lt;&gt;"")+(CO166&lt;&gt;""),SUMPRODUCT(--($BO$3:$BO$202=$A166))+SUMPRODUCT(--($BU$3:$BU$202=$A166))+SUMPRODUCT(--($CA$3:$CA$202=$A166))+SUMPRODUCT(--($CG$3:$CG$202=$A166))+SUMPRODUCT(--($CM$3:$CM$202=$A166)))</f>
        <v/>
      </c>
      <c r="R166" s="48">
        <f>IF($H166="Tutor",TRIM(IF(AND(BQ166&lt;&gt;"",BR166=""),BP166&amp;"; ","")&amp;IF(AND(BW166&lt;&gt;"",BX166=""),BV166&amp;"; ","")&amp;IF(AND(CC166&lt;&gt;"",CD166=""),CB166&amp;"; ","")&amp;IF(AND(CI166&lt;&gt;"",CJ166=""),CH166&amp;"; ","")&amp;IF(AND(CO166&lt;&gt;"",CP166=""),CN166&amp;"; ","")),IFERROR(INDEX($A$3:$B$202,(SUMPRODUCT(($BO$3:$BO$202=$A166)*($BR$3:$BR$202="")*ROW($BO$3:$BO$202))+SUMPRODUCT(($BU$3:$BU$202=$A166)*($BX$3:$BX$202="")*ROW($BU$3:$BU$202))+SUMPRODUCT(($CA$3:$CA$202=$A166)*($CD$3:$CD$202="")*ROW($CA$3:$CA$202))+SUMPRODUCT(($CG$3:$CG$202=$A166)*($CJ$3:$CJ$202="")*ROW($CG$3:$CG$202))+SUMPRODUCT(($CM$3:$CM$202=$A166)*($CP$3:$CP$202="")*ROW($CM$3:$CM$202)))-2,2),""))</f>
        <v/>
      </c>
      <c r="S166" s="48" t="inlineStr">
        <is>
          <t>Provided</t>
        </is>
      </c>
      <c r="T166" s="48" t="inlineStr"/>
      <c r="U166" s="48" t="inlineStr"/>
      <c r="V166" s="49" t="n">
        <v>45703</v>
      </c>
      <c r="W166" s="48" t="inlineStr">
        <is>
          <t>AEST (UTC+10)</t>
        </is>
      </c>
      <c r="X166" s="48" t="inlineStr">
        <is>
          <t>9am-12pm;</t>
        </is>
      </c>
      <c r="Y166" s="48" t="inlineStr">
        <is>
          <t>3pm-6pm;</t>
        </is>
      </c>
      <c r="Z166" s="48" t="inlineStr">
        <is>
          <t>3pm-6pm;</t>
        </is>
      </c>
      <c r="AA166" s="48" t="inlineStr">
        <is>
          <t>6pm-9pm;</t>
        </is>
      </c>
      <c r="AB166" s="48" t="inlineStr">
        <is>
          <t>6pm-9pm;</t>
        </is>
      </c>
      <c r="AC166" s="48" t="inlineStr">
        <is>
          <t>6pm-9pm;</t>
        </is>
      </c>
      <c r="AD166" s="48" t="inlineStr">
        <is>
          <t>3pm-6pm;</t>
        </is>
      </c>
      <c r="AE166" s="48" t="inlineStr">
        <is>
          <t>In-Person</t>
        </is>
      </c>
      <c r="AF166" s="48" t="inlineStr">
        <is>
          <t>Tablet</t>
        </is>
      </c>
      <c r="AG166" s="48" t="inlineStr">
        <is>
          <t>Australia</t>
        </is>
      </c>
      <c r="AH166" s="48" t="inlineStr">
        <is>
          <t>New South Wales</t>
        </is>
      </c>
      <c r="AI166" s="48" t="inlineStr">
        <is>
          <t>Kogarah</t>
        </is>
      </c>
      <c r="AJ166" s="48" t="inlineStr">
        <is>
          <t>2217</t>
        </is>
      </c>
      <c r="AK166" s="49" t="n">
        <v>26863</v>
      </c>
      <c r="AL166" s="48" t="inlineStr">
        <is>
          <t>Female</t>
        </is>
      </c>
      <c r="AM166" s="48" t="inlineStr">
        <is>
          <t>No</t>
        </is>
      </c>
      <c r="AN166" s="48" t="inlineStr">
        <is>
          <t>B1</t>
        </is>
      </c>
      <c r="AO166" s="48" t="inlineStr">
        <is>
          <t>Low</t>
        </is>
      </c>
      <c r="AP166" s="48" t="inlineStr">
        <is>
          <t>Pakistan</t>
        </is>
      </c>
      <c r="AQ166" s="48" t="inlineStr">
        <is>
          <t>NA</t>
        </is>
      </c>
      <c r="AR166" s="48" t="inlineStr">
        <is>
          <t>Arabic (C1)</t>
        </is>
      </c>
      <c r="AS166" s="48" t="inlineStr">
        <is>
          <t>None</t>
        </is>
      </c>
      <c r="AT166" s="48" t="inlineStr">
        <is>
          <t>Health &amp; Medicine</t>
        </is>
      </c>
      <c r="AU166" s="48" t="inlineStr">
        <is>
          <t>Nurse</t>
        </is>
      </c>
      <c r="AV166" s="48" t="inlineStr">
        <is>
          <t>Medicine</t>
        </is>
      </c>
      <c r="AW166" s="48" t="inlineStr">
        <is>
          <t>Cooking; Reading; Music</t>
        </is>
      </c>
      <c r="AX166" s="48" t="inlineStr">
        <is>
          <t>Asylum Seeker</t>
        </is>
      </c>
      <c r="AY166" s="48" t="inlineStr">
        <is>
          <t>Yes</t>
        </is>
      </c>
      <c r="AZ166" s="48" t="inlineStr">
        <is>
          <t>NA - Partner Organisation Verified</t>
        </is>
      </c>
      <c r="BA166" s="48" t="inlineStr">
        <is>
          <t>NA</t>
        </is>
      </c>
      <c r="BB166" s="48" t="inlineStr">
        <is>
          <t>NA</t>
        </is>
      </c>
      <c r="BC166" s="48" t="inlineStr">
        <is>
          <t>NA</t>
        </is>
      </c>
      <c r="BD166" s="48" t="inlineStr">
        <is>
          <t>NA</t>
        </is>
      </c>
      <c r="BE166" s="48" t="inlineStr"/>
      <c r="BF166" s="48" t="inlineStr"/>
      <c r="BG166" s="48" t="inlineStr">
        <is>
          <t>NA</t>
        </is>
      </c>
      <c r="BH166" s="48" t="inlineStr">
        <is>
          <t>NA - Student</t>
        </is>
      </c>
      <c r="BI166" s="48" t="inlineStr">
        <is>
          <t>Grandmothers for Refugees</t>
        </is>
      </c>
      <c r="BJ166" s="48" t="inlineStr">
        <is>
          <t>THET Moh Moh</t>
        </is>
      </c>
      <c r="BK166" s="48" t="inlineStr">
        <is>
          <t>NUICH Curtis</t>
        </is>
      </c>
      <c r="BL166" s="48" t="inlineStr">
        <is>
          <t>Synthetic test record.</t>
        </is>
      </c>
      <c r="BM166" s="48" t="inlineStr"/>
      <c r="BN166" s="48">
        <f>TRIM(IF(AND($H166="Student",$J166="ADM-ACT-MAT-CNE"),"Invalid: Student cannot be CNE. ","")&amp;IF(AND($H166="Student",ISNUMBER($O166)),"Check: capacity set for a Student. ","")&amp;IF(AND(LEFT($J166,11)="ADM-ACT-MAT",$P166=0),"Check: matched status but 0 active pairings. ","")&amp;IF(AND($H166="Tutor",ISNUMBER($O166),$P166&gt;$O166),"Check: pairings exceed capacity. ","")&amp;IF(AND($BH166="Everyone",NOT(AND($BD166="Yes",$BG166="Yes"))),"Check: approved to tutor children but WWCC not provided/confirmed. ","")&amp;IF(AND($P166&gt;0,NOT(AND(OR(LEFT($AY166,3)="Yes",LEFT($AY166,2)="NA"),OR(LEFT($AZ166,3)="Yes",LEFT($AZ166,2)="NA")))),"Matched but vetting incomplete (interview/reference). ","")&amp;IF(COUNTIF($B$3:$B$600,$B166)&gt;1,"Duplicate participant name. ",""))</f>
        <v/>
      </c>
      <c r="BO166" s="48" t="inlineStr"/>
      <c r="BP166" s="48" t="inlineStr"/>
      <c r="BQ166" s="48" t="inlineStr"/>
      <c r="BR166" s="48" t="inlineStr"/>
      <c r="BS166" s="48" t="inlineStr"/>
      <c r="BT166" s="48" t="inlineStr"/>
      <c r="BU166" s="48" t="inlineStr"/>
      <c r="BV166" s="48" t="inlineStr"/>
      <c r="BW166" s="48" t="inlineStr"/>
      <c r="BX166" s="48" t="inlineStr"/>
      <c r="BY166" s="48" t="inlineStr"/>
      <c r="BZ166" s="48" t="inlineStr"/>
      <c r="CA166" s="48" t="inlineStr"/>
      <c r="CB166" s="48" t="inlineStr"/>
      <c r="CC166" s="48" t="inlineStr"/>
      <c r="CD166" s="48" t="inlineStr"/>
      <c r="CE166" s="48" t="inlineStr"/>
      <c r="CF166" s="48" t="inlineStr"/>
      <c r="CG166" s="48" t="inlineStr"/>
      <c r="CH166" s="48" t="inlineStr"/>
      <c r="CI166" s="48" t="inlineStr"/>
      <c r="CJ166" s="48" t="inlineStr"/>
      <c r="CK166" s="48" t="inlineStr"/>
      <c r="CL166" s="48" t="inlineStr"/>
      <c r="CM166" s="48" t="inlineStr"/>
      <c r="CN166" s="48" t="inlineStr"/>
      <c r="CO166" s="48" t="inlineStr"/>
      <c r="CP166" s="48" t="inlineStr"/>
      <c r="CQ166" s="48" t="inlineStr"/>
      <c r="CR166" s="48" t="inlineStr"/>
      <c r="CS166" s="48">
        <f>IF(LEFT($J166,3)="ERR",0,1)</f>
        <v/>
      </c>
      <c r="CT166" s="48">
        <f>IF(LEFT($J166,3)="ADM",1,0)</f>
        <v/>
      </c>
      <c r="CU166" s="48">
        <f>IF(OR($J166="ADM-ACT-MAT-CNE",$J166="ADM-ACT-MAT-CE",$J166="ADM-INACT-M&amp;T"),1,0)</f>
        <v/>
      </c>
      <c r="CV166" s="48">
        <f>IF(AND(CU166=1,ISNUMBER(M166),ISNUMBER(I166)),M166-I166,"")</f>
        <v/>
      </c>
      <c r="CW166" s="48">
        <f>IF(ISNUMBER(I166),TODAY()-I166,"")</f>
        <v/>
      </c>
      <c r="CX166" s="48">
        <f>IF(ISNUMBER(I166),DATE(YEAR(I166),MONTH(I166),1),"")</f>
        <v/>
      </c>
      <c r="CY166" s="48">
        <f>IFERROR(DATEDIF(AK166,TODAY(),"y"),"")</f>
        <v/>
      </c>
      <c r="CZ166" s="48">
        <f>IF(CY166="","",IF(CY166&lt;28,"18-27",IF(CY166&lt;38,"28-37",IF(CY166&lt;48,"38-47",IF(CY166&lt;58,"48-57",IF(CY166&lt;68,"58-67",IF(CY166&lt;78,"68-77","78+")))))) </f>
        <v/>
      </c>
      <c r="DA166" s="48">
        <f>IF(AND(BQ166&lt;&gt;"",BR166=""),N(BS166),0)+IF(AND(BW166&lt;&gt;"",BX166=""),N(BY166),0)+IF(AND(CC166&lt;&gt;"",CD166=""),N(CE166),0)+IF(AND(CI166&lt;&gt;"",CJ166=""),N(CK166),0)+IF(AND(CO166&lt;&gt;"",CP166=""),N(CQ166),0)</f>
        <v/>
      </c>
      <c r="DB166" s="48">
        <f>ROUND(IF(BQ166&lt;&gt;"",N(BS166)*MAX(0,((IF(BR166="",TODAY(),BR166))-BQ166)/7),0)+IF(BW166&lt;&gt;"",N(BY166)*MAX(0,((IF(BX166="",TODAY(),BX166))-BW166)/7),0)+IF(CC166&lt;&gt;"",N(CE166)*MAX(0,((IF(CD166="",TODAY(),CD166))-CC166)/7),0)+IF(CI166&lt;&gt;"",N(CK166)*MAX(0,((IF(CJ166="",TODAY(),CJ166))-CI166)/7),0)+IF(CO166&lt;&gt;"",N(CQ166)*MAX(0,((IF(CP166="",TODAY(),CP166))-CO166)/7),0),1)</f>
        <v/>
      </c>
      <c r="DC166" s="48">
        <f>IF(OR(TRIM(X166)="",TRIM(X166)="NA;",TRIM(X166)="NA"),0,1)</f>
        <v/>
      </c>
      <c r="DD166" s="48">
        <f>IF(OR(TRIM(Y166)="",TRIM(Y166)="NA;",TRIM(Y166)="NA"),0,1)</f>
        <v/>
      </c>
      <c r="DE166" s="48">
        <f>IF(OR(TRIM(Z166)="",TRIM(Z166)="NA;",TRIM(Z166)="NA"),0,1)</f>
        <v/>
      </c>
      <c r="DF166" s="48">
        <f>IF(OR(TRIM(AA166)="",TRIM(AA166)="NA;",TRIM(AA166)="NA"),0,1)</f>
        <v/>
      </c>
      <c r="DG166" s="48">
        <f>IF(OR(TRIM(AB166)="",TRIM(AB166)="NA;",TRIM(AB166)="NA"),0,1)</f>
        <v/>
      </c>
      <c r="DH166" s="48">
        <f>IF(OR(TRIM(AC166)="",TRIM(AC166)="NA;",TRIM(AC166)="NA"),0,1)</f>
        <v/>
      </c>
      <c r="DI166" s="48">
        <f>IF(OR(TRIM(AD166)="",TRIM(AD166)="NA;",TRIM(AD166)="NA"),0,1)</f>
        <v/>
      </c>
      <c r="DJ166" s="48">
        <f>TRIM(IF(DC166=1,"Mon ","")&amp;IF(DD166=1,"Tue ","")&amp;IF(DE166=1,"Wed ","")&amp;IF(DF166=1,"Thu ","")&amp;IF(DG166=1,"Fri ","")&amp;IF(DH166=1,"Sat ","")&amp;IF(DI166=1,"Sun ",""))</f>
        <v/>
      </c>
    </row>
    <row r="167">
      <c r="A167" s="48" t="inlineStr">
        <is>
          <t>S-N-00015</t>
        </is>
      </c>
      <c r="B167" s="48" t="inlineStr">
        <is>
          <t>Tom Nguyen</t>
        </is>
      </c>
      <c r="C167" s="48" t="inlineStr">
        <is>
          <t>tom.nguyen65@example.com</t>
        </is>
      </c>
      <c r="D167" s="48" t="inlineStr">
        <is>
          <t>+61 491 265 105</t>
        </is>
      </c>
      <c r="E167" s="48" t="inlineStr">
        <is>
          <t>Hala Rafipour</t>
        </is>
      </c>
      <c r="F167" s="48" t="inlineStr">
        <is>
          <t>+61 480 981 662</t>
        </is>
      </c>
      <c r="G167" s="48" t="inlineStr">
        <is>
          <t>Spouse</t>
        </is>
      </c>
      <c r="H167" s="48" t="inlineStr">
        <is>
          <t>Student</t>
        </is>
      </c>
      <c r="I167" s="49" t="n">
        <v>45790</v>
      </c>
      <c r="J167" s="48" t="inlineStr">
        <is>
          <t>ADM-ACT-UNMAT</t>
        </is>
      </c>
      <c r="K167" s="48">
        <f>IFERROR(VLOOKUP(J167,'(A) Introduction'!$B$35:$C$45,2,FALSE),"")</f>
        <v/>
      </c>
      <c r="L167" s="48" t="inlineStr">
        <is>
          <t>No</t>
        </is>
      </c>
      <c r="M167" s="48" t="inlineStr"/>
      <c r="N167" s="48" t="inlineStr"/>
      <c r="O167" s="48" t="inlineStr">
        <is>
          <t>NA</t>
        </is>
      </c>
      <c r="P167" s="48">
        <f>IF($H167="Tutor",((BQ167&lt;&gt;"")*(BR167=""))+((BW167&lt;&gt;"")*(BX167=""))+((CC167&lt;&gt;"")*(CD167=""))+((CI167&lt;&gt;"")*(CJ167=""))+((CO167&lt;&gt;"")*(CP167="")),SUMPRODUCT(--($BO$3:$BO$202=$A167),--($BR$3:$BR$202=""))+SUMPRODUCT(--($BU$3:$BU$202=$A167),--($BX$3:$BX$202=""))+SUMPRODUCT(--($CA$3:$CA$202=$A167),--($CD$3:$CD$202=""))+SUMPRODUCT(--($CG$3:$CG$202=$A167),--($CJ$3:$CJ$202=""))+SUMPRODUCT(--($CM$3:$CM$202=$A167),--($CP$3:$CP$202="")))</f>
        <v/>
      </c>
      <c r="Q167" s="48">
        <f>IF($H167="Tutor",(BQ167&lt;&gt;"")+(BW167&lt;&gt;"")+(CC167&lt;&gt;"")+(CI167&lt;&gt;"")+(CO167&lt;&gt;""),SUMPRODUCT(--($BO$3:$BO$202=$A167))+SUMPRODUCT(--($BU$3:$BU$202=$A167))+SUMPRODUCT(--($CA$3:$CA$202=$A167))+SUMPRODUCT(--($CG$3:$CG$202=$A167))+SUMPRODUCT(--($CM$3:$CM$202=$A167)))</f>
        <v/>
      </c>
      <c r="R167" s="48">
        <f>IF($H167="Tutor",TRIM(IF(AND(BQ167&lt;&gt;"",BR167=""),BP167&amp;"; ","")&amp;IF(AND(BW167&lt;&gt;"",BX167=""),BV167&amp;"; ","")&amp;IF(AND(CC167&lt;&gt;"",CD167=""),CB167&amp;"; ","")&amp;IF(AND(CI167&lt;&gt;"",CJ167=""),CH167&amp;"; ","")&amp;IF(AND(CO167&lt;&gt;"",CP167=""),CN167&amp;"; ","")),IFERROR(INDEX($A$3:$B$202,(SUMPRODUCT(($BO$3:$BO$202=$A167)*($BR$3:$BR$202="")*ROW($BO$3:$BO$202))+SUMPRODUCT(($BU$3:$BU$202=$A167)*($BX$3:$BX$202="")*ROW($BU$3:$BU$202))+SUMPRODUCT(($CA$3:$CA$202=$A167)*($CD$3:$CD$202="")*ROW($CA$3:$CA$202))+SUMPRODUCT(($CG$3:$CG$202=$A167)*($CJ$3:$CJ$202="")*ROW($CG$3:$CG$202))+SUMPRODUCT(($CM$3:$CM$202=$A167)*($CP$3:$CP$202="")*ROW($CM$3:$CM$202)))-2,2),""))</f>
        <v/>
      </c>
      <c r="S167" s="48" t="inlineStr">
        <is>
          <t>Provided</t>
        </is>
      </c>
      <c r="T167" s="48" t="inlineStr"/>
      <c r="U167" s="48" t="inlineStr"/>
      <c r="V167" s="49" t="n">
        <v>46068</v>
      </c>
      <c r="W167" s="48" t="inlineStr">
        <is>
          <t>AEST (UTC+10)</t>
        </is>
      </c>
      <c r="X167" s="48" t="inlineStr">
        <is>
          <t>3pm-6pm;</t>
        </is>
      </c>
      <c r="Y167" s="48" t="inlineStr">
        <is>
          <t>6pm-9pm;</t>
        </is>
      </c>
      <c r="Z167" s="48" t="inlineStr">
        <is>
          <t>NA;</t>
        </is>
      </c>
      <c r="AA167" s="48" t="inlineStr">
        <is>
          <t>6pm-9pm;</t>
        </is>
      </c>
      <c r="AB167" s="48" t="inlineStr">
        <is>
          <t>9am-12pm;</t>
        </is>
      </c>
      <c r="AC167" s="48" t="inlineStr">
        <is>
          <t>NA;</t>
        </is>
      </c>
      <c r="AD167" s="48" t="inlineStr">
        <is>
          <t>NA;</t>
        </is>
      </c>
      <c r="AE167" s="48" t="inlineStr">
        <is>
          <t>Either</t>
        </is>
      </c>
      <c r="AF167" s="48" t="inlineStr">
        <is>
          <t>Multiple devices</t>
        </is>
      </c>
      <c r="AG167" s="48" t="inlineStr">
        <is>
          <t>Australia</t>
        </is>
      </c>
      <c r="AH167" s="48" t="inlineStr">
        <is>
          <t>New South Wales</t>
        </is>
      </c>
      <c r="AI167" s="48" t="inlineStr">
        <is>
          <t>Blacktown</t>
        </is>
      </c>
      <c r="AJ167" s="48" t="inlineStr">
        <is>
          <t>2148</t>
        </is>
      </c>
      <c r="AK167" s="49" t="n">
        <v>27012</v>
      </c>
      <c r="AL167" s="48" t="inlineStr">
        <is>
          <t>Female</t>
        </is>
      </c>
      <c r="AM167" s="48" t="inlineStr">
        <is>
          <t>No</t>
        </is>
      </c>
      <c r="AN167" s="48" t="inlineStr">
        <is>
          <t>B2</t>
        </is>
      </c>
      <c r="AO167" s="48" t="inlineStr">
        <is>
          <t>Low</t>
        </is>
      </c>
      <c r="AP167" s="48" t="inlineStr">
        <is>
          <t>Sri Lanka</t>
        </is>
      </c>
      <c r="AQ167" s="48" t="inlineStr">
        <is>
          <t>NA</t>
        </is>
      </c>
      <c r="AR167" s="48" t="inlineStr">
        <is>
          <t>Tigrinya (C1)</t>
        </is>
      </c>
      <c r="AS167" s="48" t="inlineStr">
        <is>
          <t>Christian</t>
        </is>
      </c>
      <c r="AT167" s="48" t="inlineStr">
        <is>
          <t>Military &amp; Public Safety</t>
        </is>
      </c>
      <c r="AU167" s="48" t="inlineStr">
        <is>
          <t>Student</t>
        </is>
      </c>
      <c r="AV167" s="48" t="inlineStr">
        <is>
          <t>Engineering</t>
        </is>
      </c>
      <c r="AW167" s="48" t="inlineStr">
        <is>
          <t>Art; Photography; Travel</t>
        </is>
      </c>
      <c r="AX167" s="48" t="inlineStr">
        <is>
          <t>Asylum Seeker</t>
        </is>
      </c>
      <c r="AY167" s="48" t="inlineStr">
        <is>
          <t>Yes</t>
        </is>
      </c>
      <c r="AZ167" s="48" t="inlineStr">
        <is>
          <t>No</t>
        </is>
      </c>
      <c r="BA167" s="48" t="inlineStr">
        <is>
          <t>NA</t>
        </is>
      </c>
      <c r="BB167" s="48" t="inlineStr">
        <is>
          <t>NA</t>
        </is>
      </c>
      <c r="BC167" s="48" t="inlineStr">
        <is>
          <t>NA</t>
        </is>
      </c>
      <c r="BD167" s="48" t="inlineStr">
        <is>
          <t>NA</t>
        </is>
      </c>
      <c r="BE167" s="48" t="inlineStr"/>
      <c r="BF167" s="48" t="inlineStr"/>
      <c r="BG167" s="48" t="inlineStr">
        <is>
          <t>NA</t>
        </is>
      </c>
      <c r="BH167" s="48" t="inlineStr">
        <is>
          <t>NA - Student</t>
        </is>
      </c>
      <c r="BI167" s="48" t="inlineStr">
        <is>
          <t>Refugee Advice and Casework Service</t>
        </is>
      </c>
      <c r="BJ167" s="48" t="inlineStr">
        <is>
          <t>THET Moh Moh</t>
        </is>
      </c>
      <c r="BK167" s="48" t="inlineStr">
        <is>
          <t>KNIJNIK Marina</t>
        </is>
      </c>
      <c r="BL167" s="48" t="inlineStr">
        <is>
          <t>Synthetic test record.</t>
        </is>
      </c>
      <c r="BM167" s="48" t="inlineStr"/>
      <c r="BN167" s="48">
        <f>TRIM(IF(AND($H167="Student",$J167="ADM-ACT-MAT-CNE"),"Invalid: Student cannot be CNE. ","")&amp;IF(AND($H167="Student",ISNUMBER($O167)),"Check: capacity set for a Student. ","")&amp;IF(AND(LEFT($J167,11)="ADM-ACT-MAT",$P167=0),"Check: matched status but 0 active pairings. ","")&amp;IF(AND($H167="Tutor",ISNUMBER($O167),$P167&gt;$O167),"Check: pairings exceed capacity. ","")&amp;IF(AND($BH167="Everyone",NOT(AND($BD167="Yes",$BG167="Yes"))),"Check: approved to tutor children but WWCC not provided/confirmed. ","")&amp;IF(AND($P167&gt;0,NOT(AND(OR(LEFT($AY167,3)="Yes",LEFT($AY167,2)="NA"),OR(LEFT($AZ167,3)="Yes",LEFT($AZ167,2)="NA")))),"Matched but vetting incomplete (interview/reference). ","")&amp;IF(COUNTIF($B$3:$B$600,$B167)&gt;1,"Duplicate participant name. ",""))</f>
        <v/>
      </c>
      <c r="BO167" s="48" t="inlineStr"/>
      <c r="BP167" s="48" t="inlineStr"/>
      <c r="BQ167" s="48" t="inlineStr"/>
      <c r="BR167" s="48" t="inlineStr"/>
      <c r="BS167" s="48" t="inlineStr"/>
      <c r="BT167" s="48" t="inlineStr"/>
      <c r="BU167" s="48" t="inlineStr"/>
      <c r="BV167" s="48" t="inlineStr"/>
      <c r="BW167" s="48" t="inlineStr"/>
      <c r="BX167" s="48" t="inlineStr"/>
      <c r="BY167" s="48" t="inlineStr"/>
      <c r="BZ167" s="48" t="inlineStr"/>
      <c r="CA167" s="48" t="inlineStr"/>
      <c r="CB167" s="48" t="inlineStr"/>
      <c r="CC167" s="48" t="inlineStr"/>
      <c r="CD167" s="48" t="inlineStr"/>
      <c r="CE167" s="48" t="inlineStr"/>
      <c r="CF167" s="48" t="inlineStr"/>
      <c r="CG167" s="48" t="inlineStr"/>
      <c r="CH167" s="48" t="inlineStr"/>
      <c r="CI167" s="48" t="inlineStr"/>
      <c r="CJ167" s="48" t="inlineStr"/>
      <c r="CK167" s="48" t="inlineStr"/>
      <c r="CL167" s="48" t="inlineStr"/>
      <c r="CM167" s="48" t="inlineStr"/>
      <c r="CN167" s="48" t="inlineStr"/>
      <c r="CO167" s="48" t="inlineStr"/>
      <c r="CP167" s="48" t="inlineStr"/>
      <c r="CQ167" s="48" t="inlineStr"/>
      <c r="CR167" s="48" t="inlineStr"/>
      <c r="CS167" s="48">
        <f>IF(LEFT($J167,3)="ERR",0,1)</f>
        <v/>
      </c>
      <c r="CT167" s="48">
        <f>IF(LEFT($J167,3)="ADM",1,0)</f>
        <v/>
      </c>
      <c r="CU167" s="48">
        <f>IF(OR($J167="ADM-ACT-MAT-CNE",$J167="ADM-ACT-MAT-CE",$J167="ADM-INACT-M&amp;T"),1,0)</f>
        <v/>
      </c>
      <c r="CV167" s="48">
        <f>IF(AND(CU167=1,ISNUMBER(M167),ISNUMBER(I167)),M167-I167,"")</f>
        <v/>
      </c>
      <c r="CW167" s="48">
        <f>IF(ISNUMBER(I167),TODAY()-I167,"")</f>
        <v/>
      </c>
      <c r="CX167" s="48">
        <f>IF(ISNUMBER(I167),DATE(YEAR(I167),MONTH(I167),1),"")</f>
        <v/>
      </c>
      <c r="CY167" s="48">
        <f>IFERROR(DATEDIF(AK167,TODAY(),"y"),"")</f>
        <v/>
      </c>
      <c r="CZ167" s="48">
        <f>IF(CY167="","",IF(CY167&lt;28,"18-27",IF(CY167&lt;38,"28-37",IF(CY167&lt;48,"38-47",IF(CY167&lt;58,"48-57",IF(CY167&lt;68,"58-67",IF(CY167&lt;78,"68-77","78+")))))) </f>
        <v/>
      </c>
      <c r="DA167" s="48">
        <f>IF(AND(BQ167&lt;&gt;"",BR167=""),N(BS167),0)+IF(AND(BW167&lt;&gt;"",BX167=""),N(BY167),0)+IF(AND(CC167&lt;&gt;"",CD167=""),N(CE167),0)+IF(AND(CI167&lt;&gt;"",CJ167=""),N(CK167),0)+IF(AND(CO167&lt;&gt;"",CP167=""),N(CQ167),0)</f>
        <v/>
      </c>
      <c r="DB167" s="48">
        <f>ROUND(IF(BQ167&lt;&gt;"",N(BS167)*MAX(0,((IF(BR167="",TODAY(),BR167))-BQ167)/7),0)+IF(BW167&lt;&gt;"",N(BY167)*MAX(0,((IF(BX167="",TODAY(),BX167))-BW167)/7),0)+IF(CC167&lt;&gt;"",N(CE167)*MAX(0,((IF(CD167="",TODAY(),CD167))-CC167)/7),0)+IF(CI167&lt;&gt;"",N(CK167)*MAX(0,((IF(CJ167="",TODAY(),CJ167))-CI167)/7),0)+IF(CO167&lt;&gt;"",N(CQ167)*MAX(0,((IF(CP167="",TODAY(),CP167))-CO167)/7),0),1)</f>
        <v/>
      </c>
      <c r="DC167" s="48">
        <f>IF(OR(TRIM(X167)="",TRIM(X167)="NA;",TRIM(X167)="NA"),0,1)</f>
        <v/>
      </c>
      <c r="DD167" s="48">
        <f>IF(OR(TRIM(Y167)="",TRIM(Y167)="NA;",TRIM(Y167)="NA"),0,1)</f>
        <v/>
      </c>
      <c r="DE167" s="48">
        <f>IF(OR(TRIM(Z167)="",TRIM(Z167)="NA;",TRIM(Z167)="NA"),0,1)</f>
        <v/>
      </c>
      <c r="DF167" s="48">
        <f>IF(OR(TRIM(AA167)="",TRIM(AA167)="NA;",TRIM(AA167)="NA"),0,1)</f>
        <v/>
      </c>
      <c r="DG167" s="48">
        <f>IF(OR(TRIM(AB167)="",TRIM(AB167)="NA;",TRIM(AB167)="NA"),0,1)</f>
        <v/>
      </c>
      <c r="DH167" s="48">
        <f>IF(OR(TRIM(AC167)="",TRIM(AC167)="NA;",TRIM(AC167)="NA"),0,1)</f>
        <v/>
      </c>
      <c r="DI167" s="48">
        <f>IF(OR(TRIM(AD167)="",TRIM(AD167)="NA;",TRIM(AD167)="NA"),0,1)</f>
        <v/>
      </c>
      <c r="DJ167" s="48">
        <f>TRIM(IF(DC167=1,"Mon ","")&amp;IF(DD167=1,"Tue ","")&amp;IF(DE167=1,"Wed ","")&amp;IF(DF167=1,"Thu ","")&amp;IF(DG167=1,"Fri ","")&amp;IF(DH167=1,"Sat ","")&amp;IF(DI167=1,"Sun ",""))</f>
        <v/>
      </c>
    </row>
    <row r="168">
      <c r="A168" s="48" t="inlineStr">
        <is>
          <t>S-N-00016</t>
        </is>
      </c>
      <c r="B168" s="48" t="inlineStr">
        <is>
          <t>Karim Hall</t>
        </is>
      </c>
      <c r="C168" s="48" t="inlineStr">
        <is>
          <t>karim.hall66@example.com</t>
        </is>
      </c>
      <c r="D168" s="48" t="inlineStr">
        <is>
          <t>+61 410 861 470</t>
        </is>
      </c>
      <c r="E168" s="48" t="inlineStr">
        <is>
          <t>Dmytro Fernando</t>
        </is>
      </c>
      <c r="F168" s="48" t="inlineStr">
        <is>
          <t>+61 492 043 415</t>
        </is>
      </c>
      <c r="G168" s="48" t="inlineStr">
        <is>
          <t>Spouse</t>
        </is>
      </c>
      <c r="H168" s="48" t="inlineStr">
        <is>
          <t>Student</t>
        </is>
      </c>
      <c r="I168" s="49" t="n">
        <v>45797</v>
      </c>
      <c r="J168" s="48" t="inlineStr">
        <is>
          <t>ADM-ACT-MAT-CE</t>
        </is>
      </c>
      <c r="K168" s="48">
        <f>IFERROR(VLOOKUP(J168,'(A) Introduction'!$B$35:$C$45,2,FALSE),"")</f>
        <v/>
      </c>
      <c r="L168" s="48" t="inlineStr">
        <is>
          <t>No</t>
        </is>
      </c>
      <c r="M168" s="49" t="n">
        <v>45874</v>
      </c>
      <c r="N168" s="48" t="inlineStr"/>
      <c r="O168" s="48" t="inlineStr">
        <is>
          <t>NA</t>
        </is>
      </c>
      <c r="P168" s="48">
        <f>IF($H168="Tutor",((BQ168&lt;&gt;"")*(BR168=""))+((BW168&lt;&gt;"")*(BX168=""))+((CC168&lt;&gt;"")*(CD168=""))+((CI168&lt;&gt;"")*(CJ168=""))+((CO168&lt;&gt;"")*(CP168="")),SUMPRODUCT(--($BO$3:$BO$202=$A168),--($BR$3:$BR$202=""))+SUMPRODUCT(--($BU$3:$BU$202=$A168),--($BX$3:$BX$202=""))+SUMPRODUCT(--($CA$3:$CA$202=$A168),--($CD$3:$CD$202=""))+SUMPRODUCT(--($CG$3:$CG$202=$A168),--($CJ$3:$CJ$202=""))+SUMPRODUCT(--($CM$3:$CM$202=$A168),--($CP$3:$CP$202="")))</f>
        <v/>
      </c>
      <c r="Q168" s="48">
        <f>IF($H168="Tutor",(BQ168&lt;&gt;"")+(BW168&lt;&gt;"")+(CC168&lt;&gt;"")+(CI168&lt;&gt;"")+(CO168&lt;&gt;""),SUMPRODUCT(--($BO$3:$BO$202=$A168))+SUMPRODUCT(--($BU$3:$BU$202=$A168))+SUMPRODUCT(--($CA$3:$CA$202=$A168))+SUMPRODUCT(--($CG$3:$CG$202=$A168))+SUMPRODUCT(--($CM$3:$CM$202=$A168)))</f>
        <v/>
      </c>
      <c r="R168" s="48">
        <f>IF($H168="Tutor",TRIM(IF(AND(BQ168&lt;&gt;"",BR168=""),BP168&amp;"; ","")&amp;IF(AND(BW168&lt;&gt;"",BX168=""),BV168&amp;"; ","")&amp;IF(AND(CC168&lt;&gt;"",CD168=""),CB168&amp;"; ","")&amp;IF(AND(CI168&lt;&gt;"",CJ168=""),CH168&amp;"; ","")&amp;IF(AND(CO168&lt;&gt;"",CP168=""),CN168&amp;"; ","")),IFERROR(INDEX($A$3:$B$202,(SUMPRODUCT(($BO$3:$BO$202=$A168)*($BR$3:$BR$202="")*ROW($BO$3:$BO$202))+SUMPRODUCT(($BU$3:$BU$202=$A168)*($BX$3:$BX$202="")*ROW($BU$3:$BU$202))+SUMPRODUCT(($CA$3:$CA$202=$A168)*($CD$3:$CD$202="")*ROW($CA$3:$CA$202))+SUMPRODUCT(($CG$3:$CG$202=$A168)*($CJ$3:$CJ$202="")*ROW($CG$3:$CG$202))+SUMPRODUCT(($CM$3:$CM$202=$A168)*($CP$3:$CP$202="")*ROW($CM$3:$CM$202)))-2,2),""))</f>
        <v/>
      </c>
      <c r="S168" s="48" t="inlineStr">
        <is>
          <t>NA</t>
        </is>
      </c>
      <c r="T168" s="48" t="inlineStr"/>
      <c r="U168" s="48" t="inlineStr"/>
      <c r="V168" s="49" t="n">
        <v>45707</v>
      </c>
      <c r="W168" s="48" t="inlineStr">
        <is>
          <t>AEST (UTC+10)</t>
        </is>
      </c>
      <c r="X168" s="48" t="inlineStr">
        <is>
          <t>9am-12pm;</t>
        </is>
      </c>
      <c r="Y168" s="48" t="inlineStr">
        <is>
          <t>9am-12pm;12pm-3pm;3pm-6pm;</t>
        </is>
      </c>
      <c r="Z168" s="48" t="inlineStr">
        <is>
          <t>NA;</t>
        </is>
      </c>
      <c r="AA168" s="48" t="inlineStr">
        <is>
          <t>12pm-3pm;6pm-9pm;</t>
        </is>
      </c>
      <c r="AB168" s="48" t="inlineStr">
        <is>
          <t>12pm-3pm;</t>
        </is>
      </c>
      <c r="AC168" s="48" t="inlineStr">
        <is>
          <t>3pm-6pm;</t>
        </is>
      </c>
      <c r="AD168" s="48" t="inlineStr">
        <is>
          <t>12pm-3pm;6pm-9pm;</t>
        </is>
      </c>
      <c r="AE168" s="48" t="inlineStr">
        <is>
          <t>Online</t>
        </is>
      </c>
      <c r="AF168" s="48" t="inlineStr">
        <is>
          <t>Tablet</t>
        </is>
      </c>
      <c r="AG168" s="48" t="inlineStr">
        <is>
          <t>Australia</t>
        </is>
      </c>
      <c r="AH168" s="48" t="inlineStr">
        <is>
          <t>New South Wales</t>
        </is>
      </c>
      <c r="AI168" s="48" t="inlineStr">
        <is>
          <t>Fairfield</t>
        </is>
      </c>
      <c r="AJ168" s="48" t="inlineStr">
        <is>
          <t>2165</t>
        </is>
      </c>
      <c r="AK168" s="49" t="n">
        <v>30617</v>
      </c>
      <c r="AL168" s="48" t="inlineStr">
        <is>
          <t>Female</t>
        </is>
      </c>
      <c r="AM168" s="48" t="inlineStr">
        <is>
          <t>Yes</t>
        </is>
      </c>
      <c r="AN168" s="48" t="inlineStr">
        <is>
          <t>A2</t>
        </is>
      </c>
      <c r="AO168" s="48" t="inlineStr">
        <is>
          <t>Moderate</t>
        </is>
      </c>
      <c r="AP168" s="48" t="inlineStr">
        <is>
          <t>Iran; Pakistan</t>
        </is>
      </c>
      <c r="AQ168" s="48" t="inlineStr">
        <is>
          <t>NA</t>
        </is>
      </c>
      <c r="AR168" s="48" t="inlineStr">
        <is>
          <t>Pashto (B2)</t>
        </is>
      </c>
      <c r="AS168" s="48" t="inlineStr">
        <is>
          <t>Christian (Orthodox)</t>
        </is>
      </c>
      <c r="AT168" s="48" t="inlineStr">
        <is>
          <t>Law &amp; Legal Services</t>
        </is>
      </c>
      <c r="AU168" s="48" t="inlineStr">
        <is>
          <t>Cleaner</t>
        </is>
      </c>
      <c r="AV168" s="48" t="inlineStr">
        <is>
          <t>Engineering</t>
        </is>
      </c>
      <c r="AW168" s="48" t="inlineStr">
        <is>
          <t>Gardening; Cooking; Walking</t>
        </is>
      </c>
      <c r="AX168" s="48" t="inlineStr">
        <is>
          <t>Asylum Seeker</t>
        </is>
      </c>
      <c r="AY168" s="48" t="inlineStr">
        <is>
          <t>NA - RELT Member Verified</t>
        </is>
      </c>
      <c r="AZ168" s="48" t="inlineStr">
        <is>
          <t>NA - Partner Organisation Verified</t>
        </is>
      </c>
      <c r="BA168" s="48" t="inlineStr">
        <is>
          <t>NA</t>
        </is>
      </c>
      <c r="BB168" s="48" t="inlineStr">
        <is>
          <t>NA</t>
        </is>
      </c>
      <c r="BC168" s="48" t="inlineStr">
        <is>
          <t>NA</t>
        </is>
      </c>
      <c r="BD168" s="48" t="inlineStr">
        <is>
          <t>NA</t>
        </is>
      </c>
      <c r="BE168" s="48" t="inlineStr"/>
      <c r="BF168" s="48" t="inlineStr"/>
      <c r="BG168" s="48" t="inlineStr">
        <is>
          <t>NA</t>
        </is>
      </c>
      <c r="BH168" s="48" t="inlineStr">
        <is>
          <t>NA - Student</t>
        </is>
      </c>
      <c r="BI168" s="48" t="inlineStr">
        <is>
          <t>AMES Australia</t>
        </is>
      </c>
      <c r="BJ168" s="48" t="inlineStr">
        <is>
          <t>AGARWAL Akanksha</t>
        </is>
      </c>
      <c r="BK168" s="48" t="inlineStr">
        <is>
          <t>MCCLELLAND Reeve</t>
        </is>
      </c>
      <c r="BL168" s="48" t="inlineStr">
        <is>
          <t>Synthetic test record.</t>
        </is>
      </c>
      <c r="BM168" s="48" t="inlineStr"/>
      <c r="BN168" s="48">
        <f>TRIM(IF(AND($H168="Student",$J168="ADM-ACT-MAT-CNE"),"Invalid: Student cannot be CNE. ","")&amp;IF(AND($H168="Student",ISNUMBER($O168)),"Check: capacity set for a Student. ","")&amp;IF(AND(LEFT($J168,11)="ADM-ACT-MAT",$P168=0),"Check: matched status but 0 active pairings. ","")&amp;IF(AND($H168="Tutor",ISNUMBER($O168),$P168&gt;$O168),"Check: pairings exceed capacity. ","")&amp;IF(AND($BH168="Everyone",NOT(AND($BD168="Yes",$BG168="Yes"))),"Check: approved to tutor children but WWCC not provided/confirmed. ","")&amp;IF(AND($P168&gt;0,NOT(AND(OR(LEFT($AY168,3)="Yes",LEFT($AY168,2)="NA"),OR(LEFT($AZ168,3)="Yes",LEFT($AZ168,2)="NA")))),"Matched but vetting incomplete (interview/reference). ","")&amp;IF(COUNTIF($B$3:$B$600,$B168)&gt;1,"Duplicate participant name. ",""))</f>
        <v/>
      </c>
      <c r="BO168" s="48" t="inlineStr"/>
      <c r="BP168" s="48" t="inlineStr"/>
      <c r="BQ168" s="48" t="inlineStr"/>
      <c r="BR168" s="48" t="inlineStr"/>
      <c r="BS168" s="48" t="inlineStr"/>
      <c r="BT168" s="48" t="inlineStr"/>
      <c r="BU168" s="48" t="inlineStr"/>
      <c r="BV168" s="48" t="inlineStr"/>
      <c r="BW168" s="48" t="inlineStr"/>
      <c r="BX168" s="48" t="inlineStr"/>
      <c r="BY168" s="48" t="inlineStr"/>
      <c r="BZ168" s="48" t="inlineStr"/>
      <c r="CA168" s="48" t="inlineStr"/>
      <c r="CB168" s="48" t="inlineStr"/>
      <c r="CC168" s="48" t="inlineStr"/>
      <c r="CD168" s="48" t="inlineStr"/>
      <c r="CE168" s="48" t="inlineStr"/>
      <c r="CF168" s="48" t="inlineStr"/>
      <c r="CG168" s="48" t="inlineStr"/>
      <c r="CH168" s="48" t="inlineStr"/>
      <c r="CI168" s="48" t="inlineStr"/>
      <c r="CJ168" s="48" t="inlineStr"/>
      <c r="CK168" s="48" t="inlineStr"/>
      <c r="CL168" s="48" t="inlineStr"/>
      <c r="CM168" s="48" t="inlineStr"/>
      <c r="CN168" s="48" t="inlineStr"/>
      <c r="CO168" s="48" t="inlineStr"/>
      <c r="CP168" s="48" t="inlineStr"/>
      <c r="CQ168" s="48" t="inlineStr"/>
      <c r="CR168" s="48" t="inlineStr"/>
      <c r="CS168" s="48">
        <f>IF(LEFT($J168,3)="ERR",0,1)</f>
        <v/>
      </c>
      <c r="CT168" s="48">
        <f>IF(LEFT($J168,3)="ADM",1,0)</f>
        <v/>
      </c>
      <c r="CU168" s="48">
        <f>IF(OR($J168="ADM-ACT-MAT-CNE",$J168="ADM-ACT-MAT-CE",$J168="ADM-INACT-M&amp;T"),1,0)</f>
        <v/>
      </c>
      <c r="CV168" s="48">
        <f>IF(AND(CU168=1,ISNUMBER(M168),ISNUMBER(I168)),M168-I168,"")</f>
        <v/>
      </c>
      <c r="CW168" s="48">
        <f>IF(ISNUMBER(I168),TODAY()-I168,"")</f>
        <v/>
      </c>
      <c r="CX168" s="48">
        <f>IF(ISNUMBER(I168),DATE(YEAR(I168),MONTH(I168),1),"")</f>
        <v/>
      </c>
      <c r="CY168" s="48">
        <f>IFERROR(DATEDIF(AK168,TODAY(),"y"),"")</f>
        <v/>
      </c>
      <c r="CZ168" s="48">
        <f>IF(CY168="","",IF(CY168&lt;28,"18-27",IF(CY168&lt;38,"28-37",IF(CY168&lt;48,"38-47",IF(CY168&lt;58,"48-57",IF(CY168&lt;68,"58-67",IF(CY168&lt;78,"68-77","78+")))))) </f>
        <v/>
      </c>
      <c r="DA168" s="48">
        <f>IF(AND(BQ168&lt;&gt;"",BR168=""),N(BS168),0)+IF(AND(BW168&lt;&gt;"",BX168=""),N(BY168),0)+IF(AND(CC168&lt;&gt;"",CD168=""),N(CE168),0)+IF(AND(CI168&lt;&gt;"",CJ168=""),N(CK168),0)+IF(AND(CO168&lt;&gt;"",CP168=""),N(CQ168),0)</f>
        <v/>
      </c>
      <c r="DB168" s="48">
        <f>ROUND(IF(BQ168&lt;&gt;"",N(BS168)*MAX(0,((IF(BR168="",TODAY(),BR168))-BQ168)/7),0)+IF(BW168&lt;&gt;"",N(BY168)*MAX(0,((IF(BX168="",TODAY(),BX168))-BW168)/7),0)+IF(CC168&lt;&gt;"",N(CE168)*MAX(0,((IF(CD168="",TODAY(),CD168))-CC168)/7),0)+IF(CI168&lt;&gt;"",N(CK168)*MAX(0,((IF(CJ168="",TODAY(),CJ168))-CI168)/7),0)+IF(CO168&lt;&gt;"",N(CQ168)*MAX(0,((IF(CP168="",TODAY(),CP168))-CO168)/7),0),1)</f>
        <v/>
      </c>
      <c r="DC168" s="48">
        <f>IF(OR(TRIM(X168)="",TRIM(X168)="NA;",TRIM(X168)="NA"),0,1)</f>
        <v/>
      </c>
      <c r="DD168" s="48">
        <f>IF(OR(TRIM(Y168)="",TRIM(Y168)="NA;",TRIM(Y168)="NA"),0,1)</f>
        <v/>
      </c>
      <c r="DE168" s="48">
        <f>IF(OR(TRIM(Z168)="",TRIM(Z168)="NA;",TRIM(Z168)="NA"),0,1)</f>
        <v/>
      </c>
      <c r="DF168" s="48">
        <f>IF(OR(TRIM(AA168)="",TRIM(AA168)="NA;",TRIM(AA168)="NA"),0,1)</f>
        <v/>
      </c>
      <c r="DG168" s="48">
        <f>IF(OR(TRIM(AB168)="",TRIM(AB168)="NA;",TRIM(AB168)="NA"),0,1)</f>
        <v/>
      </c>
      <c r="DH168" s="48">
        <f>IF(OR(TRIM(AC168)="",TRIM(AC168)="NA;",TRIM(AC168)="NA"),0,1)</f>
        <v/>
      </c>
      <c r="DI168" s="48">
        <f>IF(OR(TRIM(AD168)="",TRIM(AD168)="NA;",TRIM(AD168)="NA"),0,1)</f>
        <v/>
      </c>
      <c r="DJ168" s="48">
        <f>TRIM(IF(DC168=1,"Mon ","")&amp;IF(DD168=1,"Tue ","")&amp;IF(DE168=1,"Wed ","")&amp;IF(DF168=1,"Thu ","")&amp;IF(DG168=1,"Fri ","")&amp;IF(DH168=1,"Sat ","")&amp;IF(DI168=1,"Sun ",""))</f>
        <v/>
      </c>
    </row>
    <row r="169">
      <c r="A169" s="48" t="inlineStr">
        <is>
          <t>S-N-00017</t>
        </is>
      </c>
      <c r="B169" s="48" t="inlineStr">
        <is>
          <t>Carlos Walker</t>
        </is>
      </c>
      <c r="C169" s="48" t="inlineStr">
        <is>
          <t>carlos.walker67@example.com</t>
        </is>
      </c>
      <c r="D169" s="48" t="inlineStr">
        <is>
          <t>+61 486 891 895</t>
        </is>
      </c>
      <c r="E169" s="48" t="inlineStr">
        <is>
          <t>Zara Hassan</t>
        </is>
      </c>
      <c r="F169" s="48" t="inlineStr">
        <is>
          <t>+61 425 436 345</t>
        </is>
      </c>
      <c r="G169" s="48" t="inlineStr">
        <is>
          <t>Caseworker</t>
        </is>
      </c>
      <c r="H169" s="48" t="inlineStr">
        <is>
          <t>Student</t>
        </is>
      </c>
      <c r="I169" s="49" t="n">
        <v>45808</v>
      </c>
      <c r="J169" s="48" t="inlineStr">
        <is>
          <t>ADM-ACT-MAT-CE</t>
        </is>
      </c>
      <c r="K169" s="48">
        <f>IFERROR(VLOOKUP(J169,'(A) Introduction'!$B$35:$C$45,2,FALSE),"")</f>
        <v/>
      </c>
      <c r="L169" s="48" t="inlineStr">
        <is>
          <t>No</t>
        </is>
      </c>
      <c r="M169" s="49" t="n">
        <v>45831</v>
      </c>
      <c r="N169" s="48" t="inlineStr"/>
      <c r="O169" s="48" t="inlineStr">
        <is>
          <t>NA</t>
        </is>
      </c>
      <c r="P169" s="48">
        <f>IF($H169="Tutor",((BQ169&lt;&gt;"")*(BR169=""))+((BW169&lt;&gt;"")*(BX169=""))+((CC169&lt;&gt;"")*(CD169=""))+((CI169&lt;&gt;"")*(CJ169=""))+((CO169&lt;&gt;"")*(CP169="")),SUMPRODUCT(--($BO$3:$BO$202=$A169),--($BR$3:$BR$202=""))+SUMPRODUCT(--($BU$3:$BU$202=$A169),--($BX$3:$BX$202=""))+SUMPRODUCT(--($CA$3:$CA$202=$A169),--($CD$3:$CD$202=""))+SUMPRODUCT(--($CG$3:$CG$202=$A169),--($CJ$3:$CJ$202=""))+SUMPRODUCT(--($CM$3:$CM$202=$A169),--($CP$3:$CP$202="")))</f>
        <v/>
      </c>
      <c r="Q169" s="48">
        <f>IF($H169="Tutor",(BQ169&lt;&gt;"")+(BW169&lt;&gt;"")+(CC169&lt;&gt;"")+(CI169&lt;&gt;"")+(CO169&lt;&gt;""),SUMPRODUCT(--($BO$3:$BO$202=$A169))+SUMPRODUCT(--($BU$3:$BU$202=$A169))+SUMPRODUCT(--($CA$3:$CA$202=$A169))+SUMPRODUCT(--($CG$3:$CG$202=$A169))+SUMPRODUCT(--($CM$3:$CM$202=$A169)))</f>
        <v/>
      </c>
      <c r="R169" s="48">
        <f>IF($H169="Tutor",TRIM(IF(AND(BQ169&lt;&gt;"",BR169=""),BP169&amp;"; ","")&amp;IF(AND(BW169&lt;&gt;"",BX169=""),BV169&amp;"; ","")&amp;IF(AND(CC169&lt;&gt;"",CD169=""),CB169&amp;"; ","")&amp;IF(AND(CI169&lt;&gt;"",CJ169=""),CH169&amp;"; ","")&amp;IF(AND(CO169&lt;&gt;"",CP169=""),CN169&amp;"; ","")),IFERROR(INDEX($A$3:$B$202,(SUMPRODUCT(($BO$3:$BO$202=$A169)*($BR$3:$BR$202="")*ROW($BO$3:$BO$202))+SUMPRODUCT(($BU$3:$BU$202=$A169)*($BX$3:$BX$202="")*ROW($BU$3:$BU$202))+SUMPRODUCT(($CA$3:$CA$202=$A169)*($CD$3:$CD$202="")*ROW($CA$3:$CA$202))+SUMPRODUCT(($CG$3:$CG$202=$A169)*($CJ$3:$CJ$202="")*ROW($CG$3:$CG$202))+SUMPRODUCT(($CM$3:$CM$202=$A169)*($CP$3:$CP$202="")*ROW($CM$3:$CM$202)))-2,2),""))</f>
        <v/>
      </c>
      <c r="S169" s="48" t="inlineStr">
        <is>
          <t>Provided</t>
        </is>
      </c>
      <c r="T169" s="48" t="inlineStr"/>
      <c r="U169" s="48" t="inlineStr"/>
      <c r="V169" s="49" t="n">
        <v>45772</v>
      </c>
      <c r="W169" s="48" t="inlineStr">
        <is>
          <t>ACDT (UTC+10:30)</t>
        </is>
      </c>
      <c r="X169" s="48" t="inlineStr">
        <is>
          <t>12pm-3pm;</t>
        </is>
      </c>
      <c r="Y169" s="48" t="inlineStr">
        <is>
          <t>6pm-9pm;</t>
        </is>
      </c>
      <c r="Z169" s="48" t="inlineStr">
        <is>
          <t>NA;</t>
        </is>
      </c>
      <c r="AA169" s="48" t="inlineStr">
        <is>
          <t>9am-12pm;</t>
        </is>
      </c>
      <c r="AB169" s="48" t="inlineStr">
        <is>
          <t>6pm-9pm;</t>
        </is>
      </c>
      <c r="AC169" s="48" t="inlineStr">
        <is>
          <t>NA;</t>
        </is>
      </c>
      <c r="AD169" s="48" t="inlineStr">
        <is>
          <t>6pm-9pm;</t>
        </is>
      </c>
      <c r="AE169" s="48" t="inlineStr">
        <is>
          <t>Either</t>
        </is>
      </c>
      <c r="AF169" s="48" t="inlineStr">
        <is>
          <t>Computer</t>
        </is>
      </c>
      <c r="AG169" s="48" t="inlineStr">
        <is>
          <t>Australia</t>
        </is>
      </c>
      <c r="AH169" s="48" t="inlineStr">
        <is>
          <t>New South Wales</t>
        </is>
      </c>
      <c r="AI169" s="48" t="inlineStr">
        <is>
          <t>Blacktown</t>
        </is>
      </c>
      <c r="AJ169" s="48" t="inlineStr">
        <is>
          <t>2148</t>
        </is>
      </c>
      <c r="AK169" s="49" t="n">
        <v>26623</v>
      </c>
      <c r="AL169" s="48" t="inlineStr">
        <is>
          <t>Other</t>
        </is>
      </c>
      <c r="AM169" s="48" t="inlineStr">
        <is>
          <t>No</t>
        </is>
      </c>
      <c r="AN169" s="48" t="inlineStr">
        <is>
          <t>A1</t>
        </is>
      </c>
      <c r="AO169" s="48" t="inlineStr">
        <is>
          <t>Moderate</t>
        </is>
      </c>
      <c r="AP169" s="48" t="inlineStr">
        <is>
          <t>Iran</t>
        </is>
      </c>
      <c r="AQ169" s="48" t="inlineStr">
        <is>
          <t>NA</t>
        </is>
      </c>
      <c r="AR169" s="48" t="inlineStr">
        <is>
          <t>Ukrainian (C1)</t>
        </is>
      </c>
      <c r="AS169" s="48" t="inlineStr">
        <is>
          <t>NA</t>
        </is>
      </c>
      <c r="AT169" s="48" t="inlineStr">
        <is>
          <t>Social &amp; Community Services</t>
        </is>
      </c>
      <c r="AU169" s="48" t="inlineStr">
        <is>
          <t>Nurse</t>
        </is>
      </c>
      <c r="AV169" s="48" t="inlineStr">
        <is>
          <t>Counselling</t>
        </is>
      </c>
      <c r="AW169" s="48" t="inlineStr">
        <is>
          <t>Football; Cooking; Family</t>
        </is>
      </c>
      <c r="AX169" s="48" t="inlineStr">
        <is>
          <t>Refugee</t>
        </is>
      </c>
      <c r="AY169" s="48" t="inlineStr">
        <is>
          <t>Yes</t>
        </is>
      </c>
      <c r="AZ169" s="48" t="inlineStr">
        <is>
          <t>Yes</t>
        </is>
      </c>
      <c r="BA169" s="48" t="inlineStr">
        <is>
          <t>NA</t>
        </is>
      </c>
      <c r="BB169" s="48" t="inlineStr">
        <is>
          <t>NA</t>
        </is>
      </c>
      <c r="BC169" s="48" t="inlineStr">
        <is>
          <t>NA</t>
        </is>
      </c>
      <c r="BD169" s="48" t="inlineStr">
        <is>
          <t>NA</t>
        </is>
      </c>
      <c r="BE169" s="48" t="inlineStr"/>
      <c r="BF169" s="48" t="inlineStr"/>
      <c r="BG169" s="48" t="inlineStr">
        <is>
          <t>NA</t>
        </is>
      </c>
      <c r="BH169" s="48" t="inlineStr">
        <is>
          <t>NA - Student</t>
        </is>
      </c>
      <c r="BI169" s="48" t="inlineStr">
        <is>
          <t>Supporting Asylum Seekers Sydney</t>
        </is>
      </c>
      <c r="BJ169" s="48" t="inlineStr">
        <is>
          <t>SINGH Veera</t>
        </is>
      </c>
      <c r="BK169" s="48" t="inlineStr">
        <is>
          <t>SINGH Veera</t>
        </is>
      </c>
      <c r="BL169" s="48" t="inlineStr">
        <is>
          <t>Synthetic test record.</t>
        </is>
      </c>
      <c r="BM169" s="48" t="inlineStr"/>
      <c r="BN169" s="48">
        <f>TRIM(IF(AND($H169="Student",$J169="ADM-ACT-MAT-CNE"),"Invalid: Student cannot be CNE. ","")&amp;IF(AND($H169="Student",ISNUMBER($O169)),"Check: capacity set for a Student. ","")&amp;IF(AND(LEFT($J169,11)="ADM-ACT-MAT",$P169=0),"Check: matched status but 0 active pairings. ","")&amp;IF(AND($H169="Tutor",ISNUMBER($O169),$P169&gt;$O169),"Check: pairings exceed capacity. ","")&amp;IF(AND($BH169="Everyone",NOT(AND($BD169="Yes",$BG169="Yes"))),"Check: approved to tutor children but WWCC not provided/confirmed. ","")&amp;IF(AND($P169&gt;0,NOT(AND(OR(LEFT($AY169,3)="Yes",LEFT($AY169,2)="NA"),OR(LEFT($AZ169,3)="Yes",LEFT($AZ169,2)="NA")))),"Matched but vetting incomplete (interview/reference). ","")&amp;IF(COUNTIF($B$3:$B$600,$B169)&gt;1,"Duplicate participant name. ",""))</f>
        <v/>
      </c>
      <c r="BO169" s="48" t="inlineStr"/>
      <c r="BP169" s="48" t="inlineStr"/>
      <c r="BQ169" s="48" t="inlineStr"/>
      <c r="BR169" s="48" t="inlineStr"/>
      <c r="BS169" s="48" t="inlineStr"/>
      <c r="BT169" s="48" t="inlineStr"/>
      <c r="BU169" s="48" t="inlineStr"/>
      <c r="BV169" s="48" t="inlineStr"/>
      <c r="BW169" s="48" t="inlineStr"/>
      <c r="BX169" s="48" t="inlineStr"/>
      <c r="BY169" s="48" t="inlineStr"/>
      <c r="BZ169" s="48" t="inlineStr"/>
      <c r="CA169" s="48" t="inlineStr"/>
      <c r="CB169" s="48" t="inlineStr"/>
      <c r="CC169" s="48" t="inlineStr"/>
      <c r="CD169" s="48" t="inlineStr"/>
      <c r="CE169" s="48" t="inlineStr"/>
      <c r="CF169" s="48" t="inlineStr"/>
      <c r="CG169" s="48" t="inlineStr"/>
      <c r="CH169" s="48" t="inlineStr"/>
      <c r="CI169" s="48" t="inlineStr"/>
      <c r="CJ169" s="48" t="inlineStr"/>
      <c r="CK169" s="48" t="inlineStr"/>
      <c r="CL169" s="48" t="inlineStr"/>
      <c r="CM169" s="48" t="inlineStr"/>
      <c r="CN169" s="48" t="inlineStr"/>
      <c r="CO169" s="48" t="inlineStr"/>
      <c r="CP169" s="48" t="inlineStr"/>
      <c r="CQ169" s="48" t="inlineStr"/>
      <c r="CR169" s="48" t="inlineStr"/>
      <c r="CS169" s="48">
        <f>IF(LEFT($J169,3)="ERR",0,1)</f>
        <v/>
      </c>
      <c r="CT169" s="48">
        <f>IF(LEFT($J169,3)="ADM",1,0)</f>
        <v/>
      </c>
      <c r="CU169" s="48">
        <f>IF(OR($J169="ADM-ACT-MAT-CNE",$J169="ADM-ACT-MAT-CE",$J169="ADM-INACT-M&amp;T"),1,0)</f>
        <v/>
      </c>
      <c r="CV169" s="48">
        <f>IF(AND(CU169=1,ISNUMBER(M169),ISNUMBER(I169)),M169-I169,"")</f>
        <v/>
      </c>
      <c r="CW169" s="48">
        <f>IF(ISNUMBER(I169),TODAY()-I169,"")</f>
        <v/>
      </c>
      <c r="CX169" s="48">
        <f>IF(ISNUMBER(I169),DATE(YEAR(I169),MONTH(I169),1),"")</f>
        <v/>
      </c>
      <c r="CY169" s="48">
        <f>IFERROR(DATEDIF(AK169,TODAY(),"y"),"")</f>
        <v/>
      </c>
      <c r="CZ169" s="48">
        <f>IF(CY169="","",IF(CY169&lt;28,"18-27",IF(CY169&lt;38,"28-37",IF(CY169&lt;48,"38-47",IF(CY169&lt;58,"48-57",IF(CY169&lt;68,"58-67",IF(CY169&lt;78,"68-77","78+")))))) </f>
        <v/>
      </c>
      <c r="DA169" s="48">
        <f>IF(AND(BQ169&lt;&gt;"",BR169=""),N(BS169),0)+IF(AND(BW169&lt;&gt;"",BX169=""),N(BY169),0)+IF(AND(CC169&lt;&gt;"",CD169=""),N(CE169),0)+IF(AND(CI169&lt;&gt;"",CJ169=""),N(CK169),0)+IF(AND(CO169&lt;&gt;"",CP169=""),N(CQ169),0)</f>
        <v/>
      </c>
      <c r="DB169" s="48">
        <f>ROUND(IF(BQ169&lt;&gt;"",N(BS169)*MAX(0,((IF(BR169="",TODAY(),BR169))-BQ169)/7),0)+IF(BW169&lt;&gt;"",N(BY169)*MAX(0,((IF(BX169="",TODAY(),BX169))-BW169)/7),0)+IF(CC169&lt;&gt;"",N(CE169)*MAX(0,((IF(CD169="",TODAY(),CD169))-CC169)/7),0)+IF(CI169&lt;&gt;"",N(CK169)*MAX(0,((IF(CJ169="",TODAY(),CJ169))-CI169)/7),0)+IF(CO169&lt;&gt;"",N(CQ169)*MAX(0,((IF(CP169="",TODAY(),CP169))-CO169)/7),0),1)</f>
        <v/>
      </c>
      <c r="DC169" s="48">
        <f>IF(OR(TRIM(X169)="",TRIM(X169)="NA;",TRIM(X169)="NA"),0,1)</f>
        <v/>
      </c>
      <c r="DD169" s="48">
        <f>IF(OR(TRIM(Y169)="",TRIM(Y169)="NA;",TRIM(Y169)="NA"),0,1)</f>
        <v/>
      </c>
      <c r="DE169" s="48">
        <f>IF(OR(TRIM(Z169)="",TRIM(Z169)="NA;",TRIM(Z169)="NA"),0,1)</f>
        <v/>
      </c>
      <c r="DF169" s="48">
        <f>IF(OR(TRIM(AA169)="",TRIM(AA169)="NA;",TRIM(AA169)="NA"),0,1)</f>
        <v/>
      </c>
      <c r="DG169" s="48">
        <f>IF(OR(TRIM(AB169)="",TRIM(AB169)="NA;",TRIM(AB169)="NA"),0,1)</f>
        <v/>
      </c>
      <c r="DH169" s="48">
        <f>IF(OR(TRIM(AC169)="",TRIM(AC169)="NA;",TRIM(AC169)="NA"),0,1)</f>
        <v/>
      </c>
      <c r="DI169" s="48">
        <f>IF(OR(TRIM(AD169)="",TRIM(AD169)="NA;",TRIM(AD169)="NA"),0,1)</f>
        <v/>
      </c>
      <c r="DJ169" s="48">
        <f>TRIM(IF(DC169=1,"Mon ","")&amp;IF(DD169=1,"Tue ","")&amp;IF(DE169=1,"Wed ","")&amp;IF(DF169=1,"Thu ","")&amp;IF(DG169=1,"Fri ","")&amp;IF(DH169=1,"Sat ","")&amp;IF(DI169=1,"Sun ",""))</f>
        <v/>
      </c>
    </row>
    <row r="170">
      <c r="A170" s="48" t="inlineStr">
        <is>
          <t>S-N-00018</t>
        </is>
      </c>
      <c r="B170" s="48" t="inlineStr">
        <is>
          <t>Mark Cohen</t>
        </is>
      </c>
      <c r="C170" s="48" t="inlineStr">
        <is>
          <t>mark.cohen68@example.com</t>
        </is>
      </c>
      <c r="D170" s="48" t="inlineStr">
        <is>
          <t>+61 415 999 700</t>
        </is>
      </c>
      <c r="E170" s="48" t="inlineStr">
        <is>
          <t>Amir Ahmed</t>
        </is>
      </c>
      <c r="F170" s="48" t="inlineStr">
        <is>
          <t>+61 411 723 667</t>
        </is>
      </c>
      <c r="G170" s="48" t="inlineStr">
        <is>
          <t>Friend</t>
        </is>
      </c>
      <c r="H170" s="48" t="inlineStr">
        <is>
          <t>Student</t>
        </is>
      </c>
      <c r="I170" s="49" t="n">
        <v>45811</v>
      </c>
      <c r="J170" s="48" t="inlineStr">
        <is>
          <t>ADM-ACT-MAT-CE</t>
        </is>
      </c>
      <c r="K170" s="48">
        <f>IFERROR(VLOOKUP(J170,'(A) Introduction'!$B$35:$C$45,2,FALSE),"")</f>
        <v/>
      </c>
      <c r="L170" s="48" t="inlineStr">
        <is>
          <t>No</t>
        </is>
      </c>
      <c r="M170" s="49" t="n">
        <v>45914</v>
      </c>
      <c r="N170" s="48" t="inlineStr"/>
      <c r="O170" s="48" t="inlineStr">
        <is>
          <t>NA</t>
        </is>
      </c>
      <c r="P170" s="48">
        <f>IF($H170="Tutor",((BQ170&lt;&gt;"")*(BR170=""))+((BW170&lt;&gt;"")*(BX170=""))+((CC170&lt;&gt;"")*(CD170=""))+((CI170&lt;&gt;"")*(CJ170=""))+((CO170&lt;&gt;"")*(CP170="")),SUMPRODUCT(--($BO$3:$BO$202=$A170),--($BR$3:$BR$202=""))+SUMPRODUCT(--($BU$3:$BU$202=$A170),--($BX$3:$BX$202=""))+SUMPRODUCT(--($CA$3:$CA$202=$A170),--($CD$3:$CD$202=""))+SUMPRODUCT(--($CG$3:$CG$202=$A170),--($CJ$3:$CJ$202=""))+SUMPRODUCT(--($CM$3:$CM$202=$A170),--($CP$3:$CP$202="")))</f>
        <v/>
      </c>
      <c r="Q170" s="48">
        <f>IF($H170="Tutor",(BQ170&lt;&gt;"")+(BW170&lt;&gt;"")+(CC170&lt;&gt;"")+(CI170&lt;&gt;"")+(CO170&lt;&gt;""),SUMPRODUCT(--($BO$3:$BO$202=$A170))+SUMPRODUCT(--($BU$3:$BU$202=$A170))+SUMPRODUCT(--($CA$3:$CA$202=$A170))+SUMPRODUCT(--($CG$3:$CG$202=$A170))+SUMPRODUCT(--($CM$3:$CM$202=$A170)))</f>
        <v/>
      </c>
      <c r="R170" s="48">
        <f>IF($H170="Tutor",TRIM(IF(AND(BQ170&lt;&gt;"",BR170=""),BP170&amp;"; ","")&amp;IF(AND(BW170&lt;&gt;"",BX170=""),BV170&amp;"; ","")&amp;IF(AND(CC170&lt;&gt;"",CD170=""),CB170&amp;"; ","")&amp;IF(AND(CI170&lt;&gt;"",CJ170=""),CH170&amp;"; ","")&amp;IF(AND(CO170&lt;&gt;"",CP170=""),CN170&amp;"; ","")),IFERROR(INDEX($A$3:$B$202,(SUMPRODUCT(($BO$3:$BO$202=$A170)*($BR$3:$BR$202="")*ROW($BO$3:$BO$202))+SUMPRODUCT(($BU$3:$BU$202=$A170)*($BX$3:$BX$202="")*ROW($BU$3:$BU$202))+SUMPRODUCT(($CA$3:$CA$202=$A170)*($CD$3:$CD$202="")*ROW($CA$3:$CA$202))+SUMPRODUCT(($CG$3:$CG$202=$A170)*($CJ$3:$CJ$202="")*ROW($CG$3:$CG$202))+SUMPRODUCT(($CM$3:$CM$202=$A170)*($CP$3:$CP$202="")*ROW($CM$3:$CM$202)))-2,2),""))</f>
        <v/>
      </c>
      <c r="S170" s="48" t="inlineStr">
        <is>
          <t>NA</t>
        </is>
      </c>
      <c r="T170" s="48" t="inlineStr"/>
      <c r="U170" s="48" t="inlineStr"/>
      <c r="V170" s="49" t="n">
        <v>46063</v>
      </c>
      <c r="W170" s="48" t="inlineStr">
        <is>
          <t>AEST (UTC+10)</t>
        </is>
      </c>
      <c r="X170" s="48" t="inlineStr">
        <is>
          <t>6am-9am;9am-12pm;</t>
        </is>
      </c>
      <c r="Y170" s="48" t="inlineStr">
        <is>
          <t>12pm-3pm;</t>
        </is>
      </c>
      <c r="Z170" s="48" t="inlineStr">
        <is>
          <t>NA;</t>
        </is>
      </c>
      <c r="AA170" s="48" t="inlineStr">
        <is>
          <t>9am-12pm;</t>
        </is>
      </c>
      <c r="AB170" s="48" t="inlineStr">
        <is>
          <t>6am-9am;9am-12pm;</t>
        </is>
      </c>
      <c r="AC170" s="48" t="inlineStr">
        <is>
          <t>6pm-9pm;</t>
        </is>
      </c>
      <c r="AD170" s="48" t="inlineStr">
        <is>
          <t>6pm-9pm;</t>
        </is>
      </c>
      <c r="AE170" s="48" t="inlineStr">
        <is>
          <t>In-Person</t>
        </is>
      </c>
      <c r="AF170" s="48" t="inlineStr">
        <is>
          <t>Phone</t>
        </is>
      </c>
      <c r="AG170" s="48" t="inlineStr">
        <is>
          <t>Australia</t>
        </is>
      </c>
      <c r="AH170" s="48" t="inlineStr">
        <is>
          <t>New South Wales</t>
        </is>
      </c>
      <c r="AI170" s="48" t="inlineStr">
        <is>
          <t>Fairfield</t>
        </is>
      </c>
      <c r="AJ170" s="48" t="inlineStr">
        <is>
          <t>2165</t>
        </is>
      </c>
      <c r="AK170" s="49" t="n">
        <v>35058</v>
      </c>
      <c r="AL170" s="48" t="inlineStr">
        <is>
          <t>Male</t>
        </is>
      </c>
      <c r="AM170" s="48" t="inlineStr">
        <is>
          <t>No</t>
        </is>
      </c>
      <c r="AN170" s="48" t="inlineStr">
        <is>
          <t>B1</t>
        </is>
      </c>
      <c r="AO170" s="48" t="inlineStr">
        <is>
          <t>Moderate</t>
        </is>
      </c>
      <c r="AP170" s="48" t="inlineStr">
        <is>
          <t>Venezuela</t>
        </is>
      </c>
      <c r="AQ170" s="48" t="inlineStr">
        <is>
          <t>NA</t>
        </is>
      </c>
      <c r="AR170" s="48" t="inlineStr">
        <is>
          <t>Pashto (B2)</t>
        </is>
      </c>
      <c r="AS170" s="48" t="inlineStr">
        <is>
          <t>Muslim</t>
        </is>
      </c>
      <c r="AT170" s="48" t="inlineStr">
        <is>
          <t>Childcare &amp; Aged Care</t>
        </is>
      </c>
      <c r="AU170" s="48" t="inlineStr">
        <is>
          <t>Teacher</t>
        </is>
      </c>
      <c r="AV170" s="48" t="inlineStr">
        <is>
          <t>Counselling</t>
        </is>
      </c>
      <c r="AW170" s="48" t="inlineStr">
        <is>
          <t>Gardening; Cooking; Walking</t>
        </is>
      </c>
      <c r="AX170" s="48" t="inlineStr">
        <is>
          <t>Asylum Seeker</t>
        </is>
      </c>
      <c r="AY170" s="48" t="inlineStr">
        <is>
          <t>Yes</t>
        </is>
      </c>
      <c r="AZ170" s="48" t="inlineStr">
        <is>
          <t>Yes</t>
        </is>
      </c>
      <c r="BA170" s="48" t="inlineStr">
        <is>
          <t>NA</t>
        </is>
      </c>
      <c r="BB170" s="48" t="inlineStr">
        <is>
          <t>NA</t>
        </is>
      </c>
      <c r="BC170" s="48" t="inlineStr">
        <is>
          <t>NA</t>
        </is>
      </c>
      <c r="BD170" s="48" t="inlineStr">
        <is>
          <t>NA</t>
        </is>
      </c>
      <c r="BE170" s="48" t="inlineStr"/>
      <c r="BF170" s="48" t="inlineStr"/>
      <c r="BG170" s="48" t="inlineStr">
        <is>
          <t>NA</t>
        </is>
      </c>
      <c r="BH170" s="48" t="inlineStr">
        <is>
          <t>NA - Student</t>
        </is>
      </c>
      <c r="BI170" s="48" t="inlineStr">
        <is>
          <t>Supporting Asylum Seekers Sydney</t>
        </is>
      </c>
      <c r="BJ170" s="48" t="inlineStr">
        <is>
          <t>CROCK Mary</t>
        </is>
      </c>
      <c r="BK170" s="48" t="inlineStr">
        <is>
          <t>AGARWAL Akanksha</t>
        </is>
      </c>
      <c r="BL170" s="48" t="inlineStr">
        <is>
          <t>Synthetic test record.</t>
        </is>
      </c>
      <c r="BM170" s="48" t="inlineStr"/>
      <c r="BN170" s="48">
        <f>TRIM(IF(AND($H170="Student",$J170="ADM-ACT-MAT-CNE"),"Invalid: Student cannot be CNE. ","")&amp;IF(AND($H170="Student",ISNUMBER($O170)),"Check: capacity set for a Student. ","")&amp;IF(AND(LEFT($J170,11)="ADM-ACT-MAT",$P170=0),"Check: matched status but 0 active pairings. ","")&amp;IF(AND($H170="Tutor",ISNUMBER($O170),$P170&gt;$O170),"Check: pairings exceed capacity. ","")&amp;IF(AND($BH170="Everyone",NOT(AND($BD170="Yes",$BG170="Yes"))),"Check: approved to tutor children but WWCC not provided/confirmed. ","")&amp;IF(AND($P170&gt;0,NOT(AND(OR(LEFT($AY170,3)="Yes",LEFT($AY170,2)="NA"),OR(LEFT($AZ170,3)="Yes",LEFT($AZ170,2)="NA")))),"Matched but vetting incomplete (interview/reference). ","")&amp;IF(COUNTIF($B$3:$B$600,$B170)&gt;1,"Duplicate participant name. ",""))</f>
        <v/>
      </c>
      <c r="BO170" s="48" t="inlineStr"/>
      <c r="BP170" s="48" t="inlineStr"/>
      <c r="BQ170" s="48" t="inlineStr"/>
      <c r="BR170" s="48" t="inlineStr"/>
      <c r="BS170" s="48" t="inlineStr"/>
      <c r="BT170" s="48" t="inlineStr"/>
      <c r="BU170" s="48" t="inlineStr"/>
      <c r="BV170" s="48" t="inlineStr"/>
      <c r="BW170" s="48" t="inlineStr"/>
      <c r="BX170" s="48" t="inlineStr"/>
      <c r="BY170" s="48" t="inlineStr"/>
      <c r="BZ170" s="48" t="inlineStr"/>
      <c r="CA170" s="48" t="inlineStr"/>
      <c r="CB170" s="48" t="inlineStr"/>
      <c r="CC170" s="48" t="inlineStr"/>
      <c r="CD170" s="48" t="inlineStr"/>
      <c r="CE170" s="48" t="inlineStr"/>
      <c r="CF170" s="48" t="inlineStr"/>
      <c r="CG170" s="48" t="inlineStr"/>
      <c r="CH170" s="48" t="inlineStr"/>
      <c r="CI170" s="48" t="inlineStr"/>
      <c r="CJ170" s="48" t="inlineStr"/>
      <c r="CK170" s="48" t="inlineStr"/>
      <c r="CL170" s="48" t="inlineStr"/>
      <c r="CM170" s="48" t="inlineStr"/>
      <c r="CN170" s="48" t="inlineStr"/>
      <c r="CO170" s="48" t="inlineStr"/>
      <c r="CP170" s="48" t="inlineStr"/>
      <c r="CQ170" s="48" t="inlineStr"/>
      <c r="CR170" s="48" t="inlineStr"/>
      <c r="CS170" s="48">
        <f>IF(LEFT($J170,3)="ERR",0,1)</f>
        <v/>
      </c>
      <c r="CT170" s="48">
        <f>IF(LEFT($J170,3)="ADM",1,0)</f>
        <v/>
      </c>
      <c r="CU170" s="48">
        <f>IF(OR($J170="ADM-ACT-MAT-CNE",$J170="ADM-ACT-MAT-CE",$J170="ADM-INACT-M&amp;T"),1,0)</f>
        <v/>
      </c>
      <c r="CV170" s="48">
        <f>IF(AND(CU170=1,ISNUMBER(M170),ISNUMBER(I170)),M170-I170,"")</f>
        <v/>
      </c>
      <c r="CW170" s="48">
        <f>IF(ISNUMBER(I170),TODAY()-I170,"")</f>
        <v/>
      </c>
      <c r="CX170" s="48">
        <f>IF(ISNUMBER(I170),DATE(YEAR(I170),MONTH(I170),1),"")</f>
        <v/>
      </c>
      <c r="CY170" s="48">
        <f>IFERROR(DATEDIF(AK170,TODAY(),"y"),"")</f>
        <v/>
      </c>
      <c r="CZ170" s="48">
        <f>IF(CY170="","",IF(CY170&lt;28,"18-27",IF(CY170&lt;38,"28-37",IF(CY170&lt;48,"38-47",IF(CY170&lt;58,"48-57",IF(CY170&lt;68,"58-67",IF(CY170&lt;78,"68-77","78+")))))) </f>
        <v/>
      </c>
      <c r="DA170" s="48">
        <f>IF(AND(BQ170&lt;&gt;"",BR170=""),N(BS170),0)+IF(AND(BW170&lt;&gt;"",BX170=""),N(BY170),0)+IF(AND(CC170&lt;&gt;"",CD170=""),N(CE170),0)+IF(AND(CI170&lt;&gt;"",CJ170=""),N(CK170),0)+IF(AND(CO170&lt;&gt;"",CP170=""),N(CQ170),0)</f>
        <v/>
      </c>
      <c r="DB170" s="48">
        <f>ROUND(IF(BQ170&lt;&gt;"",N(BS170)*MAX(0,((IF(BR170="",TODAY(),BR170))-BQ170)/7),0)+IF(BW170&lt;&gt;"",N(BY170)*MAX(0,((IF(BX170="",TODAY(),BX170))-BW170)/7),0)+IF(CC170&lt;&gt;"",N(CE170)*MAX(0,((IF(CD170="",TODAY(),CD170))-CC170)/7),0)+IF(CI170&lt;&gt;"",N(CK170)*MAX(0,((IF(CJ170="",TODAY(),CJ170))-CI170)/7),0)+IF(CO170&lt;&gt;"",N(CQ170)*MAX(0,((IF(CP170="",TODAY(),CP170))-CO170)/7),0),1)</f>
        <v/>
      </c>
      <c r="DC170" s="48">
        <f>IF(OR(TRIM(X170)="",TRIM(X170)="NA;",TRIM(X170)="NA"),0,1)</f>
        <v/>
      </c>
      <c r="DD170" s="48">
        <f>IF(OR(TRIM(Y170)="",TRIM(Y170)="NA;",TRIM(Y170)="NA"),0,1)</f>
        <v/>
      </c>
      <c r="DE170" s="48">
        <f>IF(OR(TRIM(Z170)="",TRIM(Z170)="NA;",TRIM(Z170)="NA"),0,1)</f>
        <v/>
      </c>
      <c r="DF170" s="48">
        <f>IF(OR(TRIM(AA170)="",TRIM(AA170)="NA;",TRIM(AA170)="NA"),0,1)</f>
        <v/>
      </c>
      <c r="DG170" s="48">
        <f>IF(OR(TRIM(AB170)="",TRIM(AB170)="NA;",TRIM(AB170)="NA"),0,1)</f>
        <v/>
      </c>
      <c r="DH170" s="48">
        <f>IF(OR(TRIM(AC170)="",TRIM(AC170)="NA;",TRIM(AC170)="NA"),0,1)</f>
        <v/>
      </c>
      <c r="DI170" s="48">
        <f>IF(OR(TRIM(AD170)="",TRIM(AD170)="NA;",TRIM(AD170)="NA"),0,1)</f>
        <v/>
      </c>
      <c r="DJ170" s="48">
        <f>TRIM(IF(DC170=1,"Mon ","")&amp;IF(DD170=1,"Tue ","")&amp;IF(DE170=1,"Wed ","")&amp;IF(DF170=1,"Thu ","")&amp;IF(DG170=1,"Fri ","")&amp;IF(DH170=1,"Sat ","")&amp;IF(DI170=1,"Sun ",""))</f>
        <v/>
      </c>
    </row>
    <row r="171">
      <c r="A171" s="48" t="inlineStr">
        <is>
          <t>S-N-00019</t>
        </is>
      </c>
      <c r="B171" s="48" t="inlineStr">
        <is>
          <t>Anya Levi</t>
        </is>
      </c>
      <c r="C171" s="48" t="inlineStr">
        <is>
          <t>anya.levi69@example.com</t>
        </is>
      </c>
      <c r="D171" s="48" t="inlineStr">
        <is>
          <t>+61 488 129 211</t>
        </is>
      </c>
      <c r="E171" s="48" t="inlineStr">
        <is>
          <t>Hassan Petrov</t>
        </is>
      </c>
      <c r="F171" s="48" t="inlineStr">
        <is>
          <t>+61 487 864 991</t>
        </is>
      </c>
      <c r="G171" s="48" t="inlineStr">
        <is>
          <t>Adult Child</t>
        </is>
      </c>
      <c r="H171" s="48" t="inlineStr">
        <is>
          <t>Student</t>
        </is>
      </c>
      <c r="I171" s="49" t="n">
        <v>45816</v>
      </c>
      <c r="J171" s="48" t="inlineStr">
        <is>
          <t>ADM-ACT-MAT-CE</t>
        </is>
      </c>
      <c r="K171" s="48">
        <f>IFERROR(VLOOKUP(J171,'(A) Introduction'!$B$35:$C$45,2,FALSE),"")</f>
        <v/>
      </c>
      <c r="L171" s="48" t="inlineStr">
        <is>
          <t>No</t>
        </is>
      </c>
      <c r="M171" s="49" t="n">
        <v>45919</v>
      </c>
      <c r="N171" s="48" t="inlineStr"/>
      <c r="O171" s="48" t="inlineStr">
        <is>
          <t>NA</t>
        </is>
      </c>
      <c r="P171" s="48">
        <f>IF($H171="Tutor",((BQ171&lt;&gt;"")*(BR171=""))+((BW171&lt;&gt;"")*(BX171=""))+((CC171&lt;&gt;"")*(CD171=""))+((CI171&lt;&gt;"")*(CJ171=""))+((CO171&lt;&gt;"")*(CP171="")),SUMPRODUCT(--($BO$3:$BO$202=$A171),--($BR$3:$BR$202=""))+SUMPRODUCT(--($BU$3:$BU$202=$A171),--($BX$3:$BX$202=""))+SUMPRODUCT(--($CA$3:$CA$202=$A171),--($CD$3:$CD$202=""))+SUMPRODUCT(--($CG$3:$CG$202=$A171),--($CJ$3:$CJ$202=""))+SUMPRODUCT(--($CM$3:$CM$202=$A171),--($CP$3:$CP$202="")))</f>
        <v/>
      </c>
      <c r="Q171" s="48">
        <f>IF($H171="Tutor",(BQ171&lt;&gt;"")+(BW171&lt;&gt;"")+(CC171&lt;&gt;"")+(CI171&lt;&gt;"")+(CO171&lt;&gt;""),SUMPRODUCT(--($BO$3:$BO$202=$A171))+SUMPRODUCT(--($BU$3:$BU$202=$A171))+SUMPRODUCT(--($CA$3:$CA$202=$A171))+SUMPRODUCT(--($CG$3:$CG$202=$A171))+SUMPRODUCT(--($CM$3:$CM$202=$A171)))</f>
        <v/>
      </c>
      <c r="R171" s="48">
        <f>IF($H171="Tutor",TRIM(IF(AND(BQ171&lt;&gt;"",BR171=""),BP171&amp;"; ","")&amp;IF(AND(BW171&lt;&gt;"",BX171=""),BV171&amp;"; ","")&amp;IF(AND(CC171&lt;&gt;"",CD171=""),CB171&amp;"; ","")&amp;IF(AND(CI171&lt;&gt;"",CJ171=""),CH171&amp;"; ","")&amp;IF(AND(CO171&lt;&gt;"",CP171=""),CN171&amp;"; ","")),IFERROR(INDEX($A$3:$B$202,(SUMPRODUCT(($BO$3:$BO$202=$A171)*($BR$3:$BR$202="")*ROW($BO$3:$BO$202))+SUMPRODUCT(($BU$3:$BU$202=$A171)*($BX$3:$BX$202="")*ROW($BU$3:$BU$202))+SUMPRODUCT(($CA$3:$CA$202=$A171)*($CD$3:$CD$202="")*ROW($CA$3:$CA$202))+SUMPRODUCT(($CG$3:$CG$202=$A171)*($CJ$3:$CJ$202="")*ROW($CG$3:$CG$202))+SUMPRODUCT(($CM$3:$CM$202=$A171)*($CP$3:$CP$202="")*ROW($CM$3:$CM$202)))-2,2),""))</f>
        <v/>
      </c>
      <c r="S171" s="48" t="inlineStr">
        <is>
          <t>NA</t>
        </is>
      </c>
      <c r="T171" s="48" t="inlineStr"/>
      <c r="U171" s="48" t="inlineStr"/>
      <c r="V171" s="49" t="n">
        <v>45727</v>
      </c>
      <c r="W171" s="48" t="inlineStr">
        <is>
          <t>AEST (UTC+10)</t>
        </is>
      </c>
      <c r="X171" s="48" t="inlineStr">
        <is>
          <t>9am-12pm;12pm-3pm;3pm-6pm;</t>
        </is>
      </c>
      <c r="Y171" s="48" t="inlineStr">
        <is>
          <t>6pm-9pm;</t>
        </is>
      </c>
      <c r="Z171" s="48" t="inlineStr">
        <is>
          <t>12pm-3pm;6pm-9pm;</t>
        </is>
      </c>
      <c r="AA171" s="48" t="inlineStr">
        <is>
          <t>12pm-3pm;</t>
        </is>
      </c>
      <c r="AB171" s="48" t="inlineStr">
        <is>
          <t>9am-12pm;</t>
        </is>
      </c>
      <c r="AC171" s="48" t="inlineStr">
        <is>
          <t>NA;</t>
        </is>
      </c>
      <c r="AD171" s="48" t="inlineStr">
        <is>
          <t>9am-12pm;</t>
        </is>
      </c>
      <c r="AE171" s="48" t="inlineStr">
        <is>
          <t>Either</t>
        </is>
      </c>
      <c r="AF171" s="48" t="inlineStr">
        <is>
          <t>Multiple devices</t>
        </is>
      </c>
      <c r="AG171" s="48" t="inlineStr">
        <is>
          <t>Australia</t>
        </is>
      </c>
      <c r="AH171" s="48" t="inlineStr">
        <is>
          <t>Victoria</t>
        </is>
      </c>
      <c r="AI171" s="48" t="inlineStr">
        <is>
          <t>Footscray</t>
        </is>
      </c>
      <c r="AJ171" s="48" t="inlineStr">
        <is>
          <t>3011</t>
        </is>
      </c>
      <c r="AK171" s="49" t="n">
        <v>32674</v>
      </c>
      <c r="AL171" s="48" t="inlineStr">
        <is>
          <t>Female</t>
        </is>
      </c>
      <c r="AM171" s="48" t="inlineStr">
        <is>
          <t>No</t>
        </is>
      </c>
      <c r="AN171" s="48" t="inlineStr">
        <is>
          <t>B1</t>
        </is>
      </c>
      <c r="AO171" s="48" t="inlineStr">
        <is>
          <t>Outstanding</t>
        </is>
      </c>
      <c r="AP171" s="48" t="inlineStr">
        <is>
          <t>Iraq</t>
        </is>
      </c>
      <c r="AQ171" s="48" t="inlineStr">
        <is>
          <t>NA</t>
        </is>
      </c>
      <c r="AR171" s="48" t="inlineStr">
        <is>
          <t>Farsi (C1)</t>
        </is>
      </c>
      <c r="AS171" s="48" t="inlineStr">
        <is>
          <t>Christian</t>
        </is>
      </c>
      <c r="AT171" s="48" t="inlineStr">
        <is>
          <t>Military &amp; Public Safety</t>
        </is>
      </c>
      <c r="AU171" s="48" t="inlineStr">
        <is>
          <t>Teacher</t>
        </is>
      </c>
      <c r="AV171" s="48" t="inlineStr">
        <is>
          <t>Construction</t>
        </is>
      </c>
      <c r="AW171" s="48" t="inlineStr">
        <is>
          <t>Language learning; Self-development</t>
        </is>
      </c>
      <c r="AX171" s="48" t="inlineStr">
        <is>
          <t>Refugee</t>
        </is>
      </c>
      <c r="AY171" s="48" t="inlineStr">
        <is>
          <t>NA - RELT Member Verified</t>
        </is>
      </c>
      <c r="AZ171" s="48" t="inlineStr">
        <is>
          <t>Yes</t>
        </is>
      </c>
      <c r="BA171" s="48" t="inlineStr">
        <is>
          <t>NA</t>
        </is>
      </c>
      <c r="BB171" s="48" t="inlineStr">
        <is>
          <t>NA</t>
        </is>
      </c>
      <c r="BC171" s="48" t="inlineStr">
        <is>
          <t>NA</t>
        </is>
      </c>
      <c r="BD171" s="48" t="inlineStr">
        <is>
          <t>NA</t>
        </is>
      </c>
      <c r="BE171" s="48" t="inlineStr"/>
      <c r="BF171" s="48" t="inlineStr"/>
      <c r="BG171" s="48" t="inlineStr">
        <is>
          <t>NA</t>
        </is>
      </c>
      <c r="BH171" s="48" t="inlineStr">
        <is>
          <t>NA - Student</t>
        </is>
      </c>
      <c r="BI171" s="48" t="inlineStr">
        <is>
          <t>National Justice Project</t>
        </is>
      </c>
      <c r="BJ171" s="48" t="inlineStr">
        <is>
          <t>AGARWAL Akanksha</t>
        </is>
      </c>
      <c r="BK171" s="48" t="inlineStr">
        <is>
          <t>HERVIR Oliver</t>
        </is>
      </c>
      <c r="BL171" s="48" t="inlineStr">
        <is>
          <t>Synthetic test record.</t>
        </is>
      </c>
      <c r="BM171" s="48" t="inlineStr"/>
      <c r="BN171" s="48">
        <f>TRIM(IF(AND($H171="Student",$J171="ADM-ACT-MAT-CNE"),"Invalid: Student cannot be CNE. ","")&amp;IF(AND($H171="Student",ISNUMBER($O171)),"Check: capacity set for a Student. ","")&amp;IF(AND(LEFT($J171,11)="ADM-ACT-MAT",$P171=0),"Check: matched status but 0 active pairings. ","")&amp;IF(AND($H171="Tutor",ISNUMBER($O171),$P171&gt;$O171),"Check: pairings exceed capacity. ","")&amp;IF(AND($BH171="Everyone",NOT(AND($BD171="Yes",$BG171="Yes"))),"Check: approved to tutor children but WWCC not provided/confirmed. ","")&amp;IF(AND($P171&gt;0,NOT(AND(OR(LEFT($AY171,3)="Yes",LEFT($AY171,2)="NA"),OR(LEFT($AZ171,3)="Yes",LEFT($AZ171,2)="NA")))),"Matched but vetting incomplete (interview/reference). ","")&amp;IF(COUNTIF($B$3:$B$600,$B171)&gt;1,"Duplicate participant name. ",""))</f>
        <v/>
      </c>
      <c r="BO171" s="48" t="inlineStr"/>
      <c r="BP171" s="48" t="inlineStr"/>
      <c r="BQ171" s="48" t="inlineStr"/>
      <c r="BR171" s="48" t="inlineStr"/>
      <c r="BS171" s="48" t="inlineStr"/>
      <c r="BT171" s="48" t="inlineStr"/>
      <c r="BU171" s="48" t="inlineStr"/>
      <c r="BV171" s="48" t="inlineStr"/>
      <c r="BW171" s="48" t="inlineStr"/>
      <c r="BX171" s="48" t="inlineStr"/>
      <c r="BY171" s="48" t="inlineStr"/>
      <c r="BZ171" s="48" t="inlineStr"/>
      <c r="CA171" s="48" t="inlineStr"/>
      <c r="CB171" s="48" t="inlineStr"/>
      <c r="CC171" s="48" t="inlineStr"/>
      <c r="CD171" s="48" t="inlineStr"/>
      <c r="CE171" s="48" t="inlineStr"/>
      <c r="CF171" s="48" t="inlineStr"/>
      <c r="CG171" s="48" t="inlineStr"/>
      <c r="CH171" s="48" t="inlineStr"/>
      <c r="CI171" s="48" t="inlineStr"/>
      <c r="CJ171" s="48" t="inlineStr"/>
      <c r="CK171" s="48" t="inlineStr"/>
      <c r="CL171" s="48" t="inlineStr"/>
      <c r="CM171" s="48" t="inlineStr"/>
      <c r="CN171" s="48" t="inlineStr"/>
      <c r="CO171" s="48" t="inlineStr"/>
      <c r="CP171" s="48" t="inlineStr"/>
      <c r="CQ171" s="48" t="inlineStr"/>
      <c r="CR171" s="48" t="inlineStr"/>
      <c r="CS171" s="48">
        <f>IF(LEFT($J171,3)="ERR",0,1)</f>
        <v/>
      </c>
      <c r="CT171" s="48">
        <f>IF(LEFT($J171,3)="ADM",1,0)</f>
        <v/>
      </c>
      <c r="CU171" s="48">
        <f>IF(OR($J171="ADM-ACT-MAT-CNE",$J171="ADM-ACT-MAT-CE",$J171="ADM-INACT-M&amp;T"),1,0)</f>
        <v/>
      </c>
      <c r="CV171" s="48">
        <f>IF(AND(CU171=1,ISNUMBER(M171),ISNUMBER(I171)),M171-I171,"")</f>
        <v/>
      </c>
      <c r="CW171" s="48">
        <f>IF(ISNUMBER(I171),TODAY()-I171,"")</f>
        <v/>
      </c>
      <c r="CX171" s="48">
        <f>IF(ISNUMBER(I171),DATE(YEAR(I171),MONTH(I171),1),"")</f>
        <v/>
      </c>
      <c r="CY171" s="48">
        <f>IFERROR(DATEDIF(AK171,TODAY(),"y"),"")</f>
        <v/>
      </c>
      <c r="CZ171" s="48">
        <f>IF(CY171="","",IF(CY171&lt;28,"18-27",IF(CY171&lt;38,"28-37",IF(CY171&lt;48,"38-47",IF(CY171&lt;58,"48-57",IF(CY171&lt;68,"58-67",IF(CY171&lt;78,"68-77","78+")))))) </f>
        <v/>
      </c>
      <c r="DA171" s="48">
        <f>IF(AND(BQ171&lt;&gt;"",BR171=""),N(BS171),0)+IF(AND(BW171&lt;&gt;"",BX171=""),N(BY171),0)+IF(AND(CC171&lt;&gt;"",CD171=""),N(CE171),0)+IF(AND(CI171&lt;&gt;"",CJ171=""),N(CK171),0)+IF(AND(CO171&lt;&gt;"",CP171=""),N(CQ171),0)</f>
        <v/>
      </c>
      <c r="DB171" s="48">
        <f>ROUND(IF(BQ171&lt;&gt;"",N(BS171)*MAX(0,((IF(BR171="",TODAY(),BR171))-BQ171)/7),0)+IF(BW171&lt;&gt;"",N(BY171)*MAX(0,((IF(BX171="",TODAY(),BX171))-BW171)/7),0)+IF(CC171&lt;&gt;"",N(CE171)*MAX(0,((IF(CD171="",TODAY(),CD171))-CC171)/7),0)+IF(CI171&lt;&gt;"",N(CK171)*MAX(0,((IF(CJ171="",TODAY(),CJ171))-CI171)/7),0)+IF(CO171&lt;&gt;"",N(CQ171)*MAX(0,((IF(CP171="",TODAY(),CP171))-CO171)/7),0),1)</f>
        <v/>
      </c>
      <c r="DC171" s="48">
        <f>IF(OR(TRIM(X171)="",TRIM(X171)="NA;",TRIM(X171)="NA"),0,1)</f>
        <v/>
      </c>
      <c r="DD171" s="48">
        <f>IF(OR(TRIM(Y171)="",TRIM(Y171)="NA;",TRIM(Y171)="NA"),0,1)</f>
        <v/>
      </c>
      <c r="DE171" s="48">
        <f>IF(OR(TRIM(Z171)="",TRIM(Z171)="NA;",TRIM(Z171)="NA"),0,1)</f>
        <v/>
      </c>
      <c r="DF171" s="48">
        <f>IF(OR(TRIM(AA171)="",TRIM(AA171)="NA;",TRIM(AA171)="NA"),0,1)</f>
        <v/>
      </c>
      <c r="DG171" s="48">
        <f>IF(OR(TRIM(AB171)="",TRIM(AB171)="NA;",TRIM(AB171)="NA"),0,1)</f>
        <v/>
      </c>
      <c r="DH171" s="48">
        <f>IF(OR(TRIM(AC171)="",TRIM(AC171)="NA;",TRIM(AC171)="NA"),0,1)</f>
        <v/>
      </c>
      <c r="DI171" s="48">
        <f>IF(OR(TRIM(AD171)="",TRIM(AD171)="NA;",TRIM(AD171)="NA"),0,1)</f>
        <v/>
      </c>
      <c r="DJ171" s="48">
        <f>TRIM(IF(DC171=1,"Mon ","")&amp;IF(DD171=1,"Tue ","")&amp;IF(DE171=1,"Wed ","")&amp;IF(DF171=1,"Thu ","")&amp;IF(DG171=1,"Fri ","")&amp;IF(DH171=1,"Sat ","")&amp;IF(DI171=1,"Sun ",""))</f>
        <v/>
      </c>
    </row>
    <row r="172">
      <c r="A172" s="48" t="inlineStr">
        <is>
          <t>S-N-00020</t>
        </is>
      </c>
      <c r="B172" s="48" t="inlineStr">
        <is>
          <t>Iryna Ahmed</t>
        </is>
      </c>
      <c r="C172" s="48" t="inlineStr">
        <is>
          <t>iryna.ahmed70@example.com</t>
        </is>
      </c>
      <c r="D172" s="48" t="inlineStr">
        <is>
          <t>+61 485 944 044</t>
        </is>
      </c>
      <c r="E172" s="48" t="inlineStr">
        <is>
          <t>Mariam Lopez</t>
        </is>
      </c>
      <c r="F172" s="48" t="inlineStr">
        <is>
          <t>+61 412 242 755</t>
        </is>
      </c>
      <c r="G172" s="48" t="inlineStr">
        <is>
          <t>Adult Child</t>
        </is>
      </c>
      <c r="H172" s="48" t="inlineStr">
        <is>
          <t>Student</t>
        </is>
      </c>
      <c r="I172" s="49" t="n">
        <v>45822</v>
      </c>
      <c r="J172" s="48" t="inlineStr">
        <is>
          <t>ADM-ACT-MAT-CE</t>
        </is>
      </c>
      <c r="K172" s="48">
        <f>IFERROR(VLOOKUP(J172,'(A) Introduction'!$B$35:$C$45,2,FALSE),"")</f>
        <v/>
      </c>
      <c r="L172" s="48" t="inlineStr">
        <is>
          <t>No</t>
        </is>
      </c>
      <c r="M172" s="49" t="n">
        <v>45892</v>
      </c>
      <c r="N172" s="48" t="inlineStr"/>
      <c r="O172" s="48" t="inlineStr">
        <is>
          <t>NA</t>
        </is>
      </c>
      <c r="P172" s="48">
        <f>IF($H172="Tutor",((BQ172&lt;&gt;"")*(BR172=""))+((BW172&lt;&gt;"")*(BX172=""))+((CC172&lt;&gt;"")*(CD172=""))+((CI172&lt;&gt;"")*(CJ172=""))+((CO172&lt;&gt;"")*(CP172="")),SUMPRODUCT(--($BO$3:$BO$202=$A172),--($BR$3:$BR$202=""))+SUMPRODUCT(--($BU$3:$BU$202=$A172),--($BX$3:$BX$202=""))+SUMPRODUCT(--($CA$3:$CA$202=$A172),--($CD$3:$CD$202=""))+SUMPRODUCT(--($CG$3:$CG$202=$A172),--($CJ$3:$CJ$202=""))+SUMPRODUCT(--($CM$3:$CM$202=$A172),--($CP$3:$CP$202="")))</f>
        <v/>
      </c>
      <c r="Q172" s="48">
        <f>IF($H172="Tutor",(BQ172&lt;&gt;"")+(BW172&lt;&gt;"")+(CC172&lt;&gt;"")+(CI172&lt;&gt;"")+(CO172&lt;&gt;""),SUMPRODUCT(--($BO$3:$BO$202=$A172))+SUMPRODUCT(--($BU$3:$BU$202=$A172))+SUMPRODUCT(--($CA$3:$CA$202=$A172))+SUMPRODUCT(--($CG$3:$CG$202=$A172))+SUMPRODUCT(--($CM$3:$CM$202=$A172)))</f>
        <v/>
      </c>
      <c r="R172" s="48">
        <f>IF($H172="Tutor",TRIM(IF(AND(BQ172&lt;&gt;"",BR172=""),BP172&amp;"; ","")&amp;IF(AND(BW172&lt;&gt;"",BX172=""),BV172&amp;"; ","")&amp;IF(AND(CC172&lt;&gt;"",CD172=""),CB172&amp;"; ","")&amp;IF(AND(CI172&lt;&gt;"",CJ172=""),CH172&amp;"; ","")&amp;IF(AND(CO172&lt;&gt;"",CP172=""),CN172&amp;"; ","")),IFERROR(INDEX($A$3:$B$202,(SUMPRODUCT(($BO$3:$BO$202=$A172)*($BR$3:$BR$202="")*ROW($BO$3:$BO$202))+SUMPRODUCT(($BU$3:$BU$202=$A172)*($BX$3:$BX$202="")*ROW($BU$3:$BU$202))+SUMPRODUCT(($CA$3:$CA$202=$A172)*($CD$3:$CD$202="")*ROW($CA$3:$CA$202))+SUMPRODUCT(($CG$3:$CG$202=$A172)*($CJ$3:$CJ$202="")*ROW($CG$3:$CG$202))+SUMPRODUCT(($CM$3:$CM$202=$A172)*($CP$3:$CP$202="")*ROW($CM$3:$CM$202)))-2,2),""))</f>
        <v/>
      </c>
      <c r="S172" s="48" t="inlineStr">
        <is>
          <t>NA</t>
        </is>
      </c>
      <c r="T172" s="48" t="inlineStr"/>
      <c r="U172" s="48" t="inlineStr"/>
      <c r="V172" s="49" t="n">
        <v>45814</v>
      </c>
      <c r="W172" s="48" t="inlineStr">
        <is>
          <t>AEST (UTC+10)</t>
        </is>
      </c>
      <c r="X172" s="48" t="inlineStr">
        <is>
          <t>3pm-6pm;</t>
        </is>
      </c>
      <c r="Y172" s="48" t="inlineStr">
        <is>
          <t>12pm-3pm;</t>
        </is>
      </c>
      <c r="Z172" s="48" t="inlineStr">
        <is>
          <t>12pm-3pm;6pm-9pm;</t>
        </is>
      </c>
      <c r="AA172" s="48" t="inlineStr">
        <is>
          <t>3pm-6pm;</t>
        </is>
      </c>
      <c r="AB172" s="48" t="inlineStr">
        <is>
          <t>6am-9am;9am-12pm;</t>
        </is>
      </c>
      <c r="AC172" s="48" t="inlineStr">
        <is>
          <t>6pm-9pm;</t>
        </is>
      </c>
      <c r="AD172" s="48" t="inlineStr">
        <is>
          <t>NA;</t>
        </is>
      </c>
      <c r="AE172" s="48" t="inlineStr">
        <is>
          <t>Online</t>
        </is>
      </c>
      <c r="AF172" s="48" t="inlineStr">
        <is>
          <t>Computer</t>
        </is>
      </c>
      <c r="AG172" s="48" t="inlineStr">
        <is>
          <t>Australia</t>
        </is>
      </c>
      <c r="AH172" s="48" t="inlineStr">
        <is>
          <t>New South Wales</t>
        </is>
      </c>
      <c r="AI172" s="48" t="inlineStr">
        <is>
          <t>Greenacre</t>
        </is>
      </c>
      <c r="AJ172" s="48" t="inlineStr">
        <is>
          <t>2190</t>
        </is>
      </c>
      <c r="AK172" s="49" t="n">
        <v>37799</v>
      </c>
      <c r="AL172" s="48" t="inlineStr">
        <is>
          <t>Other</t>
        </is>
      </c>
      <c r="AM172" s="48" t="inlineStr">
        <is>
          <t>No</t>
        </is>
      </c>
      <c r="AN172" s="48" t="inlineStr">
        <is>
          <t>A2</t>
        </is>
      </c>
      <c r="AO172" s="48" t="inlineStr">
        <is>
          <t>Low</t>
        </is>
      </c>
      <c r="AP172" s="48" t="inlineStr">
        <is>
          <t>Sri Lanka</t>
        </is>
      </c>
      <c r="AQ172" s="48" t="inlineStr">
        <is>
          <t>NA</t>
        </is>
      </c>
      <c r="AR172" s="48" t="inlineStr">
        <is>
          <t>Ukrainian (C1)</t>
        </is>
      </c>
      <c r="AS172" s="48" t="inlineStr">
        <is>
          <t>Christian (Orthodox)</t>
        </is>
      </c>
      <c r="AT172" s="48" t="inlineStr">
        <is>
          <t>Trades &amp; Construction</t>
        </is>
      </c>
      <c r="AU172" s="48" t="inlineStr">
        <is>
          <t>Lawyer</t>
        </is>
      </c>
      <c r="AV172" s="48" t="inlineStr">
        <is>
          <t>Construction</t>
        </is>
      </c>
      <c r="AW172" s="48" t="inlineStr">
        <is>
          <t>Football; Cooking; Family</t>
        </is>
      </c>
      <c r="AX172" s="48" t="inlineStr">
        <is>
          <t>Asylum Seeker</t>
        </is>
      </c>
      <c r="AY172" s="48" t="inlineStr">
        <is>
          <t>NA - RELT Member Verified</t>
        </is>
      </c>
      <c r="AZ172" s="48" t="inlineStr">
        <is>
          <t>Yes</t>
        </is>
      </c>
      <c r="BA172" s="48" t="inlineStr">
        <is>
          <t>NA</t>
        </is>
      </c>
      <c r="BB172" s="48" t="inlineStr">
        <is>
          <t>NA</t>
        </is>
      </c>
      <c r="BC172" s="48" t="inlineStr">
        <is>
          <t>NA</t>
        </is>
      </c>
      <c r="BD172" s="48" t="inlineStr">
        <is>
          <t>NA</t>
        </is>
      </c>
      <c r="BE172" s="48" t="inlineStr"/>
      <c r="BF172" s="48" t="inlineStr"/>
      <c r="BG172" s="48" t="inlineStr">
        <is>
          <t>NA</t>
        </is>
      </c>
      <c r="BH172" s="48" t="inlineStr">
        <is>
          <t>NA - Student</t>
        </is>
      </c>
      <c r="BI172" s="48" t="inlineStr">
        <is>
          <t>Refugee Advice and Casework Service</t>
        </is>
      </c>
      <c r="BJ172" s="48" t="inlineStr">
        <is>
          <t>HERVIR Oliver</t>
        </is>
      </c>
      <c r="BK172" s="48" t="inlineStr">
        <is>
          <t>CROCK Mary</t>
        </is>
      </c>
      <c r="BL172" s="48" t="inlineStr">
        <is>
          <t>Synthetic test record.</t>
        </is>
      </c>
      <c r="BM172" s="48" t="inlineStr"/>
      <c r="BN172" s="48">
        <f>TRIM(IF(AND($H172="Student",$J172="ADM-ACT-MAT-CNE"),"Invalid: Student cannot be CNE. ","")&amp;IF(AND($H172="Student",ISNUMBER($O172)),"Check: capacity set for a Student. ","")&amp;IF(AND(LEFT($J172,11)="ADM-ACT-MAT",$P172=0),"Check: matched status but 0 active pairings. ","")&amp;IF(AND($H172="Tutor",ISNUMBER($O172),$P172&gt;$O172),"Check: pairings exceed capacity. ","")&amp;IF(AND($BH172="Everyone",NOT(AND($BD172="Yes",$BG172="Yes"))),"Check: approved to tutor children but WWCC not provided/confirmed. ","")&amp;IF(AND($P172&gt;0,NOT(AND(OR(LEFT($AY172,3)="Yes",LEFT($AY172,2)="NA"),OR(LEFT($AZ172,3)="Yes",LEFT($AZ172,2)="NA")))),"Matched but vetting incomplete (interview/reference). ","")&amp;IF(COUNTIF($B$3:$B$600,$B172)&gt;1,"Duplicate participant name. ",""))</f>
        <v/>
      </c>
      <c r="BO172" s="48" t="inlineStr"/>
      <c r="BP172" s="48" t="inlineStr"/>
      <c r="BQ172" s="48" t="inlineStr"/>
      <c r="BR172" s="48" t="inlineStr"/>
      <c r="BS172" s="48" t="inlineStr"/>
      <c r="BT172" s="48" t="inlineStr"/>
      <c r="BU172" s="48" t="inlineStr"/>
      <c r="BV172" s="48" t="inlineStr"/>
      <c r="BW172" s="48" t="inlineStr"/>
      <c r="BX172" s="48" t="inlineStr"/>
      <c r="BY172" s="48" t="inlineStr"/>
      <c r="BZ172" s="48" t="inlineStr"/>
      <c r="CA172" s="48" t="inlineStr"/>
      <c r="CB172" s="48" t="inlineStr"/>
      <c r="CC172" s="48" t="inlineStr"/>
      <c r="CD172" s="48" t="inlineStr"/>
      <c r="CE172" s="48" t="inlineStr"/>
      <c r="CF172" s="48" t="inlineStr"/>
      <c r="CG172" s="48" t="inlineStr"/>
      <c r="CH172" s="48" t="inlineStr"/>
      <c r="CI172" s="48" t="inlineStr"/>
      <c r="CJ172" s="48" t="inlineStr"/>
      <c r="CK172" s="48" t="inlineStr"/>
      <c r="CL172" s="48" t="inlineStr"/>
      <c r="CM172" s="48" t="inlineStr"/>
      <c r="CN172" s="48" t="inlineStr"/>
      <c r="CO172" s="48" t="inlineStr"/>
      <c r="CP172" s="48" t="inlineStr"/>
      <c r="CQ172" s="48" t="inlineStr"/>
      <c r="CR172" s="48" t="inlineStr"/>
      <c r="CS172" s="48">
        <f>IF(LEFT($J172,3)="ERR",0,1)</f>
        <v/>
      </c>
      <c r="CT172" s="48">
        <f>IF(LEFT($J172,3)="ADM",1,0)</f>
        <v/>
      </c>
      <c r="CU172" s="48">
        <f>IF(OR($J172="ADM-ACT-MAT-CNE",$J172="ADM-ACT-MAT-CE",$J172="ADM-INACT-M&amp;T"),1,0)</f>
        <v/>
      </c>
      <c r="CV172" s="48">
        <f>IF(AND(CU172=1,ISNUMBER(M172),ISNUMBER(I172)),M172-I172,"")</f>
        <v/>
      </c>
      <c r="CW172" s="48">
        <f>IF(ISNUMBER(I172),TODAY()-I172,"")</f>
        <v/>
      </c>
      <c r="CX172" s="48">
        <f>IF(ISNUMBER(I172),DATE(YEAR(I172),MONTH(I172),1),"")</f>
        <v/>
      </c>
      <c r="CY172" s="48">
        <f>IFERROR(DATEDIF(AK172,TODAY(),"y"),"")</f>
        <v/>
      </c>
      <c r="CZ172" s="48">
        <f>IF(CY172="","",IF(CY172&lt;28,"18-27",IF(CY172&lt;38,"28-37",IF(CY172&lt;48,"38-47",IF(CY172&lt;58,"48-57",IF(CY172&lt;68,"58-67",IF(CY172&lt;78,"68-77","78+")))))) </f>
        <v/>
      </c>
      <c r="DA172" s="48">
        <f>IF(AND(BQ172&lt;&gt;"",BR172=""),N(BS172),0)+IF(AND(BW172&lt;&gt;"",BX172=""),N(BY172),0)+IF(AND(CC172&lt;&gt;"",CD172=""),N(CE172),0)+IF(AND(CI172&lt;&gt;"",CJ172=""),N(CK172),0)+IF(AND(CO172&lt;&gt;"",CP172=""),N(CQ172),0)</f>
        <v/>
      </c>
      <c r="DB172" s="48">
        <f>ROUND(IF(BQ172&lt;&gt;"",N(BS172)*MAX(0,((IF(BR172="",TODAY(),BR172))-BQ172)/7),0)+IF(BW172&lt;&gt;"",N(BY172)*MAX(0,((IF(BX172="",TODAY(),BX172))-BW172)/7),0)+IF(CC172&lt;&gt;"",N(CE172)*MAX(0,((IF(CD172="",TODAY(),CD172))-CC172)/7),0)+IF(CI172&lt;&gt;"",N(CK172)*MAX(0,((IF(CJ172="",TODAY(),CJ172))-CI172)/7),0)+IF(CO172&lt;&gt;"",N(CQ172)*MAX(0,((IF(CP172="",TODAY(),CP172))-CO172)/7),0),1)</f>
        <v/>
      </c>
      <c r="DC172" s="48">
        <f>IF(OR(TRIM(X172)="",TRIM(X172)="NA;",TRIM(X172)="NA"),0,1)</f>
        <v/>
      </c>
      <c r="DD172" s="48">
        <f>IF(OR(TRIM(Y172)="",TRIM(Y172)="NA;",TRIM(Y172)="NA"),0,1)</f>
        <v/>
      </c>
      <c r="DE172" s="48">
        <f>IF(OR(TRIM(Z172)="",TRIM(Z172)="NA;",TRIM(Z172)="NA"),0,1)</f>
        <v/>
      </c>
      <c r="DF172" s="48">
        <f>IF(OR(TRIM(AA172)="",TRIM(AA172)="NA;",TRIM(AA172)="NA"),0,1)</f>
        <v/>
      </c>
      <c r="DG172" s="48">
        <f>IF(OR(TRIM(AB172)="",TRIM(AB172)="NA;",TRIM(AB172)="NA"),0,1)</f>
        <v/>
      </c>
      <c r="DH172" s="48">
        <f>IF(OR(TRIM(AC172)="",TRIM(AC172)="NA;",TRIM(AC172)="NA"),0,1)</f>
        <v/>
      </c>
      <c r="DI172" s="48">
        <f>IF(OR(TRIM(AD172)="",TRIM(AD172)="NA;",TRIM(AD172)="NA"),0,1)</f>
        <v/>
      </c>
      <c r="DJ172" s="48">
        <f>TRIM(IF(DC172=1,"Mon ","")&amp;IF(DD172=1,"Tue ","")&amp;IF(DE172=1,"Wed ","")&amp;IF(DF172=1,"Thu ","")&amp;IF(DG172=1,"Fri ","")&amp;IF(DH172=1,"Sat ","")&amp;IF(DI172=1,"Sun ",""))</f>
        <v/>
      </c>
    </row>
    <row r="173">
      <c r="A173" s="48" t="inlineStr">
        <is>
          <t>S-N-00021</t>
        </is>
      </c>
      <c r="B173" s="48" t="inlineStr">
        <is>
          <t>Elena Slaytor</t>
        </is>
      </c>
      <c r="C173" s="48" t="inlineStr">
        <is>
          <t>elena.slaytor71@example.com</t>
        </is>
      </c>
      <c r="D173" s="48" t="inlineStr">
        <is>
          <t>+61 409 482 599</t>
        </is>
      </c>
      <c r="E173" s="48" t="inlineStr">
        <is>
          <t>Sarah Silva</t>
        </is>
      </c>
      <c r="F173" s="48" t="inlineStr">
        <is>
          <t>+61 481 975 626</t>
        </is>
      </c>
      <c r="G173" s="48" t="inlineStr">
        <is>
          <t>Parent</t>
        </is>
      </c>
      <c r="H173" s="48" t="inlineStr">
        <is>
          <t>Student</t>
        </is>
      </c>
      <c r="I173" s="49" t="n">
        <v>45823</v>
      </c>
      <c r="J173" s="48" t="inlineStr">
        <is>
          <t>NADM-REJ-UNSUIT</t>
        </is>
      </c>
      <c r="K173" s="48">
        <f>IFERROR(VLOOKUP(J173,'(A) Introduction'!$B$35:$C$45,2,FALSE),"")</f>
        <v/>
      </c>
      <c r="L173" s="48" t="inlineStr">
        <is>
          <t>Yes - see ''Comments''</t>
        </is>
      </c>
      <c r="M173" s="48" t="inlineStr"/>
      <c r="N173" s="48" t="inlineStr"/>
      <c r="O173" s="48" t="inlineStr">
        <is>
          <t>NA</t>
        </is>
      </c>
      <c r="P173" s="48">
        <f>IF($H173="Tutor",((BQ173&lt;&gt;"")*(BR173=""))+((BW173&lt;&gt;"")*(BX173=""))+((CC173&lt;&gt;"")*(CD173=""))+((CI173&lt;&gt;"")*(CJ173=""))+((CO173&lt;&gt;"")*(CP173="")),SUMPRODUCT(--($BO$3:$BO$202=$A173),--($BR$3:$BR$202=""))+SUMPRODUCT(--($BU$3:$BU$202=$A173),--($BX$3:$BX$202=""))+SUMPRODUCT(--($CA$3:$CA$202=$A173),--($CD$3:$CD$202=""))+SUMPRODUCT(--($CG$3:$CG$202=$A173),--($CJ$3:$CJ$202=""))+SUMPRODUCT(--($CM$3:$CM$202=$A173),--($CP$3:$CP$202="")))</f>
        <v/>
      </c>
      <c r="Q173" s="48">
        <f>IF($H173="Tutor",(BQ173&lt;&gt;"")+(BW173&lt;&gt;"")+(CC173&lt;&gt;"")+(CI173&lt;&gt;"")+(CO173&lt;&gt;""),SUMPRODUCT(--($BO$3:$BO$202=$A173))+SUMPRODUCT(--($BU$3:$BU$202=$A173))+SUMPRODUCT(--($CA$3:$CA$202=$A173))+SUMPRODUCT(--($CG$3:$CG$202=$A173))+SUMPRODUCT(--($CM$3:$CM$202=$A173)))</f>
        <v/>
      </c>
      <c r="R173" s="48">
        <f>IF($H173="Tutor",TRIM(IF(AND(BQ173&lt;&gt;"",BR173=""),BP173&amp;"; ","")&amp;IF(AND(BW173&lt;&gt;"",BX173=""),BV173&amp;"; ","")&amp;IF(AND(CC173&lt;&gt;"",CD173=""),CB173&amp;"; ","")&amp;IF(AND(CI173&lt;&gt;"",CJ173=""),CH173&amp;"; ","")&amp;IF(AND(CO173&lt;&gt;"",CP173=""),CN173&amp;"; ","")),IFERROR(INDEX($A$3:$B$202,(SUMPRODUCT(($BO$3:$BO$202=$A173)*($BR$3:$BR$202="")*ROW($BO$3:$BO$202))+SUMPRODUCT(($BU$3:$BU$202=$A173)*($BX$3:$BX$202="")*ROW($BU$3:$BU$202))+SUMPRODUCT(($CA$3:$CA$202=$A173)*($CD$3:$CD$202="")*ROW($CA$3:$CA$202))+SUMPRODUCT(($CG$3:$CG$202=$A173)*($CJ$3:$CJ$202="")*ROW($CG$3:$CG$202))+SUMPRODUCT(($CM$3:$CM$202=$A173)*($CP$3:$CP$202="")*ROW($CM$3:$CM$202)))-2,2),""))</f>
        <v/>
      </c>
      <c r="S173" s="48" t="inlineStr">
        <is>
          <t>Provided</t>
        </is>
      </c>
      <c r="T173" s="48" t="inlineStr"/>
      <c r="U173" s="48" t="inlineStr"/>
      <c r="V173" s="48" t="inlineStr"/>
      <c r="W173" s="48" t="inlineStr">
        <is>
          <t>AEDT (UTC+11)</t>
        </is>
      </c>
      <c r="X173" s="48" t="inlineStr">
        <is>
          <t>9am-12pm;</t>
        </is>
      </c>
      <c r="Y173" s="48" t="inlineStr">
        <is>
          <t>12pm-3pm;</t>
        </is>
      </c>
      <c r="Z173" s="48" t="inlineStr">
        <is>
          <t>6pm-9pm;</t>
        </is>
      </c>
      <c r="AA173" s="48" t="inlineStr">
        <is>
          <t>9am-12pm;</t>
        </is>
      </c>
      <c r="AB173" s="48" t="inlineStr">
        <is>
          <t>12pm-3pm;6pm-9pm;</t>
        </is>
      </c>
      <c r="AC173" s="48" t="inlineStr">
        <is>
          <t>6am-9am;9am-12pm;</t>
        </is>
      </c>
      <c r="AD173" s="48" t="inlineStr">
        <is>
          <t>9am-12pm;</t>
        </is>
      </c>
      <c r="AE173" s="48" t="inlineStr">
        <is>
          <t>In-Person</t>
        </is>
      </c>
      <c r="AF173" s="48" t="inlineStr">
        <is>
          <t>Phone</t>
        </is>
      </c>
      <c r="AG173" s="48" t="inlineStr">
        <is>
          <t>Australia</t>
        </is>
      </c>
      <c r="AH173" s="48" t="inlineStr">
        <is>
          <t>New South Wales</t>
        </is>
      </c>
      <c r="AI173" s="48" t="inlineStr">
        <is>
          <t>Eastlakes</t>
        </is>
      </c>
      <c r="AJ173" s="48" t="inlineStr">
        <is>
          <t>2018</t>
        </is>
      </c>
      <c r="AK173" s="49" t="n">
        <v>33002</v>
      </c>
      <c r="AL173" s="48" t="inlineStr">
        <is>
          <t>Male</t>
        </is>
      </c>
      <c r="AM173" s="48" t="inlineStr">
        <is>
          <t>No</t>
        </is>
      </c>
      <c r="AN173" s="48" t="inlineStr">
        <is>
          <t>A2</t>
        </is>
      </c>
      <c r="AO173" s="48" t="inlineStr">
        <is>
          <t>High</t>
        </is>
      </c>
      <c r="AP173" s="48" t="inlineStr">
        <is>
          <t>Bangladesh; Ukraine</t>
        </is>
      </c>
      <c r="AQ173" s="48" t="inlineStr">
        <is>
          <t>NA</t>
        </is>
      </c>
      <c r="AR173" s="48" t="inlineStr">
        <is>
          <t>Arabic (C1)</t>
        </is>
      </c>
      <c r="AS173" s="48" t="inlineStr">
        <is>
          <t>None</t>
        </is>
      </c>
      <c r="AT173" s="48" t="inlineStr">
        <is>
          <t>Childcare &amp; Aged Care</t>
        </is>
      </c>
      <c r="AU173" s="48" t="inlineStr">
        <is>
          <t>Teacher</t>
        </is>
      </c>
      <c r="AV173" s="48" t="inlineStr">
        <is>
          <t>Counselling</t>
        </is>
      </c>
      <c r="AW173" s="48" t="inlineStr">
        <is>
          <t>Art; Photography; Travel</t>
        </is>
      </c>
      <c r="AX173" s="48" t="inlineStr">
        <is>
          <t>Asylum Seeker</t>
        </is>
      </c>
      <c r="AY173" s="48" t="inlineStr">
        <is>
          <t>No</t>
        </is>
      </c>
      <c r="AZ173" s="48" t="inlineStr">
        <is>
          <t>No</t>
        </is>
      </c>
      <c r="BA173" s="48" t="inlineStr">
        <is>
          <t>NA</t>
        </is>
      </c>
      <c r="BB173" s="48" t="inlineStr">
        <is>
          <t>NA</t>
        </is>
      </c>
      <c r="BC173" s="48" t="inlineStr">
        <is>
          <t>NA</t>
        </is>
      </c>
      <c r="BD173" s="48" t="inlineStr">
        <is>
          <t>NA</t>
        </is>
      </c>
      <c r="BE173" s="48" t="inlineStr"/>
      <c r="BF173" s="48" t="inlineStr"/>
      <c r="BG173" s="48" t="inlineStr">
        <is>
          <t>NA</t>
        </is>
      </c>
      <c r="BH173" s="48" t="inlineStr">
        <is>
          <t>NA - Student</t>
        </is>
      </c>
      <c r="BI173" s="48" t="inlineStr">
        <is>
          <t>Refugee Advice and Casework Service</t>
        </is>
      </c>
      <c r="BJ173" s="48" t="inlineStr">
        <is>
          <t>HERVIR Oliver</t>
        </is>
      </c>
      <c r="BK173" s="48" t="inlineStr">
        <is>
          <t>KNIJNIK Marina</t>
        </is>
      </c>
      <c r="BL173" s="48" t="inlineStr">
        <is>
          <t>Synthetic test record. Blacklisted for testing.</t>
        </is>
      </c>
      <c r="BM173" s="48" t="inlineStr"/>
      <c r="BN173" s="48">
        <f>TRIM(IF(AND($H173="Student",$J173="ADM-ACT-MAT-CNE"),"Invalid: Student cannot be CNE. ","")&amp;IF(AND($H173="Student",ISNUMBER($O173)),"Check: capacity set for a Student. ","")&amp;IF(AND(LEFT($J173,11)="ADM-ACT-MAT",$P173=0),"Check: matched status but 0 active pairings. ","")&amp;IF(AND($H173="Tutor",ISNUMBER($O173),$P173&gt;$O173),"Check: pairings exceed capacity. ","")&amp;IF(AND($BH173="Everyone",NOT(AND($BD173="Yes",$BG173="Yes"))),"Check: approved to tutor children but WWCC not provided/confirmed. ","")&amp;IF(AND($P173&gt;0,NOT(AND(OR(LEFT($AY173,3)="Yes",LEFT($AY173,2)="NA"),OR(LEFT($AZ173,3)="Yes",LEFT($AZ173,2)="NA")))),"Matched but vetting incomplete (interview/reference). ","")&amp;IF(COUNTIF($B$3:$B$600,$B173)&gt;1,"Duplicate participant name. ",""))</f>
        <v/>
      </c>
      <c r="BO173" s="48" t="inlineStr"/>
      <c r="BP173" s="48" t="inlineStr"/>
      <c r="BQ173" s="48" t="inlineStr"/>
      <c r="BR173" s="48" t="inlineStr"/>
      <c r="BS173" s="48" t="inlineStr"/>
      <c r="BT173" s="48" t="inlineStr"/>
      <c r="BU173" s="48" t="inlineStr"/>
      <c r="BV173" s="48" t="inlineStr"/>
      <c r="BW173" s="48" t="inlineStr"/>
      <c r="BX173" s="48" t="inlineStr"/>
      <c r="BY173" s="48" t="inlineStr"/>
      <c r="BZ173" s="48" t="inlineStr"/>
      <c r="CA173" s="48" t="inlineStr"/>
      <c r="CB173" s="48" t="inlineStr"/>
      <c r="CC173" s="48" t="inlineStr"/>
      <c r="CD173" s="48" t="inlineStr"/>
      <c r="CE173" s="48" t="inlineStr"/>
      <c r="CF173" s="48" t="inlineStr"/>
      <c r="CG173" s="48" t="inlineStr"/>
      <c r="CH173" s="48" t="inlineStr"/>
      <c r="CI173" s="48" t="inlineStr"/>
      <c r="CJ173" s="48" t="inlineStr"/>
      <c r="CK173" s="48" t="inlineStr"/>
      <c r="CL173" s="48" t="inlineStr"/>
      <c r="CM173" s="48" t="inlineStr"/>
      <c r="CN173" s="48" t="inlineStr"/>
      <c r="CO173" s="48" t="inlineStr"/>
      <c r="CP173" s="48" t="inlineStr"/>
      <c r="CQ173" s="48" t="inlineStr"/>
      <c r="CR173" s="48" t="inlineStr"/>
      <c r="CS173" s="48">
        <f>IF(LEFT($J173,3)="ERR",0,1)</f>
        <v/>
      </c>
      <c r="CT173" s="48">
        <f>IF(LEFT($J173,3)="ADM",1,0)</f>
        <v/>
      </c>
      <c r="CU173" s="48">
        <f>IF(OR($J173="ADM-ACT-MAT-CNE",$J173="ADM-ACT-MAT-CE",$J173="ADM-INACT-M&amp;T"),1,0)</f>
        <v/>
      </c>
      <c r="CV173" s="48">
        <f>IF(AND(CU173=1,ISNUMBER(M173),ISNUMBER(I173)),M173-I173,"")</f>
        <v/>
      </c>
      <c r="CW173" s="48">
        <f>IF(ISNUMBER(I173),TODAY()-I173,"")</f>
        <v/>
      </c>
      <c r="CX173" s="48">
        <f>IF(ISNUMBER(I173),DATE(YEAR(I173),MONTH(I173),1),"")</f>
        <v/>
      </c>
      <c r="CY173" s="48">
        <f>IFERROR(DATEDIF(AK173,TODAY(),"y"),"")</f>
        <v/>
      </c>
      <c r="CZ173" s="48">
        <f>IF(CY173="","",IF(CY173&lt;28,"18-27",IF(CY173&lt;38,"28-37",IF(CY173&lt;48,"38-47",IF(CY173&lt;58,"48-57",IF(CY173&lt;68,"58-67",IF(CY173&lt;78,"68-77","78+")))))) </f>
        <v/>
      </c>
      <c r="DA173" s="48">
        <f>IF(AND(BQ173&lt;&gt;"",BR173=""),N(BS173),0)+IF(AND(BW173&lt;&gt;"",BX173=""),N(BY173),0)+IF(AND(CC173&lt;&gt;"",CD173=""),N(CE173),0)+IF(AND(CI173&lt;&gt;"",CJ173=""),N(CK173),0)+IF(AND(CO173&lt;&gt;"",CP173=""),N(CQ173),0)</f>
        <v/>
      </c>
      <c r="DB173" s="48">
        <f>ROUND(IF(BQ173&lt;&gt;"",N(BS173)*MAX(0,((IF(BR173="",TODAY(),BR173))-BQ173)/7),0)+IF(BW173&lt;&gt;"",N(BY173)*MAX(0,((IF(BX173="",TODAY(),BX173))-BW173)/7),0)+IF(CC173&lt;&gt;"",N(CE173)*MAX(0,((IF(CD173="",TODAY(),CD173))-CC173)/7),0)+IF(CI173&lt;&gt;"",N(CK173)*MAX(0,((IF(CJ173="",TODAY(),CJ173))-CI173)/7),0)+IF(CO173&lt;&gt;"",N(CQ173)*MAX(0,((IF(CP173="",TODAY(),CP173))-CO173)/7),0),1)</f>
        <v/>
      </c>
      <c r="DC173" s="48">
        <f>IF(OR(TRIM(X173)="",TRIM(X173)="NA;",TRIM(X173)="NA"),0,1)</f>
        <v/>
      </c>
      <c r="DD173" s="48">
        <f>IF(OR(TRIM(Y173)="",TRIM(Y173)="NA;",TRIM(Y173)="NA"),0,1)</f>
        <v/>
      </c>
      <c r="DE173" s="48">
        <f>IF(OR(TRIM(Z173)="",TRIM(Z173)="NA;",TRIM(Z173)="NA"),0,1)</f>
        <v/>
      </c>
      <c r="DF173" s="48">
        <f>IF(OR(TRIM(AA173)="",TRIM(AA173)="NA;",TRIM(AA173)="NA"),0,1)</f>
        <v/>
      </c>
      <c r="DG173" s="48">
        <f>IF(OR(TRIM(AB173)="",TRIM(AB173)="NA;",TRIM(AB173)="NA"),0,1)</f>
        <v/>
      </c>
      <c r="DH173" s="48">
        <f>IF(OR(TRIM(AC173)="",TRIM(AC173)="NA;",TRIM(AC173)="NA"),0,1)</f>
        <v/>
      </c>
      <c r="DI173" s="48">
        <f>IF(OR(TRIM(AD173)="",TRIM(AD173)="NA;",TRIM(AD173)="NA"),0,1)</f>
        <v/>
      </c>
      <c r="DJ173" s="48">
        <f>TRIM(IF(DC173=1,"Mon ","")&amp;IF(DD173=1,"Tue ","")&amp;IF(DE173=1,"Wed ","")&amp;IF(DF173=1,"Thu ","")&amp;IF(DG173=1,"Fri ","")&amp;IF(DH173=1,"Sat ","")&amp;IF(DI173=1,"Sun ",""))</f>
        <v/>
      </c>
    </row>
    <row r="174">
      <c r="A174" s="48" t="inlineStr">
        <is>
          <t>S-N-00022</t>
        </is>
      </c>
      <c r="B174" s="48" t="inlineStr">
        <is>
          <t>Grace Young</t>
        </is>
      </c>
      <c r="C174" s="48" t="inlineStr">
        <is>
          <t>grace.young72@example.com</t>
        </is>
      </c>
      <c r="D174" s="48" t="inlineStr">
        <is>
          <t>+61 411 421 877</t>
        </is>
      </c>
      <c r="E174" s="48" t="inlineStr">
        <is>
          <t>Jose Young</t>
        </is>
      </c>
      <c r="F174" s="48" t="inlineStr">
        <is>
          <t>+61 496 012 709</t>
        </is>
      </c>
      <c r="G174" s="48" t="inlineStr">
        <is>
          <t>Caseworker</t>
        </is>
      </c>
      <c r="H174" s="48" t="inlineStr">
        <is>
          <t>Student</t>
        </is>
      </c>
      <c r="I174" s="49" t="n">
        <v>45830</v>
      </c>
      <c r="J174" s="48" t="inlineStr">
        <is>
          <t>ADM-ACT-MAT-CE</t>
        </is>
      </c>
      <c r="K174" s="48">
        <f>IFERROR(VLOOKUP(J174,'(A) Introduction'!$B$35:$C$45,2,FALSE),"")</f>
        <v/>
      </c>
      <c r="L174" s="48" t="inlineStr">
        <is>
          <t>No</t>
        </is>
      </c>
      <c r="M174" s="49" t="n">
        <v>45861</v>
      </c>
      <c r="N174" s="48" t="inlineStr"/>
      <c r="O174" s="48" t="inlineStr">
        <is>
          <t>NA</t>
        </is>
      </c>
      <c r="P174" s="48">
        <f>IF($H174="Tutor",((BQ174&lt;&gt;"")*(BR174=""))+((BW174&lt;&gt;"")*(BX174=""))+((CC174&lt;&gt;"")*(CD174=""))+((CI174&lt;&gt;"")*(CJ174=""))+((CO174&lt;&gt;"")*(CP174="")),SUMPRODUCT(--($BO$3:$BO$202=$A174),--($BR$3:$BR$202=""))+SUMPRODUCT(--($BU$3:$BU$202=$A174),--($BX$3:$BX$202=""))+SUMPRODUCT(--($CA$3:$CA$202=$A174),--($CD$3:$CD$202=""))+SUMPRODUCT(--($CG$3:$CG$202=$A174),--($CJ$3:$CJ$202=""))+SUMPRODUCT(--($CM$3:$CM$202=$A174),--($CP$3:$CP$202="")))</f>
        <v/>
      </c>
      <c r="Q174" s="48">
        <f>IF($H174="Tutor",(BQ174&lt;&gt;"")+(BW174&lt;&gt;"")+(CC174&lt;&gt;"")+(CI174&lt;&gt;"")+(CO174&lt;&gt;""),SUMPRODUCT(--($BO$3:$BO$202=$A174))+SUMPRODUCT(--($BU$3:$BU$202=$A174))+SUMPRODUCT(--($CA$3:$CA$202=$A174))+SUMPRODUCT(--($CG$3:$CG$202=$A174))+SUMPRODUCT(--($CM$3:$CM$202=$A174)))</f>
        <v/>
      </c>
      <c r="R174" s="48">
        <f>IF($H174="Tutor",TRIM(IF(AND(BQ174&lt;&gt;"",BR174=""),BP174&amp;"; ","")&amp;IF(AND(BW174&lt;&gt;"",BX174=""),BV174&amp;"; ","")&amp;IF(AND(CC174&lt;&gt;"",CD174=""),CB174&amp;"; ","")&amp;IF(AND(CI174&lt;&gt;"",CJ174=""),CH174&amp;"; ","")&amp;IF(AND(CO174&lt;&gt;"",CP174=""),CN174&amp;"; ","")),IFERROR(INDEX($A$3:$B$202,(SUMPRODUCT(($BO$3:$BO$202=$A174)*($BR$3:$BR$202="")*ROW($BO$3:$BO$202))+SUMPRODUCT(($BU$3:$BU$202=$A174)*($BX$3:$BX$202="")*ROW($BU$3:$BU$202))+SUMPRODUCT(($CA$3:$CA$202=$A174)*($CD$3:$CD$202="")*ROW($CA$3:$CA$202))+SUMPRODUCT(($CG$3:$CG$202=$A174)*($CJ$3:$CJ$202="")*ROW($CG$3:$CG$202))+SUMPRODUCT(($CM$3:$CM$202=$A174)*($CP$3:$CP$202="")*ROW($CM$3:$CM$202)))-2,2),""))</f>
        <v/>
      </c>
      <c r="S174" s="48" t="inlineStr">
        <is>
          <t>Not Provided</t>
        </is>
      </c>
      <c r="T174" s="48" t="inlineStr"/>
      <c r="U174" s="48" t="inlineStr"/>
      <c r="V174" s="49" t="n">
        <v>45842</v>
      </c>
      <c r="W174" s="48" t="inlineStr">
        <is>
          <t>AWST (UTC+8)</t>
        </is>
      </c>
      <c r="X174" s="48" t="inlineStr">
        <is>
          <t>12pm-3pm;</t>
        </is>
      </c>
      <c r="Y174" s="48" t="inlineStr">
        <is>
          <t>6pm-9pm;</t>
        </is>
      </c>
      <c r="Z174" s="48" t="inlineStr">
        <is>
          <t>6pm-9pm;</t>
        </is>
      </c>
      <c r="AA174" s="48" t="inlineStr">
        <is>
          <t>3pm-6pm;</t>
        </is>
      </c>
      <c r="AB174" s="48" t="inlineStr">
        <is>
          <t>NA;</t>
        </is>
      </c>
      <c r="AC174" s="48" t="inlineStr">
        <is>
          <t>12pm-3pm;6pm-9pm;</t>
        </is>
      </c>
      <c r="AD174" s="48" t="inlineStr">
        <is>
          <t>12pm-3pm;</t>
        </is>
      </c>
      <c r="AE174" s="48" t="inlineStr">
        <is>
          <t>Online</t>
        </is>
      </c>
      <c r="AF174" s="48" t="inlineStr">
        <is>
          <t>Tablet</t>
        </is>
      </c>
      <c r="AG174" s="48" t="inlineStr">
        <is>
          <t>Australia</t>
        </is>
      </c>
      <c r="AH174" s="48" t="inlineStr">
        <is>
          <t>New South Wales</t>
        </is>
      </c>
      <c r="AI174" s="48" t="inlineStr">
        <is>
          <t>Eastlakes</t>
        </is>
      </c>
      <c r="AJ174" s="48" t="inlineStr">
        <is>
          <t>2018</t>
        </is>
      </c>
      <c r="AK174" s="49" t="n">
        <v>29761</v>
      </c>
      <c r="AL174" s="48" t="inlineStr">
        <is>
          <t>Other</t>
        </is>
      </c>
      <c r="AM174" s="48" t="inlineStr">
        <is>
          <t>No</t>
        </is>
      </c>
      <c r="AN174" s="48" t="inlineStr">
        <is>
          <t>A2</t>
        </is>
      </c>
      <c r="AO174" s="48" t="inlineStr">
        <is>
          <t>Low</t>
        </is>
      </c>
      <c r="AP174" s="48" t="inlineStr">
        <is>
          <t>Colombia</t>
        </is>
      </c>
      <c r="AQ174" s="48" t="inlineStr">
        <is>
          <t>NA</t>
        </is>
      </c>
      <c r="AR174" s="48" t="inlineStr">
        <is>
          <t>Arabic (C1)</t>
        </is>
      </c>
      <c r="AS174" s="48" t="inlineStr">
        <is>
          <t>NA</t>
        </is>
      </c>
      <c r="AT174" s="48" t="inlineStr">
        <is>
          <t>Trades &amp; Construction</t>
        </is>
      </c>
      <c r="AU174" s="48" t="inlineStr">
        <is>
          <t>Retail</t>
        </is>
      </c>
      <c r="AV174" s="48" t="inlineStr">
        <is>
          <t>Engineering</t>
        </is>
      </c>
      <c r="AW174" s="48" t="inlineStr">
        <is>
          <t>Art; Photography; Travel</t>
        </is>
      </c>
      <c r="AX174" s="48" t="inlineStr">
        <is>
          <t>Asylum Seeker</t>
        </is>
      </c>
      <c r="AY174" s="48" t="inlineStr">
        <is>
          <t>NA - RELT Member Verified</t>
        </is>
      </c>
      <c r="AZ174" s="48" t="inlineStr">
        <is>
          <t>Yes</t>
        </is>
      </c>
      <c r="BA174" s="48" t="inlineStr">
        <is>
          <t>NA</t>
        </is>
      </c>
      <c r="BB174" s="48" t="inlineStr">
        <is>
          <t>NA</t>
        </is>
      </c>
      <c r="BC174" s="48" t="inlineStr">
        <is>
          <t>NA</t>
        </is>
      </c>
      <c r="BD174" s="48" t="inlineStr">
        <is>
          <t>NA</t>
        </is>
      </c>
      <c r="BE174" s="48" t="inlineStr"/>
      <c r="BF174" s="48" t="inlineStr"/>
      <c r="BG174" s="48" t="inlineStr">
        <is>
          <t>NA</t>
        </is>
      </c>
      <c r="BH174" s="48" t="inlineStr">
        <is>
          <t>NA - Student</t>
        </is>
      </c>
      <c r="BI174" s="48" t="inlineStr">
        <is>
          <t>STARTTS</t>
        </is>
      </c>
      <c r="BJ174" s="48" t="inlineStr">
        <is>
          <t>NUICH Curtis</t>
        </is>
      </c>
      <c r="BK174" s="48" t="inlineStr">
        <is>
          <t>HERVIR Oliver</t>
        </is>
      </c>
      <c r="BL174" s="48" t="inlineStr">
        <is>
          <t>Synthetic test record.</t>
        </is>
      </c>
      <c r="BM174" s="48" t="inlineStr"/>
      <c r="BN174" s="48">
        <f>TRIM(IF(AND($H174="Student",$J174="ADM-ACT-MAT-CNE"),"Invalid: Student cannot be CNE. ","")&amp;IF(AND($H174="Student",ISNUMBER($O174)),"Check: capacity set for a Student. ","")&amp;IF(AND(LEFT($J174,11)="ADM-ACT-MAT",$P174=0),"Check: matched status but 0 active pairings. ","")&amp;IF(AND($H174="Tutor",ISNUMBER($O174),$P174&gt;$O174),"Check: pairings exceed capacity. ","")&amp;IF(AND($BH174="Everyone",NOT(AND($BD174="Yes",$BG174="Yes"))),"Check: approved to tutor children but WWCC not provided/confirmed. ","")&amp;IF(AND($P174&gt;0,NOT(AND(OR(LEFT($AY174,3)="Yes",LEFT($AY174,2)="NA"),OR(LEFT($AZ174,3)="Yes",LEFT($AZ174,2)="NA")))),"Matched but vetting incomplete (interview/reference). ","")&amp;IF(COUNTIF($B$3:$B$600,$B174)&gt;1,"Duplicate participant name. ",""))</f>
        <v/>
      </c>
      <c r="BO174" s="48" t="inlineStr"/>
      <c r="BP174" s="48" t="inlineStr"/>
      <c r="BQ174" s="48" t="inlineStr"/>
      <c r="BR174" s="48" t="inlineStr"/>
      <c r="BS174" s="48" t="inlineStr"/>
      <c r="BT174" s="48" t="inlineStr"/>
      <c r="BU174" s="48" t="inlineStr"/>
      <c r="BV174" s="48" t="inlineStr"/>
      <c r="BW174" s="48" t="inlineStr"/>
      <c r="BX174" s="48" t="inlineStr"/>
      <c r="BY174" s="48" t="inlineStr"/>
      <c r="BZ174" s="48" t="inlineStr"/>
      <c r="CA174" s="48" t="inlineStr"/>
      <c r="CB174" s="48" t="inlineStr"/>
      <c r="CC174" s="48" t="inlineStr"/>
      <c r="CD174" s="48" t="inlineStr"/>
      <c r="CE174" s="48" t="inlineStr"/>
      <c r="CF174" s="48" t="inlineStr"/>
      <c r="CG174" s="48" t="inlineStr"/>
      <c r="CH174" s="48" t="inlineStr"/>
      <c r="CI174" s="48" t="inlineStr"/>
      <c r="CJ174" s="48" t="inlineStr"/>
      <c r="CK174" s="48" t="inlineStr"/>
      <c r="CL174" s="48" t="inlineStr"/>
      <c r="CM174" s="48" t="inlineStr"/>
      <c r="CN174" s="48" t="inlineStr"/>
      <c r="CO174" s="48" t="inlineStr"/>
      <c r="CP174" s="48" t="inlineStr"/>
      <c r="CQ174" s="48" t="inlineStr"/>
      <c r="CR174" s="48" t="inlineStr"/>
      <c r="CS174" s="48">
        <f>IF(LEFT($J174,3)="ERR",0,1)</f>
        <v/>
      </c>
      <c r="CT174" s="48">
        <f>IF(LEFT($J174,3)="ADM",1,0)</f>
        <v/>
      </c>
      <c r="CU174" s="48">
        <f>IF(OR($J174="ADM-ACT-MAT-CNE",$J174="ADM-ACT-MAT-CE",$J174="ADM-INACT-M&amp;T"),1,0)</f>
        <v/>
      </c>
      <c r="CV174" s="48">
        <f>IF(AND(CU174=1,ISNUMBER(M174),ISNUMBER(I174)),M174-I174,"")</f>
        <v/>
      </c>
      <c r="CW174" s="48">
        <f>IF(ISNUMBER(I174),TODAY()-I174,"")</f>
        <v/>
      </c>
      <c r="CX174" s="48">
        <f>IF(ISNUMBER(I174),DATE(YEAR(I174),MONTH(I174),1),"")</f>
        <v/>
      </c>
      <c r="CY174" s="48">
        <f>IFERROR(DATEDIF(AK174,TODAY(),"y"),"")</f>
        <v/>
      </c>
      <c r="CZ174" s="48">
        <f>IF(CY174="","",IF(CY174&lt;28,"18-27",IF(CY174&lt;38,"28-37",IF(CY174&lt;48,"38-47",IF(CY174&lt;58,"48-57",IF(CY174&lt;68,"58-67",IF(CY174&lt;78,"68-77","78+")))))) </f>
        <v/>
      </c>
      <c r="DA174" s="48">
        <f>IF(AND(BQ174&lt;&gt;"",BR174=""),N(BS174),0)+IF(AND(BW174&lt;&gt;"",BX174=""),N(BY174),0)+IF(AND(CC174&lt;&gt;"",CD174=""),N(CE174),0)+IF(AND(CI174&lt;&gt;"",CJ174=""),N(CK174),0)+IF(AND(CO174&lt;&gt;"",CP174=""),N(CQ174),0)</f>
        <v/>
      </c>
      <c r="DB174" s="48">
        <f>ROUND(IF(BQ174&lt;&gt;"",N(BS174)*MAX(0,((IF(BR174="",TODAY(),BR174))-BQ174)/7),0)+IF(BW174&lt;&gt;"",N(BY174)*MAX(0,((IF(BX174="",TODAY(),BX174))-BW174)/7),0)+IF(CC174&lt;&gt;"",N(CE174)*MAX(0,((IF(CD174="",TODAY(),CD174))-CC174)/7),0)+IF(CI174&lt;&gt;"",N(CK174)*MAX(0,((IF(CJ174="",TODAY(),CJ174))-CI174)/7),0)+IF(CO174&lt;&gt;"",N(CQ174)*MAX(0,((IF(CP174="",TODAY(),CP174))-CO174)/7),0),1)</f>
        <v/>
      </c>
      <c r="DC174" s="48">
        <f>IF(OR(TRIM(X174)="",TRIM(X174)="NA;",TRIM(X174)="NA"),0,1)</f>
        <v/>
      </c>
      <c r="DD174" s="48">
        <f>IF(OR(TRIM(Y174)="",TRIM(Y174)="NA;",TRIM(Y174)="NA"),0,1)</f>
        <v/>
      </c>
      <c r="DE174" s="48">
        <f>IF(OR(TRIM(Z174)="",TRIM(Z174)="NA;",TRIM(Z174)="NA"),0,1)</f>
        <v/>
      </c>
      <c r="DF174" s="48">
        <f>IF(OR(TRIM(AA174)="",TRIM(AA174)="NA;",TRIM(AA174)="NA"),0,1)</f>
        <v/>
      </c>
      <c r="DG174" s="48">
        <f>IF(OR(TRIM(AB174)="",TRIM(AB174)="NA;",TRIM(AB174)="NA"),0,1)</f>
        <v/>
      </c>
      <c r="DH174" s="48">
        <f>IF(OR(TRIM(AC174)="",TRIM(AC174)="NA;",TRIM(AC174)="NA"),0,1)</f>
        <v/>
      </c>
      <c r="DI174" s="48">
        <f>IF(OR(TRIM(AD174)="",TRIM(AD174)="NA;",TRIM(AD174)="NA"),0,1)</f>
        <v/>
      </c>
      <c r="DJ174" s="48">
        <f>TRIM(IF(DC174=1,"Mon ","")&amp;IF(DD174=1,"Tue ","")&amp;IF(DE174=1,"Wed ","")&amp;IF(DF174=1,"Thu ","")&amp;IF(DG174=1,"Fri ","")&amp;IF(DH174=1,"Sat ","")&amp;IF(DI174=1,"Sun ",""))</f>
        <v/>
      </c>
    </row>
    <row r="175">
      <c r="A175" s="48" t="inlineStr">
        <is>
          <t>S-N-00023</t>
        </is>
      </c>
      <c r="B175" s="48" t="inlineStr">
        <is>
          <t>Pedro Ibrahim</t>
        </is>
      </c>
      <c r="C175" s="48" t="inlineStr">
        <is>
          <t>pedro.ibrahim73@example.com</t>
        </is>
      </c>
      <c r="D175" s="48" t="inlineStr">
        <is>
          <t>+61 445 302 244</t>
        </is>
      </c>
      <c r="E175" s="48" t="inlineStr">
        <is>
          <t>Karim Rafipour</t>
        </is>
      </c>
      <c r="F175" s="48" t="inlineStr">
        <is>
          <t>+61 414 392 374</t>
        </is>
      </c>
      <c r="G175" s="48" t="inlineStr">
        <is>
          <t>Adult Child</t>
        </is>
      </c>
      <c r="H175" s="48" t="inlineStr">
        <is>
          <t>Student</t>
        </is>
      </c>
      <c r="I175" s="49" t="n">
        <v>45830</v>
      </c>
      <c r="J175" s="48" t="inlineStr">
        <is>
          <t>ADM-ACT-UNMAT</t>
        </is>
      </c>
      <c r="K175" s="48">
        <f>IFERROR(VLOOKUP(J175,'(A) Introduction'!$B$35:$C$45,2,FALSE),"")</f>
        <v/>
      </c>
      <c r="L175" s="48" t="inlineStr">
        <is>
          <t>No</t>
        </is>
      </c>
      <c r="M175" s="48" t="inlineStr"/>
      <c r="N175" s="48" t="inlineStr"/>
      <c r="O175" s="48" t="inlineStr">
        <is>
          <t>NA</t>
        </is>
      </c>
      <c r="P175" s="48">
        <f>IF($H175="Tutor",((BQ175&lt;&gt;"")*(BR175=""))+((BW175&lt;&gt;"")*(BX175=""))+((CC175&lt;&gt;"")*(CD175=""))+((CI175&lt;&gt;"")*(CJ175=""))+((CO175&lt;&gt;"")*(CP175="")),SUMPRODUCT(--($BO$3:$BO$202=$A175),--($BR$3:$BR$202=""))+SUMPRODUCT(--($BU$3:$BU$202=$A175),--($BX$3:$BX$202=""))+SUMPRODUCT(--($CA$3:$CA$202=$A175),--($CD$3:$CD$202=""))+SUMPRODUCT(--($CG$3:$CG$202=$A175),--($CJ$3:$CJ$202=""))+SUMPRODUCT(--($CM$3:$CM$202=$A175),--($CP$3:$CP$202="")))</f>
        <v/>
      </c>
      <c r="Q175" s="48">
        <f>IF($H175="Tutor",(BQ175&lt;&gt;"")+(BW175&lt;&gt;"")+(CC175&lt;&gt;"")+(CI175&lt;&gt;"")+(CO175&lt;&gt;""),SUMPRODUCT(--($BO$3:$BO$202=$A175))+SUMPRODUCT(--($BU$3:$BU$202=$A175))+SUMPRODUCT(--($CA$3:$CA$202=$A175))+SUMPRODUCT(--($CG$3:$CG$202=$A175))+SUMPRODUCT(--($CM$3:$CM$202=$A175)))</f>
        <v/>
      </c>
      <c r="R175" s="48">
        <f>IF($H175="Tutor",TRIM(IF(AND(BQ175&lt;&gt;"",BR175=""),BP175&amp;"; ","")&amp;IF(AND(BW175&lt;&gt;"",BX175=""),BV175&amp;"; ","")&amp;IF(AND(CC175&lt;&gt;"",CD175=""),CB175&amp;"; ","")&amp;IF(AND(CI175&lt;&gt;"",CJ175=""),CH175&amp;"; ","")&amp;IF(AND(CO175&lt;&gt;"",CP175=""),CN175&amp;"; ","")),IFERROR(INDEX($A$3:$B$202,(SUMPRODUCT(($BO$3:$BO$202=$A175)*($BR$3:$BR$202="")*ROW($BO$3:$BO$202))+SUMPRODUCT(($BU$3:$BU$202=$A175)*($BX$3:$BX$202="")*ROW($BU$3:$BU$202))+SUMPRODUCT(($CA$3:$CA$202=$A175)*($CD$3:$CD$202="")*ROW($CA$3:$CA$202))+SUMPRODUCT(($CG$3:$CG$202=$A175)*($CJ$3:$CJ$202="")*ROW($CG$3:$CG$202))+SUMPRODUCT(($CM$3:$CM$202=$A175)*($CP$3:$CP$202="")*ROW($CM$3:$CM$202)))-2,2),""))</f>
        <v/>
      </c>
      <c r="S175" s="48" t="inlineStr">
        <is>
          <t>Provided</t>
        </is>
      </c>
      <c r="T175" s="48" t="inlineStr"/>
      <c r="U175" s="48" t="inlineStr"/>
      <c r="V175" s="49" t="n">
        <v>45994</v>
      </c>
      <c r="W175" s="48" t="inlineStr">
        <is>
          <t>AEDT (UTC+11)</t>
        </is>
      </c>
      <c r="X175" s="48" t="inlineStr">
        <is>
          <t>3pm-6pm;</t>
        </is>
      </c>
      <c r="Y175" s="48" t="inlineStr">
        <is>
          <t>9am-12pm;</t>
        </is>
      </c>
      <c r="Z175" s="48" t="inlineStr">
        <is>
          <t>6pm-9pm;</t>
        </is>
      </c>
      <c r="AA175" s="48" t="inlineStr">
        <is>
          <t>NA;</t>
        </is>
      </c>
      <c r="AB175" s="48" t="inlineStr">
        <is>
          <t>6pm-9pm;</t>
        </is>
      </c>
      <c r="AC175" s="48" t="inlineStr">
        <is>
          <t>6pm-9pm;</t>
        </is>
      </c>
      <c r="AD175" s="48" t="inlineStr">
        <is>
          <t>9am-12pm;</t>
        </is>
      </c>
      <c r="AE175" s="48" t="inlineStr">
        <is>
          <t>Either</t>
        </is>
      </c>
      <c r="AF175" s="48" t="inlineStr">
        <is>
          <t>Multiple devices</t>
        </is>
      </c>
      <c r="AG175" s="48" t="inlineStr">
        <is>
          <t>Australia</t>
        </is>
      </c>
      <c r="AH175" s="48" t="inlineStr">
        <is>
          <t>New South Wales</t>
        </is>
      </c>
      <c r="AI175" s="48" t="inlineStr">
        <is>
          <t>Kogarah</t>
        </is>
      </c>
      <c r="AJ175" s="48" t="inlineStr">
        <is>
          <t>2217</t>
        </is>
      </c>
      <c r="AK175" s="49" t="n">
        <v>25677</v>
      </c>
      <c r="AL175" s="48" t="inlineStr">
        <is>
          <t>Male</t>
        </is>
      </c>
      <c r="AM175" s="48" t="inlineStr">
        <is>
          <t>Yes</t>
        </is>
      </c>
      <c r="AN175" s="48" t="inlineStr">
        <is>
          <t>A1</t>
        </is>
      </c>
      <c r="AO175" s="48" t="inlineStr">
        <is>
          <t>Low</t>
        </is>
      </c>
      <c r="AP175" s="48" t="inlineStr">
        <is>
          <t>Pakistan</t>
        </is>
      </c>
      <c r="AQ175" s="48" t="inlineStr">
        <is>
          <t>NA</t>
        </is>
      </c>
      <c r="AR175" s="48" t="inlineStr">
        <is>
          <t>Bengali (C1)</t>
        </is>
      </c>
      <c r="AS175" s="48" t="inlineStr">
        <is>
          <t>Muslim</t>
        </is>
      </c>
      <c r="AT175" s="48" t="inlineStr">
        <is>
          <t>Health &amp; Medicine</t>
        </is>
      </c>
      <c r="AU175" s="48" t="inlineStr">
        <is>
          <t>Cleaner</t>
        </is>
      </c>
      <c r="AV175" s="48" t="inlineStr">
        <is>
          <t>Counselling</t>
        </is>
      </c>
      <c r="AW175" s="48" t="inlineStr">
        <is>
          <t>Language learning; Self-development</t>
        </is>
      </c>
      <c r="AX175" s="48" t="inlineStr">
        <is>
          <t>Refugee</t>
        </is>
      </c>
      <c r="AY175" s="48" t="inlineStr">
        <is>
          <t>Yes</t>
        </is>
      </c>
      <c r="AZ175" s="48" t="inlineStr">
        <is>
          <t>No</t>
        </is>
      </c>
      <c r="BA175" s="48" t="inlineStr">
        <is>
          <t>NA</t>
        </is>
      </c>
      <c r="BB175" s="48" t="inlineStr">
        <is>
          <t>NA</t>
        </is>
      </c>
      <c r="BC175" s="48" t="inlineStr">
        <is>
          <t>NA</t>
        </is>
      </c>
      <c r="BD175" s="48" t="inlineStr">
        <is>
          <t>NA</t>
        </is>
      </c>
      <c r="BE175" s="48" t="inlineStr"/>
      <c r="BF175" s="48" t="inlineStr"/>
      <c r="BG175" s="48" t="inlineStr">
        <is>
          <t>NA</t>
        </is>
      </c>
      <c r="BH175" s="48" t="inlineStr">
        <is>
          <t>NA - Student</t>
        </is>
      </c>
      <c r="BI175" s="48" t="inlineStr">
        <is>
          <t>Asylum Seeker Resource Centre</t>
        </is>
      </c>
      <c r="BJ175" s="48" t="inlineStr">
        <is>
          <t>SHANAHAN Jack</t>
        </is>
      </c>
      <c r="BK175" s="48" t="inlineStr">
        <is>
          <t>THET Moh Moh</t>
        </is>
      </c>
      <c r="BL175" s="48" t="inlineStr">
        <is>
          <t>Synthetic test record.</t>
        </is>
      </c>
      <c r="BM175" s="48" t="inlineStr"/>
      <c r="BN175" s="48">
        <f>TRIM(IF(AND($H175="Student",$J175="ADM-ACT-MAT-CNE"),"Invalid: Student cannot be CNE. ","")&amp;IF(AND($H175="Student",ISNUMBER($O175)),"Check: capacity set for a Student. ","")&amp;IF(AND(LEFT($J175,11)="ADM-ACT-MAT",$P175=0),"Check: matched status but 0 active pairings. ","")&amp;IF(AND($H175="Tutor",ISNUMBER($O175),$P175&gt;$O175),"Check: pairings exceed capacity. ","")&amp;IF(AND($BH175="Everyone",NOT(AND($BD175="Yes",$BG175="Yes"))),"Check: approved to tutor children but WWCC not provided/confirmed. ","")&amp;IF(AND($P175&gt;0,NOT(AND(OR(LEFT($AY175,3)="Yes",LEFT($AY175,2)="NA"),OR(LEFT($AZ175,3)="Yes",LEFT($AZ175,2)="NA")))),"Matched but vetting incomplete (interview/reference). ","")&amp;IF(COUNTIF($B$3:$B$600,$B175)&gt;1,"Duplicate participant name. ",""))</f>
        <v/>
      </c>
      <c r="BO175" s="48" t="inlineStr"/>
      <c r="BP175" s="48" t="inlineStr"/>
      <c r="BQ175" s="48" t="inlineStr"/>
      <c r="BR175" s="48" t="inlineStr"/>
      <c r="BS175" s="48" t="inlineStr"/>
      <c r="BT175" s="48" t="inlineStr"/>
      <c r="BU175" s="48" t="inlineStr"/>
      <c r="BV175" s="48" t="inlineStr"/>
      <c r="BW175" s="48" t="inlineStr"/>
      <c r="BX175" s="48" t="inlineStr"/>
      <c r="BY175" s="48" t="inlineStr"/>
      <c r="BZ175" s="48" t="inlineStr"/>
      <c r="CA175" s="48" t="inlineStr"/>
      <c r="CB175" s="48" t="inlineStr"/>
      <c r="CC175" s="48" t="inlineStr"/>
      <c r="CD175" s="48" t="inlineStr"/>
      <c r="CE175" s="48" t="inlineStr"/>
      <c r="CF175" s="48" t="inlineStr"/>
      <c r="CG175" s="48" t="inlineStr"/>
      <c r="CH175" s="48" t="inlineStr"/>
      <c r="CI175" s="48" t="inlineStr"/>
      <c r="CJ175" s="48" t="inlineStr"/>
      <c r="CK175" s="48" t="inlineStr"/>
      <c r="CL175" s="48" t="inlineStr"/>
      <c r="CM175" s="48" t="inlineStr"/>
      <c r="CN175" s="48" t="inlineStr"/>
      <c r="CO175" s="48" t="inlineStr"/>
      <c r="CP175" s="48" t="inlineStr"/>
      <c r="CQ175" s="48" t="inlineStr"/>
      <c r="CR175" s="48" t="inlineStr"/>
      <c r="CS175" s="48">
        <f>IF(LEFT($J175,3)="ERR",0,1)</f>
        <v/>
      </c>
      <c r="CT175" s="48">
        <f>IF(LEFT($J175,3)="ADM",1,0)</f>
        <v/>
      </c>
      <c r="CU175" s="48">
        <f>IF(OR($J175="ADM-ACT-MAT-CNE",$J175="ADM-ACT-MAT-CE",$J175="ADM-INACT-M&amp;T"),1,0)</f>
        <v/>
      </c>
      <c r="CV175" s="48">
        <f>IF(AND(CU175=1,ISNUMBER(M175),ISNUMBER(I175)),M175-I175,"")</f>
        <v/>
      </c>
      <c r="CW175" s="48">
        <f>IF(ISNUMBER(I175),TODAY()-I175,"")</f>
        <v/>
      </c>
      <c r="CX175" s="48">
        <f>IF(ISNUMBER(I175),DATE(YEAR(I175),MONTH(I175),1),"")</f>
        <v/>
      </c>
      <c r="CY175" s="48">
        <f>IFERROR(DATEDIF(AK175,TODAY(),"y"),"")</f>
        <v/>
      </c>
      <c r="CZ175" s="48">
        <f>IF(CY175="","",IF(CY175&lt;28,"18-27",IF(CY175&lt;38,"28-37",IF(CY175&lt;48,"38-47",IF(CY175&lt;58,"48-57",IF(CY175&lt;68,"58-67",IF(CY175&lt;78,"68-77","78+")))))) </f>
        <v/>
      </c>
      <c r="DA175" s="48">
        <f>IF(AND(BQ175&lt;&gt;"",BR175=""),N(BS175),0)+IF(AND(BW175&lt;&gt;"",BX175=""),N(BY175),0)+IF(AND(CC175&lt;&gt;"",CD175=""),N(CE175),0)+IF(AND(CI175&lt;&gt;"",CJ175=""),N(CK175),0)+IF(AND(CO175&lt;&gt;"",CP175=""),N(CQ175),0)</f>
        <v/>
      </c>
      <c r="DB175" s="48">
        <f>ROUND(IF(BQ175&lt;&gt;"",N(BS175)*MAX(0,((IF(BR175="",TODAY(),BR175))-BQ175)/7),0)+IF(BW175&lt;&gt;"",N(BY175)*MAX(0,((IF(BX175="",TODAY(),BX175))-BW175)/7),0)+IF(CC175&lt;&gt;"",N(CE175)*MAX(0,((IF(CD175="",TODAY(),CD175))-CC175)/7),0)+IF(CI175&lt;&gt;"",N(CK175)*MAX(0,((IF(CJ175="",TODAY(),CJ175))-CI175)/7),0)+IF(CO175&lt;&gt;"",N(CQ175)*MAX(0,((IF(CP175="",TODAY(),CP175))-CO175)/7),0),1)</f>
        <v/>
      </c>
      <c r="DC175" s="48">
        <f>IF(OR(TRIM(X175)="",TRIM(X175)="NA;",TRIM(X175)="NA"),0,1)</f>
        <v/>
      </c>
      <c r="DD175" s="48">
        <f>IF(OR(TRIM(Y175)="",TRIM(Y175)="NA;",TRIM(Y175)="NA"),0,1)</f>
        <v/>
      </c>
      <c r="DE175" s="48">
        <f>IF(OR(TRIM(Z175)="",TRIM(Z175)="NA;",TRIM(Z175)="NA"),0,1)</f>
        <v/>
      </c>
      <c r="DF175" s="48">
        <f>IF(OR(TRIM(AA175)="",TRIM(AA175)="NA;",TRIM(AA175)="NA"),0,1)</f>
        <v/>
      </c>
      <c r="DG175" s="48">
        <f>IF(OR(TRIM(AB175)="",TRIM(AB175)="NA;",TRIM(AB175)="NA"),0,1)</f>
        <v/>
      </c>
      <c r="DH175" s="48">
        <f>IF(OR(TRIM(AC175)="",TRIM(AC175)="NA;",TRIM(AC175)="NA"),0,1)</f>
        <v/>
      </c>
      <c r="DI175" s="48">
        <f>IF(OR(TRIM(AD175)="",TRIM(AD175)="NA;",TRIM(AD175)="NA"),0,1)</f>
        <v/>
      </c>
      <c r="DJ175" s="48">
        <f>TRIM(IF(DC175=1,"Mon ","")&amp;IF(DD175=1,"Tue ","")&amp;IF(DE175=1,"Wed ","")&amp;IF(DF175=1,"Thu ","")&amp;IF(DG175=1,"Fri ","")&amp;IF(DH175=1,"Sat ","")&amp;IF(DI175=1,"Sun ",""))</f>
        <v/>
      </c>
    </row>
    <row r="176">
      <c r="A176" s="48" t="inlineStr">
        <is>
          <t>S-N-00024</t>
        </is>
      </c>
      <c r="B176" s="48" t="inlineStr">
        <is>
          <t>Tom Mosquera</t>
        </is>
      </c>
      <c r="C176" s="48" t="inlineStr">
        <is>
          <t>tom.mosquera74@example.com</t>
        </is>
      </c>
      <c r="D176" s="48" t="inlineStr">
        <is>
          <t>+61 446 179 663</t>
        </is>
      </c>
      <c r="E176" s="48" t="inlineStr">
        <is>
          <t>Viktor Hall</t>
        </is>
      </c>
      <c r="F176" s="48" t="inlineStr">
        <is>
          <t>+61 486 845 545</t>
        </is>
      </c>
      <c r="G176" s="48" t="inlineStr">
        <is>
          <t>Sibling</t>
        </is>
      </c>
      <c r="H176" s="48" t="inlineStr">
        <is>
          <t>Student</t>
        </is>
      </c>
      <c r="I176" s="49" t="n">
        <v>45832</v>
      </c>
      <c r="J176" s="48" t="inlineStr">
        <is>
          <t>NADM-REJ-UNRES</t>
        </is>
      </c>
      <c r="K176" s="48">
        <f>IFERROR(VLOOKUP(J176,'(A) Introduction'!$B$35:$C$45,2,FALSE),"")</f>
        <v/>
      </c>
      <c r="L176" s="48" t="inlineStr">
        <is>
          <t>No</t>
        </is>
      </c>
      <c r="M176" s="48" t="inlineStr"/>
      <c r="N176" s="48" t="inlineStr"/>
      <c r="O176" s="48" t="inlineStr">
        <is>
          <t>NA</t>
        </is>
      </c>
      <c r="P176" s="48">
        <f>IF($H176="Tutor",((BQ176&lt;&gt;"")*(BR176=""))+((BW176&lt;&gt;"")*(BX176=""))+((CC176&lt;&gt;"")*(CD176=""))+((CI176&lt;&gt;"")*(CJ176=""))+((CO176&lt;&gt;"")*(CP176="")),SUMPRODUCT(--($BO$3:$BO$202=$A176),--($BR$3:$BR$202=""))+SUMPRODUCT(--($BU$3:$BU$202=$A176),--($BX$3:$BX$202=""))+SUMPRODUCT(--($CA$3:$CA$202=$A176),--($CD$3:$CD$202=""))+SUMPRODUCT(--($CG$3:$CG$202=$A176),--($CJ$3:$CJ$202=""))+SUMPRODUCT(--($CM$3:$CM$202=$A176),--($CP$3:$CP$202="")))</f>
        <v/>
      </c>
      <c r="Q176" s="48">
        <f>IF($H176="Tutor",(BQ176&lt;&gt;"")+(BW176&lt;&gt;"")+(CC176&lt;&gt;"")+(CI176&lt;&gt;"")+(CO176&lt;&gt;""),SUMPRODUCT(--($BO$3:$BO$202=$A176))+SUMPRODUCT(--($BU$3:$BU$202=$A176))+SUMPRODUCT(--($CA$3:$CA$202=$A176))+SUMPRODUCT(--($CG$3:$CG$202=$A176))+SUMPRODUCT(--($CM$3:$CM$202=$A176)))</f>
        <v/>
      </c>
      <c r="R176" s="48">
        <f>IF($H176="Tutor",TRIM(IF(AND(BQ176&lt;&gt;"",BR176=""),BP176&amp;"; ","")&amp;IF(AND(BW176&lt;&gt;"",BX176=""),BV176&amp;"; ","")&amp;IF(AND(CC176&lt;&gt;"",CD176=""),CB176&amp;"; ","")&amp;IF(AND(CI176&lt;&gt;"",CJ176=""),CH176&amp;"; ","")&amp;IF(AND(CO176&lt;&gt;"",CP176=""),CN176&amp;"; ","")),IFERROR(INDEX($A$3:$B$202,(SUMPRODUCT(($BO$3:$BO$202=$A176)*($BR$3:$BR$202="")*ROW($BO$3:$BO$202))+SUMPRODUCT(($BU$3:$BU$202=$A176)*($BX$3:$BX$202="")*ROW($BU$3:$BU$202))+SUMPRODUCT(($CA$3:$CA$202=$A176)*($CD$3:$CD$202="")*ROW($CA$3:$CA$202))+SUMPRODUCT(($CG$3:$CG$202=$A176)*($CJ$3:$CJ$202="")*ROW($CG$3:$CG$202))+SUMPRODUCT(($CM$3:$CM$202=$A176)*($CP$3:$CP$202="")*ROW($CM$3:$CM$202)))-2,2),""))</f>
        <v/>
      </c>
      <c r="S176" s="48" t="inlineStr">
        <is>
          <t>NA</t>
        </is>
      </c>
      <c r="T176" s="48" t="inlineStr"/>
      <c r="U176" s="48" t="inlineStr"/>
      <c r="V176" s="48" t="inlineStr"/>
      <c r="W176" s="48" t="inlineStr">
        <is>
          <t>AEST (UTC+10)</t>
        </is>
      </c>
      <c r="X176" s="48" t="inlineStr">
        <is>
          <t>9am-12pm;12pm-3pm;3pm-6pm;</t>
        </is>
      </c>
      <c r="Y176" s="48" t="inlineStr">
        <is>
          <t>12pm-3pm;</t>
        </is>
      </c>
      <c r="Z176" s="48" t="inlineStr">
        <is>
          <t>9am-12pm;</t>
        </is>
      </c>
      <c r="AA176" s="48" t="inlineStr">
        <is>
          <t>6am-9am;9am-12pm;</t>
        </is>
      </c>
      <c r="AB176" s="48" t="inlineStr">
        <is>
          <t>12pm-3pm;</t>
        </is>
      </c>
      <c r="AC176" s="48" t="inlineStr">
        <is>
          <t>9am-12pm;12pm-3pm;3pm-6pm;</t>
        </is>
      </c>
      <c r="AD176" s="48" t="inlineStr">
        <is>
          <t>6pm-9pm;</t>
        </is>
      </c>
      <c r="AE176" s="48" t="inlineStr">
        <is>
          <t>Either</t>
        </is>
      </c>
      <c r="AF176" s="48" t="inlineStr">
        <is>
          <t>Multiple devices</t>
        </is>
      </c>
      <c r="AG176" s="48" t="inlineStr">
        <is>
          <t>Australia</t>
        </is>
      </c>
      <c r="AH176" s="48" t="inlineStr">
        <is>
          <t>New South Wales</t>
        </is>
      </c>
      <c r="AI176" s="48" t="inlineStr">
        <is>
          <t>Liverpool</t>
        </is>
      </c>
      <c r="AJ176" s="48" t="inlineStr">
        <is>
          <t>2170</t>
        </is>
      </c>
      <c r="AK176" s="49" t="n">
        <v>34728</v>
      </c>
      <c r="AL176" s="48" t="inlineStr">
        <is>
          <t>Other</t>
        </is>
      </c>
      <c r="AM176" s="48" t="inlineStr">
        <is>
          <t>No</t>
        </is>
      </c>
      <c r="AN176" s="48" t="inlineStr">
        <is>
          <t>A2</t>
        </is>
      </c>
      <c r="AO176" s="48" t="inlineStr">
        <is>
          <t>High</t>
        </is>
      </c>
      <c r="AP176" s="48" t="inlineStr">
        <is>
          <t>Palestine</t>
        </is>
      </c>
      <c r="AQ176" s="48" t="inlineStr">
        <is>
          <t>NA</t>
        </is>
      </c>
      <c r="AR176" s="48" t="inlineStr">
        <is>
          <t>Somali (C1)</t>
        </is>
      </c>
      <c r="AS176" s="48" t="inlineStr">
        <is>
          <t>Hindu</t>
        </is>
      </c>
      <c r="AT176" s="48" t="inlineStr">
        <is>
          <t>Health &amp; Medicine</t>
        </is>
      </c>
      <c r="AU176" s="48" t="inlineStr">
        <is>
          <t>Engineer</t>
        </is>
      </c>
      <c r="AV176" s="48" t="inlineStr">
        <is>
          <t>Engineering</t>
        </is>
      </c>
      <c r="AW176" s="48" t="inlineStr">
        <is>
          <t>Language learning; Self-development</t>
        </is>
      </c>
      <c r="AX176" s="48" t="inlineStr">
        <is>
          <t>Asylum Seeker</t>
        </is>
      </c>
      <c r="AY176" s="48" t="inlineStr">
        <is>
          <t>NA - RELT Member Verified</t>
        </is>
      </c>
      <c r="AZ176" s="48" t="inlineStr">
        <is>
          <t>NA - Partner Organisation Verified</t>
        </is>
      </c>
      <c r="BA176" s="48" t="inlineStr">
        <is>
          <t>NA</t>
        </is>
      </c>
      <c r="BB176" s="48" t="inlineStr">
        <is>
          <t>NA</t>
        </is>
      </c>
      <c r="BC176" s="48" t="inlineStr">
        <is>
          <t>NA</t>
        </is>
      </c>
      <c r="BD176" s="48" t="inlineStr">
        <is>
          <t>NA</t>
        </is>
      </c>
      <c r="BE176" s="48" t="inlineStr"/>
      <c r="BF176" s="48" t="inlineStr"/>
      <c r="BG176" s="48" t="inlineStr">
        <is>
          <t>NA</t>
        </is>
      </c>
      <c r="BH176" s="48" t="inlineStr">
        <is>
          <t>NA - Student</t>
        </is>
      </c>
      <c r="BI176" s="48" t="inlineStr">
        <is>
          <t>University of Sydney (including St. Paul's College)</t>
        </is>
      </c>
      <c r="BJ176" s="48" t="inlineStr">
        <is>
          <t>SHANAHAN Jack</t>
        </is>
      </c>
      <c r="BK176" s="48" t="inlineStr">
        <is>
          <t>CROCK Mary</t>
        </is>
      </c>
      <c r="BL176" s="48" t="inlineStr">
        <is>
          <t>Synthetic test record.</t>
        </is>
      </c>
      <c r="BM176" s="48" t="inlineStr"/>
      <c r="BN176" s="48">
        <f>TRIM(IF(AND($H176="Student",$J176="ADM-ACT-MAT-CNE"),"Invalid: Student cannot be CNE. ","")&amp;IF(AND($H176="Student",ISNUMBER($O176)),"Check: capacity set for a Student. ","")&amp;IF(AND(LEFT($J176,11)="ADM-ACT-MAT",$P176=0),"Check: matched status but 0 active pairings. ","")&amp;IF(AND($H176="Tutor",ISNUMBER($O176),$P176&gt;$O176),"Check: pairings exceed capacity. ","")&amp;IF(AND($BH176="Everyone",NOT(AND($BD176="Yes",$BG176="Yes"))),"Check: approved to tutor children but WWCC not provided/confirmed. ","")&amp;IF(AND($P176&gt;0,NOT(AND(OR(LEFT($AY176,3)="Yes",LEFT($AY176,2)="NA"),OR(LEFT($AZ176,3)="Yes",LEFT($AZ176,2)="NA")))),"Matched but vetting incomplete (interview/reference). ","")&amp;IF(COUNTIF($B$3:$B$600,$B176)&gt;1,"Duplicate participant name. ",""))</f>
        <v/>
      </c>
      <c r="BO176" s="48" t="inlineStr"/>
      <c r="BP176" s="48" t="inlineStr"/>
      <c r="BQ176" s="48" t="inlineStr"/>
      <c r="BR176" s="48" t="inlineStr"/>
      <c r="BS176" s="48" t="inlineStr"/>
      <c r="BT176" s="48" t="inlineStr"/>
      <c r="BU176" s="48" t="inlineStr"/>
      <c r="BV176" s="48" t="inlineStr"/>
      <c r="BW176" s="48" t="inlineStr"/>
      <c r="BX176" s="48" t="inlineStr"/>
      <c r="BY176" s="48" t="inlineStr"/>
      <c r="BZ176" s="48" t="inlineStr"/>
      <c r="CA176" s="48" t="inlineStr"/>
      <c r="CB176" s="48" t="inlineStr"/>
      <c r="CC176" s="48" t="inlineStr"/>
      <c r="CD176" s="48" t="inlineStr"/>
      <c r="CE176" s="48" t="inlineStr"/>
      <c r="CF176" s="48" t="inlineStr"/>
      <c r="CG176" s="48" t="inlineStr"/>
      <c r="CH176" s="48" t="inlineStr"/>
      <c r="CI176" s="48" t="inlineStr"/>
      <c r="CJ176" s="48" t="inlineStr"/>
      <c r="CK176" s="48" t="inlineStr"/>
      <c r="CL176" s="48" t="inlineStr"/>
      <c r="CM176" s="48" t="inlineStr"/>
      <c r="CN176" s="48" t="inlineStr"/>
      <c r="CO176" s="48" t="inlineStr"/>
      <c r="CP176" s="48" t="inlineStr"/>
      <c r="CQ176" s="48" t="inlineStr"/>
      <c r="CR176" s="48" t="inlineStr"/>
      <c r="CS176" s="48">
        <f>IF(LEFT($J176,3)="ERR",0,1)</f>
        <v/>
      </c>
      <c r="CT176" s="48">
        <f>IF(LEFT($J176,3)="ADM",1,0)</f>
        <v/>
      </c>
      <c r="CU176" s="48">
        <f>IF(OR($J176="ADM-ACT-MAT-CNE",$J176="ADM-ACT-MAT-CE",$J176="ADM-INACT-M&amp;T"),1,0)</f>
        <v/>
      </c>
      <c r="CV176" s="48">
        <f>IF(AND(CU176=1,ISNUMBER(M176),ISNUMBER(I176)),M176-I176,"")</f>
        <v/>
      </c>
      <c r="CW176" s="48">
        <f>IF(ISNUMBER(I176),TODAY()-I176,"")</f>
        <v/>
      </c>
      <c r="CX176" s="48">
        <f>IF(ISNUMBER(I176),DATE(YEAR(I176),MONTH(I176),1),"")</f>
        <v/>
      </c>
      <c r="CY176" s="48">
        <f>IFERROR(DATEDIF(AK176,TODAY(),"y"),"")</f>
        <v/>
      </c>
      <c r="CZ176" s="48">
        <f>IF(CY176="","",IF(CY176&lt;28,"18-27",IF(CY176&lt;38,"28-37",IF(CY176&lt;48,"38-47",IF(CY176&lt;58,"48-57",IF(CY176&lt;68,"58-67",IF(CY176&lt;78,"68-77","78+")))))) </f>
        <v/>
      </c>
      <c r="DA176" s="48">
        <f>IF(AND(BQ176&lt;&gt;"",BR176=""),N(BS176),0)+IF(AND(BW176&lt;&gt;"",BX176=""),N(BY176),0)+IF(AND(CC176&lt;&gt;"",CD176=""),N(CE176),0)+IF(AND(CI176&lt;&gt;"",CJ176=""),N(CK176),0)+IF(AND(CO176&lt;&gt;"",CP176=""),N(CQ176),0)</f>
        <v/>
      </c>
      <c r="DB176" s="48">
        <f>ROUND(IF(BQ176&lt;&gt;"",N(BS176)*MAX(0,((IF(BR176="",TODAY(),BR176))-BQ176)/7),0)+IF(BW176&lt;&gt;"",N(BY176)*MAX(0,((IF(BX176="",TODAY(),BX176))-BW176)/7),0)+IF(CC176&lt;&gt;"",N(CE176)*MAX(0,((IF(CD176="",TODAY(),CD176))-CC176)/7),0)+IF(CI176&lt;&gt;"",N(CK176)*MAX(0,((IF(CJ176="",TODAY(),CJ176))-CI176)/7),0)+IF(CO176&lt;&gt;"",N(CQ176)*MAX(0,((IF(CP176="",TODAY(),CP176))-CO176)/7),0),1)</f>
        <v/>
      </c>
      <c r="DC176" s="48">
        <f>IF(OR(TRIM(X176)="",TRIM(X176)="NA;",TRIM(X176)="NA"),0,1)</f>
        <v/>
      </c>
      <c r="DD176" s="48">
        <f>IF(OR(TRIM(Y176)="",TRIM(Y176)="NA;",TRIM(Y176)="NA"),0,1)</f>
        <v/>
      </c>
      <c r="DE176" s="48">
        <f>IF(OR(TRIM(Z176)="",TRIM(Z176)="NA;",TRIM(Z176)="NA"),0,1)</f>
        <v/>
      </c>
      <c r="DF176" s="48">
        <f>IF(OR(TRIM(AA176)="",TRIM(AA176)="NA;",TRIM(AA176)="NA"),0,1)</f>
        <v/>
      </c>
      <c r="DG176" s="48">
        <f>IF(OR(TRIM(AB176)="",TRIM(AB176)="NA;",TRIM(AB176)="NA"),0,1)</f>
        <v/>
      </c>
      <c r="DH176" s="48">
        <f>IF(OR(TRIM(AC176)="",TRIM(AC176)="NA;",TRIM(AC176)="NA"),0,1)</f>
        <v/>
      </c>
      <c r="DI176" s="48">
        <f>IF(OR(TRIM(AD176)="",TRIM(AD176)="NA;",TRIM(AD176)="NA"),0,1)</f>
        <v/>
      </c>
      <c r="DJ176" s="48">
        <f>TRIM(IF(DC176=1,"Mon ","")&amp;IF(DD176=1,"Tue ","")&amp;IF(DE176=1,"Wed ","")&amp;IF(DF176=1,"Thu ","")&amp;IF(DG176=1,"Fri ","")&amp;IF(DH176=1,"Sat ","")&amp;IF(DI176=1,"Sun ",""))</f>
        <v/>
      </c>
    </row>
    <row r="177">
      <c r="A177" s="48" t="inlineStr">
        <is>
          <t>S-N-00025</t>
        </is>
      </c>
      <c r="B177" s="48" t="inlineStr">
        <is>
          <t>Bilal Baker</t>
        </is>
      </c>
      <c r="C177" s="48" t="inlineStr">
        <is>
          <t>bilal.baker75@example.com</t>
        </is>
      </c>
      <c r="D177" s="48" t="inlineStr">
        <is>
          <t>+61 486 968 709</t>
        </is>
      </c>
      <c r="E177" s="48" t="inlineStr">
        <is>
          <t>Elena Hassan</t>
        </is>
      </c>
      <c r="F177" s="48" t="inlineStr">
        <is>
          <t>+61 402 892 821</t>
        </is>
      </c>
      <c r="G177" s="48" t="inlineStr">
        <is>
          <t>Parent</t>
        </is>
      </c>
      <c r="H177" s="48" t="inlineStr">
        <is>
          <t>Student</t>
        </is>
      </c>
      <c r="I177" s="49" t="n">
        <v>45851</v>
      </c>
      <c r="J177" s="48" t="inlineStr">
        <is>
          <t>ADM-ACT-UNMAT</t>
        </is>
      </c>
      <c r="K177" s="48">
        <f>IFERROR(VLOOKUP(J177,'(A) Introduction'!$B$35:$C$45,2,FALSE),"")</f>
        <v/>
      </c>
      <c r="L177" s="48" t="inlineStr">
        <is>
          <t>No</t>
        </is>
      </c>
      <c r="M177" s="48" t="inlineStr"/>
      <c r="N177" s="48" t="inlineStr"/>
      <c r="O177" s="48" t="inlineStr">
        <is>
          <t>NA</t>
        </is>
      </c>
      <c r="P177" s="48">
        <f>IF($H177="Tutor",((BQ177&lt;&gt;"")*(BR177=""))+((BW177&lt;&gt;"")*(BX177=""))+((CC177&lt;&gt;"")*(CD177=""))+((CI177&lt;&gt;"")*(CJ177=""))+((CO177&lt;&gt;"")*(CP177="")),SUMPRODUCT(--($BO$3:$BO$202=$A177),--($BR$3:$BR$202=""))+SUMPRODUCT(--($BU$3:$BU$202=$A177),--($BX$3:$BX$202=""))+SUMPRODUCT(--($CA$3:$CA$202=$A177),--($CD$3:$CD$202=""))+SUMPRODUCT(--($CG$3:$CG$202=$A177),--($CJ$3:$CJ$202=""))+SUMPRODUCT(--($CM$3:$CM$202=$A177),--($CP$3:$CP$202="")))</f>
        <v/>
      </c>
      <c r="Q177" s="48">
        <f>IF($H177="Tutor",(BQ177&lt;&gt;"")+(BW177&lt;&gt;"")+(CC177&lt;&gt;"")+(CI177&lt;&gt;"")+(CO177&lt;&gt;""),SUMPRODUCT(--($BO$3:$BO$202=$A177))+SUMPRODUCT(--($BU$3:$BU$202=$A177))+SUMPRODUCT(--($CA$3:$CA$202=$A177))+SUMPRODUCT(--($CG$3:$CG$202=$A177))+SUMPRODUCT(--($CM$3:$CM$202=$A177)))</f>
        <v/>
      </c>
      <c r="R177" s="48">
        <f>IF($H177="Tutor",TRIM(IF(AND(BQ177&lt;&gt;"",BR177=""),BP177&amp;"; ","")&amp;IF(AND(BW177&lt;&gt;"",BX177=""),BV177&amp;"; ","")&amp;IF(AND(CC177&lt;&gt;"",CD177=""),CB177&amp;"; ","")&amp;IF(AND(CI177&lt;&gt;"",CJ177=""),CH177&amp;"; ","")&amp;IF(AND(CO177&lt;&gt;"",CP177=""),CN177&amp;"; ","")),IFERROR(INDEX($A$3:$B$202,(SUMPRODUCT(($BO$3:$BO$202=$A177)*($BR$3:$BR$202="")*ROW($BO$3:$BO$202))+SUMPRODUCT(($BU$3:$BU$202=$A177)*($BX$3:$BX$202="")*ROW($BU$3:$BU$202))+SUMPRODUCT(($CA$3:$CA$202=$A177)*($CD$3:$CD$202="")*ROW($CA$3:$CA$202))+SUMPRODUCT(($CG$3:$CG$202=$A177)*($CJ$3:$CJ$202="")*ROW($CG$3:$CG$202))+SUMPRODUCT(($CM$3:$CM$202=$A177)*($CP$3:$CP$202="")*ROW($CM$3:$CM$202)))-2,2),""))</f>
        <v/>
      </c>
      <c r="S177" s="48" t="inlineStr">
        <is>
          <t>Provided</t>
        </is>
      </c>
      <c r="T177" s="48" t="inlineStr"/>
      <c r="U177" s="48" t="inlineStr"/>
      <c r="V177" s="49" t="n">
        <v>46147</v>
      </c>
      <c r="W177" s="48" t="inlineStr">
        <is>
          <t>AEDT (UTC+11)</t>
        </is>
      </c>
      <c r="X177" s="48" t="inlineStr">
        <is>
          <t>6pm-9pm;</t>
        </is>
      </c>
      <c r="Y177" s="48" t="inlineStr">
        <is>
          <t>6pm-9pm;</t>
        </is>
      </c>
      <c r="Z177" s="48" t="inlineStr">
        <is>
          <t>12pm-3pm;6pm-9pm;</t>
        </is>
      </c>
      <c r="AA177" s="48" t="inlineStr">
        <is>
          <t>9am-12pm;</t>
        </is>
      </c>
      <c r="AB177" s="48" t="inlineStr">
        <is>
          <t>3pm-6pm;</t>
        </is>
      </c>
      <c r="AC177" s="48" t="inlineStr">
        <is>
          <t>6pm-9pm;</t>
        </is>
      </c>
      <c r="AD177" s="48" t="inlineStr">
        <is>
          <t>6pm-9pm;</t>
        </is>
      </c>
      <c r="AE177" s="48" t="inlineStr">
        <is>
          <t>Online</t>
        </is>
      </c>
      <c r="AF177" s="48" t="inlineStr">
        <is>
          <t>Tablet</t>
        </is>
      </c>
      <c r="AG177" s="48" t="inlineStr">
        <is>
          <t>Australia</t>
        </is>
      </c>
      <c r="AH177" s="48" t="inlineStr">
        <is>
          <t>New South Wales</t>
        </is>
      </c>
      <c r="AI177" s="48" t="inlineStr">
        <is>
          <t>Liverpool</t>
        </is>
      </c>
      <c r="AJ177" s="48" t="inlineStr">
        <is>
          <t>2170</t>
        </is>
      </c>
      <c r="AK177" s="49" t="n">
        <v>24482</v>
      </c>
      <c r="AL177" s="48" t="inlineStr">
        <is>
          <t>Other</t>
        </is>
      </c>
      <c r="AM177" s="48" t="inlineStr">
        <is>
          <t>No</t>
        </is>
      </c>
      <c r="AN177" s="48" t="inlineStr">
        <is>
          <t>B2</t>
        </is>
      </c>
      <c r="AO177" s="48" t="inlineStr">
        <is>
          <t>Moderate</t>
        </is>
      </c>
      <c r="AP177" s="48" t="inlineStr">
        <is>
          <t>South Sudan</t>
        </is>
      </c>
      <c r="AQ177" s="48" t="inlineStr">
        <is>
          <t>NA</t>
        </is>
      </c>
      <c r="AR177" s="48" t="inlineStr">
        <is>
          <t>Arabic (C1)</t>
        </is>
      </c>
      <c r="AS177" s="48" t="inlineStr">
        <is>
          <t>None</t>
        </is>
      </c>
      <c r="AT177" s="48" t="inlineStr">
        <is>
          <t>Labour, Administrative &amp; Clerical</t>
        </is>
      </c>
      <c r="AU177" s="48" t="inlineStr">
        <is>
          <t>Retail</t>
        </is>
      </c>
      <c r="AV177" s="48" t="inlineStr">
        <is>
          <t>Teacher</t>
        </is>
      </c>
      <c r="AW177" s="48" t="inlineStr">
        <is>
          <t>Art; Photography; Travel</t>
        </is>
      </c>
      <c r="AX177" s="48" t="inlineStr">
        <is>
          <t>Asylum Seeker</t>
        </is>
      </c>
      <c r="AY177" s="48" t="inlineStr">
        <is>
          <t>NA - RELT Member Verified</t>
        </is>
      </c>
      <c r="AZ177" s="48" t="inlineStr">
        <is>
          <t>NA - Partner Organisation Verified</t>
        </is>
      </c>
      <c r="BA177" s="48" t="inlineStr">
        <is>
          <t>NA</t>
        </is>
      </c>
      <c r="BB177" s="48" t="inlineStr">
        <is>
          <t>NA</t>
        </is>
      </c>
      <c r="BC177" s="48" t="inlineStr">
        <is>
          <t>NA</t>
        </is>
      </c>
      <c r="BD177" s="48" t="inlineStr">
        <is>
          <t>NA</t>
        </is>
      </c>
      <c r="BE177" s="48" t="inlineStr"/>
      <c r="BF177" s="48" t="inlineStr"/>
      <c r="BG177" s="48" t="inlineStr">
        <is>
          <t>NA</t>
        </is>
      </c>
      <c r="BH177" s="48" t="inlineStr">
        <is>
          <t>NA - Student</t>
        </is>
      </c>
      <c r="BI177" s="48" t="inlineStr">
        <is>
          <t>Tasmania University (including the Law Society)</t>
        </is>
      </c>
      <c r="BJ177" s="48" t="inlineStr">
        <is>
          <t>AGARWAL Akanksha</t>
        </is>
      </c>
      <c r="BK177" s="48" t="inlineStr">
        <is>
          <t>KNIJNIK Marina</t>
        </is>
      </c>
      <c r="BL177" s="48" t="inlineStr">
        <is>
          <t>Synthetic test record.</t>
        </is>
      </c>
      <c r="BM177" s="48" t="inlineStr"/>
      <c r="BN177" s="48">
        <f>TRIM(IF(AND($H177="Student",$J177="ADM-ACT-MAT-CNE"),"Invalid: Student cannot be CNE. ","")&amp;IF(AND($H177="Student",ISNUMBER($O177)),"Check: capacity set for a Student. ","")&amp;IF(AND(LEFT($J177,11)="ADM-ACT-MAT",$P177=0),"Check: matched status but 0 active pairings. ","")&amp;IF(AND($H177="Tutor",ISNUMBER($O177),$P177&gt;$O177),"Check: pairings exceed capacity. ","")&amp;IF(AND($BH177="Everyone",NOT(AND($BD177="Yes",$BG177="Yes"))),"Check: approved to tutor children but WWCC not provided/confirmed. ","")&amp;IF(AND($P177&gt;0,NOT(AND(OR(LEFT($AY177,3)="Yes",LEFT($AY177,2)="NA"),OR(LEFT($AZ177,3)="Yes",LEFT($AZ177,2)="NA")))),"Matched but vetting incomplete (interview/reference). ","")&amp;IF(COUNTIF($B$3:$B$600,$B177)&gt;1,"Duplicate participant name. ",""))</f>
        <v/>
      </c>
      <c r="BO177" s="48" t="inlineStr"/>
      <c r="BP177" s="48" t="inlineStr"/>
      <c r="BQ177" s="48" t="inlineStr"/>
      <c r="BR177" s="48" t="inlineStr"/>
      <c r="BS177" s="48" t="inlineStr"/>
      <c r="BT177" s="48" t="inlineStr"/>
      <c r="BU177" s="48" t="inlineStr"/>
      <c r="BV177" s="48" t="inlineStr"/>
      <c r="BW177" s="48" t="inlineStr"/>
      <c r="BX177" s="48" t="inlineStr"/>
      <c r="BY177" s="48" t="inlineStr"/>
      <c r="BZ177" s="48" t="inlineStr"/>
      <c r="CA177" s="48" t="inlineStr"/>
      <c r="CB177" s="48" t="inlineStr"/>
      <c r="CC177" s="48" t="inlineStr"/>
      <c r="CD177" s="48" t="inlineStr"/>
      <c r="CE177" s="48" t="inlineStr"/>
      <c r="CF177" s="48" t="inlineStr"/>
      <c r="CG177" s="48" t="inlineStr"/>
      <c r="CH177" s="48" t="inlineStr"/>
      <c r="CI177" s="48" t="inlineStr"/>
      <c r="CJ177" s="48" t="inlineStr"/>
      <c r="CK177" s="48" t="inlineStr"/>
      <c r="CL177" s="48" t="inlineStr"/>
      <c r="CM177" s="48" t="inlineStr"/>
      <c r="CN177" s="48" t="inlineStr"/>
      <c r="CO177" s="48" t="inlineStr"/>
      <c r="CP177" s="48" t="inlineStr"/>
      <c r="CQ177" s="48" t="inlineStr"/>
      <c r="CR177" s="48" t="inlineStr"/>
      <c r="CS177" s="48">
        <f>IF(LEFT($J177,3)="ERR",0,1)</f>
        <v/>
      </c>
      <c r="CT177" s="48">
        <f>IF(LEFT($J177,3)="ADM",1,0)</f>
        <v/>
      </c>
      <c r="CU177" s="48">
        <f>IF(OR($J177="ADM-ACT-MAT-CNE",$J177="ADM-ACT-MAT-CE",$J177="ADM-INACT-M&amp;T"),1,0)</f>
        <v/>
      </c>
      <c r="CV177" s="48">
        <f>IF(AND(CU177=1,ISNUMBER(M177),ISNUMBER(I177)),M177-I177,"")</f>
        <v/>
      </c>
      <c r="CW177" s="48">
        <f>IF(ISNUMBER(I177),TODAY()-I177,"")</f>
        <v/>
      </c>
      <c r="CX177" s="48">
        <f>IF(ISNUMBER(I177),DATE(YEAR(I177),MONTH(I177),1),"")</f>
        <v/>
      </c>
      <c r="CY177" s="48">
        <f>IFERROR(DATEDIF(AK177,TODAY(),"y"),"")</f>
        <v/>
      </c>
      <c r="CZ177" s="48">
        <f>IF(CY177="","",IF(CY177&lt;28,"18-27",IF(CY177&lt;38,"28-37",IF(CY177&lt;48,"38-47",IF(CY177&lt;58,"48-57",IF(CY177&lt;68,"58-67",IF(CY177&lt;78,"68-77","78+")))))) </f>
        <v/>
      </c>
      <c r="DA177" s="48">
        <f>IF(AND(BQ177&lt;&gt;"",BR177=""),N(BS177),0)+IF(AND(BW177&lt;&gt;"",BX177=""),N(BY177),0)+IF(AND(CC177&lt;&gt;"",CD177=""),N(CE177),0)+IF(AND(CI177&lt;&gt;"",CJ177=""),N(CK177),0)+IF(AND(CO177&lt;&gt;"",CP177=""),N(CQ177),0)</f>
        <v/>
      </c>
      <c r="DB177" s="48">
        <f>ROUND(IF(BQ177&lt;&gt;"",N(BS177)*MAX(0,((IF(BR177="",TODAY(),BR177))-BQ177)/7),0)+IF(BW177&lt;&gt;"",N(BY177)*MAX(0,((IF(BX177="",TODAY(),BX177))-BW177)/7),0)+IF(CC177&lt;&gt;"",N(CE177)*MAX(0,((IF(CD177="",TODAY(),CD177))-CC177)/7),0)+IF(CI177&lt;&gt;"",N(CK177)*MAX(0,((IF(CJ177="",TODAY(),CJ177))-CI177)/7),0)+IF(CO177&lt;&gt;"",N(CQ177)*MAX(0,((IF(CP177="",TODAY(),CP177))-CO177)/7),0),1)</f>
        <v/>
      </c>
      <c r="DC177" s="48">
        <f>IF(OR(TRIM(X177)="",TRIM(X177)="NA;",TRIM(X177)="NA"),0,1)</f>
        <v/>
      </c>
      <c r="DD177" s="48">
        <f>IF(OR(TRIM(Y177)="",TRIM(Y177)="NA;",TRIM(Y177)="NA"),0,1)</f>
        <v/>
      </c>
      <c r="DE177" s="48">
        <f>IF(OR(TRIM(Z177)="",TRIM(Z177)="NA;",TRIM(Z177)="NA"),0,1)</f>
        <v/>
      </c>
      <c r="DF177" s="48">
        <f>IF(OR(TRIM(AA177)="",TRIM(AA177)="NA;",TRIM(AA177)="NA"),0,1)</f>
        <v/>
      </c>
      <c r="DG177" s="48">
        <f>IF(OR(TRIM(AB177)="",TRIM(AB177)="NA;",TRIM(AB177)="NA"),0,1)</f>
        <v/>
      </c>
      <c r="DH177" s="48">
        <f>IF(OR(TRIM(AC177)="",TRIM(AC177)="NA;",TRIM(AC177)="NA"),0,1)</f>
        <v/>
      </c>
      <c r="DI177" s="48">
        <f>IF(OR(TRIM(AD177)="",TRIM(AD177)="NA;",TRIM(AD177)="NA"),0,1)</f>
        <v/>
      </c>
      <c r="DJ177" s="48">
        <f>TRIM(IF(DC177=1,"Mon ","")&amp;IF(DD177=1,"Tue ","")&amp;IF(DE177=1,"Wed ","")&amp;IF(DF177=1,"Thu ","")&amp;IF(DG177=1,"Fri ","")&amp;IF(DH177=1,"Sat ","")&amp;IF(DI177=1,"Sun ",""))</f>
        <v/>
      </c>
    </row>
    <row r="178">
      <c r="A178" s="48" t="inlineStr">
        <is>
          <t>S-N-00026</t>
        </is>
      </c>
      <c r="B178" s="48" t="inlineStr">
        <is>
          <t>Mohamed Fernando</t>
        </is>
      </c>
      <c r="C178" s="48" t="inlineStr">
        <is>
          <t>mohamed.fernando76@example.com</t>
        </is>
      </c>
      <c r="D178" s="48" t="inlineStr">
        <is>
          <t>+61 474 351 671</t>
        </is>
      </c>
      <c r="E178" s="48" t="inlineStr">
        <is>
          <t>Hassan Mosquera</t>
        </is>
      </c>
      <c r="F178" s="48" t="inlineStr">
        <is>
          <t>+61 440 588 129</t>
        </is>
      </c>
      <c r="G178" s="48" t="inlineStr">
        <is>
          <t>Adult Child</t>
        </is>
      </c>
      <c r="H178" s="48" t="inlineStr">
        <is>
          <t>Student</t>
        </is>
      </c>
      <c r="I178" s="49" t="n">
        <v>45852</v>
      </c>
      <c r="J178" s="48" t="inlineStr">
        <is>
          <t>ADM-ACT-MAT-CE</t>
        </is>
      </c>
      <c r="K178" s="48">
        <f>IFERROR(VLOOKUP(J178,'(A) Introduction'!$B$35:$C$45,2,FALSE),"")</f>
        <v/>
      </c>
      <c r="L178" s="48" t="inlineStr">
        <is>
          <t>No</t>
        </is>
      </c>
      <c r="M178" s="49" t="n">
        <v>45920</v>
      </c>
      <c r="N178" s="48" t="inlineStr"/>
      <c r="O178" s="48" t="inlineStr">
        <is>
          <t>NA</t>
        </is>
      </c>
      <c r="P178" s="48">
        <f>IF($H178="Tutor",((BQ178&lt;&gt;"")*(BR178=""))+((BW178&lt;&gt;"")*(BX178=""))+((CC178&lt;&gt;"")*(CD178=""))+((CI178&lt;&gt;"")*(CJ178=""))+((CO178&lt;&gt;"")*(CP178="")),SUMPRODUCT(--($BO$3:$BO$202=$A178),--($BR$3:$BR$202=""))+SUMPRODUCT(--($BU$3:$BU$202=$A178),--($BX$3:$BX$202=""))+SUMPRODUCT(--($CA$3:$CA$202=$A178),--($CD$3:$CD$202=""))+SUMPRODUCT(--($CG$3:$CG$202=$A178),--($CJ$3:$CJ$202=""))+SUMPRODUCT(--($CM$3:$CM$202=$A178),--($CP$3:$CP$202="")))</f>
        <v/>
      </c>
      <c r="Q178" s="48">
        <f>IF($H178="Tutor",(BQ178&lt;&gt;"")+(BW178&lt;&gt;"")+(CC178&lt;&gt;"")+(CI178&lt;&gt;"")+(CO178&lt;&gt;""),SUMPRODUCT(--($BO$3:$BO$202=$A178))+SUMPRODUCT(--($BU$3:$BU$202=$A178))+SUMPRODUCT(--($CA$3:$CA$202=$A178))+SUMPRODUCT(--($CG$3:$CG$202=$A178))+SUMPRODUCT(--($CM$3:$CM$202=$A178)))</f>
        <v/>
      </c>
      <c r="R178" s="48">
        <f>IF($H178="Tutor",TRIM(IF(AND(BQ178&lt;&gt;"",BR178=""),BP178&amp;"; ","")&amp;IF(AND(BW178&lt;&gt;"",BX178=""),BV178&amp;"; ","")&amp;IF(AND(CC178&lt;&gt;"",CD178=""),CB178&amp;"; ","")&amp;IF(AND(CI178&lt;&gt;"",CJ178=""),CH178&amp;"; ","")&amp;IF(AND(CO178&lt;&gt;"",CP178=""),CN178&amp;"; ","")),IFERROR(INDEX($A$3:$B$202,(SUMPRODUCT(($BO$3:$BO$202=$A178)*($BR$3:$BR$202="")*ROW($BO$3:$BO$202))+SUMPRODUCT(($BU$3:$BU$202=$A178)*($BX$3:$BX$202="")*ROW($BU$3:$BU$202))+SUMPRODUCT(($CA$3:$CA$202=$A178)*($CD$3:$CD$202="")*ROW($CA$3:$CA$202))+SUMPRODUCT(($CG$3:$CG$202=$A178)*($CJ$3:$CJ$202="")*ROW($CG$3:$CG$202))+SUMPRODUCT(($CM$3:$CM$202=$A178)*($CP$3:$CP$202="")*ROW($CM$3:$CM$202)))-2,2),""))</f>
        <v/>
      </c>
      <c r="S178" s="48" t="inlineStr">
        <is>
          <t>Not Provided</t>
        </is>
      </c>
      <c r="T178" s="48" t="inlineStr"/>
      <c r="U178" s="48" t="inlineStr"/>
      <c r="V178" s="49" t="n">
        <v>45896</v>
      </c>
      <c r="W178" s="48" t="inlineStr">
        <is>
          <t>ACST (UTC+9:30)</t>
        </is>
      </c>
      <c r="X178" s="48" t="inlineStr">
        <is>
          <t>9am-12pm;12pm-3pm;3pm-6pm;</t>
        </is>
      </c>
      <c r="Y178" s="48" t="inlineStr">
        <is>
          <t>9am-12pm;12pm-3pm;3pm-6pm;</t>
        </is>
      </c>
      <c r="Z178" s="48" t="inlineStr">
        <is>
          <t>6pm-9pm;</t>
        </is>
      </c>
      <c r="AA178" s="48" t="inlineStr">
        <is>
          <t>6pm-9pm;</t>
        </is>
      </c>
      <c r="AB178" s="48" t="inlineStr">
        <is>
          <t>3pm-6pm;</t>
        </is>
      </c>
      <c r="AC178" s="48" t="inlineStr">
        <is>
          <t>9am-12pm;</t>
        </is>
      </c>
      <c r="AD178" s="48" t="inlineStr">
        <is>
          <t>3pm-6pm;</t>
        </is>
      </c>
      <c r="AE178" s="48" t="inlineStr">
        <is>
          <t>Online</t>
        </is>
      </c>
      <c r="AF178" s="48" t="inlineStr">
        <is>
          <t>Tablet</t>
        </is>
      </c>
      <c r="AG178" s="48" t="inlineStr">
        <is>
          <t>Australia</t>
        </is>
      </c>
      <c r="AH178" s="48" t="inlineStr">
        <is>
          <t>New South Wales</t>
        </is>
      </c>
      <c r="AI178" s="48" t="inlineStr">
        <is>
          <t>Bankstown</t>
        </is>
      </c>
      <c r="AJ178" s="48" t="inlineStr">
        <is>
          <t>2200</t>
        </is>
      </c>
      <c r="AK178" s="49" t="n">
        <v>26362</v>
      </c>
      <c r="AL178" s="48" t="inlineStr">
        <is>
          <t>Male</t>
        </is>
      </c>
      <c r="AM178" s="48" t="inlineStr">
        <is>
          <t>No</t>
        </is>
      </c>
      <c r="AN178" s="48" t="inlineStr">
        <is>
          <t>B1</t>
        </is>
      </c>
      <c r="AO178" s="48" t="inlineStr">
        <is>
          <t>Low</t>
        </is>
      </c>
      <c r="AP178" s="48" t="inlineStr">
        <is>
          <t>Bangladesh</t>
        </is>
      </c>
      <c r="AQ178" s="48" t="inlineStr">
        <is>
          <t>NA</t>
        </is>
      </c>
      <c r="AR178" s="48" t="inlineStr">
        <is>
          <t>Burmese (C1)</t>
        </is>
      </c>
      <c r="AS178" s="48" t="inlineStr">
        <is>
          <t>Christian (Catholic)</t>
        </is>
      </c>
      <c r="AT178" s="48" t="inlineStr">
        <is>
          <t>Social &amp; Community Services</t>
        </is>
      </c>
      <c r="AU178" s="48" t="inlineStr">
        <is>
          <t>Nurse</t>
        </is>
      </c>
      <c r="AV178" s="48" t="inlineStr">
        <is>
          <t>Child Care</t>
        </is>
      </c>
      <c r="AW178" s="48" t="inlineStr">
        <is>
          <t>Football; Cooking; Family</t>
        </is>
      </c>
      <c r="AX178" s="48" t="inlineStr">
        <is>
          <t>Asylum Seeker</t>
        </is>
      </c>
      <c r="AY178" s="48" t="inlineStr">
        <is>
          <t>Yes</t>
        </is>
      </c>
      <c r="AZ178" s="48" t="inlineStr">
        <is>
          <t>Yes</t>
        </is>
      </c>
      <c r="BA178" s="48" t="inlineStr">
        <is>
          <t>NA</t>
        </is>
      </c>
      <c r="BB178" s="48" t="inlineStr">
        <is>
          <t>NA</t>
        </is>
      </c>
      <c r="BC178" s="48" t="inlineStr">
        <is>
          <t>NA</t>
        </is>
      </c>
      <c r="BD178" s="48" t="inlineStr">
        <is>
          <t>NA</t>
        </is>
      </c>
      <c r="BE178" s="48" t="inlineStr"/>
      <c r="BF178" s="48" t="inlineStr"/>
      <c r="BG178" s="48" t="inlineStr">
        <is>
          <t>NA</t>
        </is>
      </c>
      <c r="BH178" s="48" t="inlineStr">
        <is>
          <t>NA - Student</t>
        </is>
      </c>
      <c r="BI178" s="48" t="inlineStr">
        <is>
          <t>CareerSeekers</t>
        </is>
      </c>
      <c r="BJ178" s="48" t="inlineStr">
        <is>
          <t>HALLORAN Isobel</t>
        </is>
      </c>
      <c r="BK178" s="48" t="inlineStr">
        <is>
          <t>HERVIR Oliver</t>
        </is>
      </c>
      <c r="BL178" s="48" t="inlineStr">
        <is>
          <t>Synthetic test record.</t>
        </is>
      </c>
      <c r="BM178" s="48" t="inlineStr"/>
      <c r="BN178" s="48">
        <f>TRIM(IF(AND($H178="Student",$J178="ADM-ACT-MAT-CNE"),"Invalid: Student cannot be CNE. ","")&amp;IF(AND($H178="Student",ISNUMBER($O178)),"Check: capacity set for a Student. ","")&amp;IF(AND(LEFT($J178,11)="ADM-ACT-MAT",$P178=0),"Check: matched status but 0 active pairings. ","")&amp;IF(AND($H178="Tutor",ISNUMBER($O178),$P178&gt;$O178),"Check: pairings exceed capacity. ","")&amp;IF(AND($BH178="Everyone",NOT(AND($BD178="Yes",$BG178="Yes"))),"Check: approved to tutor children but WWCC not provided/confirmed. ","")&amp;IF(AND($P178&gt;0,NOT(AND(OR(LEFT($AY178,3)="Yes",LEFT($AY178,2)="NA"),OR(LEFT($AZ178,3)="Yes",LEFT($AZ178,2)="NA")))),"Matched but vetting incomplete (interview/reference). ","")&amp;IF(COUNTIF($B$3:$B$600,$B178)&gt;1,"Duplicate participant name. ",""))</f>
        <v/>
      </c>
      <c r="BO178" s="48" t="inlineStr"/>
      <c r="BP178" s="48" t="inlineStr"/>
      <c r="BQ178" s="48" t="inlineStr"/>
      <c r="BR178" s="48" t="inlineStr"/>
      <c r="BS178" s="48" t="inlineStr"/>
      <c r="BT178" s="48" t="inlineStr"/>
      <c r="BU178" s="48" t="inlineStr"/>
      <c r="BV178" s="48" t="inlineStr"/>
      <c r="BW178" s="48" t="inlineStr"/>
      <c r="BX178" s="48" t="inlineStr"/>
      <c r="BY178" s="48" t="inlineStr"/>
      <c r="BZ178" s="48" t="inlineStr"/>
      <c r="CA178" s="48" t="inlineStr"/>
      <c r="CB178" s="48" t="inlineStr"/>
      <c r="CC178" s="48" t="inlineStr"/>
      <c r="CD178" s="48" t="inlineStr"/>
      <c r="CE178" s="48" t="inlineStr"/>
      <c r="CF178" s="48" t="inlineStr"/>
      <c r="CG178" s="48" t="inlineStr"/>
      <c r="CH178" s="48" t="inlineStr"/>
      <c r="CI178" s="48" t="inlineStr"/>
      <c r="CJ178" s="48" t="inlineStr"/>
      <c r="CK178" s="48" t="inlineStr"/>
      <c r="CL178" s="48" t="inlineStr"/>
      <c r="CM178" s="48" t="inlineStr"/>
      <c r="CN178" s="48" t="inlineStr"/>
      <c r="CO178" s="48" t="inlineStr"/>
      <c r="CP178" s="48" t="inlineStr"/>
      <c r="CQ178" s="48" t="inlineStr"/>
      <c r="CR178" s="48" t="inlineStr"/>
      <c r="CS178" s="48">
        <f>IF(LEFT($J178,3)="ERR",0,1)</f>
        <v/>
      </c>
      <c r="CT178" s="48">
        <f>IF(LEFT($J178,3)="ADM",1,0)</f>
        <v/>
      </c>
      <c r="CU178" s="48">
        <f>IF(OR($J178="ADM-ACT-MAT-CNE",$J178="ADM-ACT-MAT-CE",$J178="ADM-INACT-M&amp;T"),1,0)</f>
        <v/>
      </c>
      <c r="CV178" s="48">
        <f>IF(AND(CU178=1,ISNUMBER(M178),ISNUMBER(I178)),M178-I178,"")</f>
        <v/>
      </c>
      <c r="CW178" s="48">
        <f>IF(ISNUMBER(I178),TODAY()-I178,"")</f>
        <v/>
      </c>
      <c r="CX178" s="48">
        <f>IF(ISNUMBER(I178),DATE(YEAR(I178),MONTH(I178),1),"")</f>
        <v/>
      </c>
      <c r="CY178" s="48">
        <f>IFERROR(DATEDIF(AK178,TODAY(),"y"),"")</f>
        <v/>
      </c>
      <c r="CZ178" s="48">
        <f>IF(CY178="","",IF(CY178&lt;28,"18-27",IF(CY178&lt;38,"28-37",IF(CY178&lt;48,"38-47",IF(CY178&lt;58,"48-57",IF(CY178&lt;68,"58-67",IF(CY178&lt;78,"68-77","78+")))))) </f>
        <v/>
      </c>
      <c r="DA178" s="48">
        <f>IF(AND(BQ178&lt;&gt;"",BR178=""),N(BS178),0)+IF(AND(BW178&lt;&gt;"",BX178=""),N(BY178),0)+IF(AND(CC178&lt;&gt;"",CD178=""),N(CE178),0)+IF(AND(CI178&lt;&gt;"",CJ178=""),N(CK178),0)+IF(AND(CO178&lt;&gt;"",CP178=""),N(CQ178),0)</f>
        <v/>
      </c>
      <c r="DB178" s="48">
        <f>ROUND(IF(BQ178&lt;&gt;"",N(BS178)*MAX(0,((IF(BR178="",TODAY(),BR178))-BQ178)/7),0)+IF(BW178&lt;&gt;"",N(BY178)*MAX(0,((IF(BX178="",TODAY(),BX178))-BW178)/7),0)+IF(CC178&lt;&gt;"",N(CE178)*MAX(0,((IF(CD178="",TODAY(),CD178))-CC178)/7),0)+IF(CI178&lt;&gt;"",N(CK178)*MAX(0,((IF(CJ178="",TODAY(),CJ178))-CI178)/7),0)+IF(CO178&lt;&gt;"",N(CQ178)*MAX(0,((IF(CP178="",TODAY(),CP178))-CO178)/7),0),1)</f>
        <v/>
      </c>
      <c r="DC178" s="48">
        <f>IF(OR(TRIM(X178)="",TRIM(X178)="NA;",TRIM(X178)="NA"),0,1)</f>
        <v/>
      </c>
      <c r="DD178" s="48">
        <f>IF(OR(TRIM(Y178)="",TRIM(Y178)="NA;",TRIM(Y178)="NA"),0,1)</f>
        <v/>
      </c>
      <c r="DE178" s="48">
        <f>IF(OR(TRIM(Z178)="",TRIM(Z178)="NA;",TRIM(Z178)="NA"),0,1)</f>
        <v/>
      </c>
      <c r="DF178" s="48">
        <f>IF(OR(TRIM(AA178)="",TRIM(AA178)="NA;",TRIM(AA178)="NA"),0,1)</f>
        <v/>
      </c>
      <c r="DG178" s="48">
        <f>IF(OR(TRIM(AB178)="",TRIM(AB178)="NA;",TRIM(AB178)="NA"),0,1)</f>
        <v/>
      </c>
      <c r="DH178" s="48">
        <f>IF(OR(TRIM(AC178)="",TRIM(AC178)="NA;",TRIM(AC178)="NA"),0,1)</f>
        <v/>
      </c>
      <c r="DI178" s="48">
        <f>IF(OR(TRIM(AD178)="",TRIM(AD178)="NA;",TRIM(AD178)="NA"),0,1)</f>
        <v/>
      </c>
      <c r="DJ178" s="48">
        <f>TRIM(IF(DC178=1,"Mon ","")&amp;IF(DD178=1,"Tue ","")&amp;IF(DE178=1,"Wed ","")&amp;IF(DF178=1,"Thu ","")&amp;IF(DG178=1,"Fri ","")&amp;IF(DH178=1,"Sat ","")&amp;IF(DI178=1,"Sun ",""))</f>
        <v/>
      </c>
    </row>
    <row r="179">
      <c r="A179" s="48" t="inlineStr">
        <is>
          <t>S-N-00027</t>
        </is>
      </c>
      <c r="B179" s="48" t="inlineStr">
        <is>
          <t>Lina Morris</t>
        </is>
      </c>
      <c r="C179" s="48" t="inlineStr">
        <is>
          <t>lina.morris77@example.com</t>
        </is>
      </c>
      <c r="D179" s="48" t="inlineStr">
        <is>
          <t>+61 426 575 724</t>
        </is>
      </c>
      <c r="E179" s="48" t="inlineStr">
        <is>
          <t>Grace Smith</t>
        </is>
      </c>
      <c r="F179" s="48" t="inlineStr">
        <is>
          <t>+61 443 705 115</t>
        </is>
      </c>
      <c r="G179" s="48" t="inlineStr">
        <is>
          <t>Caseworker</t>
        </is>
      </c>
      <c r="H179" s="48" t="inlineStr">
        <is>
          <t>Student</t>
        </is>
      </c>
      <c r="I179" s="49" t="n">
        <v>45854</v>
      </c>
      <c r="J179" s="48" t="inlineStr">
        <is>
          <t>ADM-ACT-MAT-CE</t>
        </is>
      </c>
      <c r="K179" s="48">
        <f>IFERROR(VLOOKUP(J179,'(A) Introduction'!$B$35:$C$45,2,FALSE),"")</f>
        <v/>
      </c>
      <c r="L179" s="48" t="inlineStr">
        <is>
          <t>No</t>
        </is>
      </c>
      <c r="M179" s="49" t="n">
        <v>45961</v>
      </c>
      <c r="N179" s="48" t="inlineStr"/>
      <c r="O179" s="48" t="inlineStr">
        <is>
          <t>NA</t>
        </is>
      </c>
      <c r="P179" s="48">
        <f>IF($H179="Tutor",((BQ179&lt;&gt;"")*(BR179=""))+((BW179&lt;&gt;"")*(BX179=""))+((CC179&lt;&gt;"")*(CD179=""))+((CI179&lt;&gt;"")*(CJ179=""))+((CO179&lt;&gt;"")*(CP179="")),SUMPRODUCT(--($BO$3:$BO$202=$A179),--($BR$3:$BR$202=""))+SUMPRODUCT(--($BU$3:$BU$202=$A179),--($BX$3:$BX$202=""))+SUMPRODUCT(--($CA$3:$CA$202=$A179),--($CD$3:$CD$202=""))+SUMPRODUCT(--($CG$3:$CG$202=$A179),--($CJ$3:$CJ$202=""))+SUMPRODUCT(--($CM$3:$CM$202=$A179),--($CP$3:$CP$202="")))</f>
        <v/>
      </c>
      <c r="Q179" s="48">
        <f>IF($H179="Tutor",(BQ179&lt;&gt;"")+(BW179&lt;&gt;"")+(CC179&lt;&gt;"")+(CI179&lt;&gt;"")+(CO179&lt;&gt;""),SUMPRODUCT(--($BO$3:$BO$202=$A179))+SUMPRODUCT(--($BU$3:$BU$202=$A179))+SUMPRODUCT(--($CA$3:$CA$202=$A179))+SUMPRODUCT(--($CG$3:$CG$202=$A179))+SUMPRODUCT(--($CM$3:$CM$202=$A179)))</f>
        <v/>
      </c>
      <c r="R179" s="48">
        <f>IF($H179="Tutor",TRIM(IF(AND(BQ179&lt;&gt;"",BR179=""),BP179&amp;"; ","")&amp;IF(AND(BW179&lt;&gt;"",BX179=""),BV179&amp;"; ","")&amp;IF(AND(CC179&lt;&gt;"",CD179=""),CB179&amp;"; ","")&amp;IF(AND(CI179&lt;&gt;"",CJ179=""),CH179&amp;"; ","")&amp;IF(AND(CO179&lt;&gt;"",CP179=""),CN179&amp;"; ","")),IFERROR(INDEX($A$3:$B$202,(SUMPRODUCT(($BO$3:$BO$202=$A179)*($BR$3:$BR$202="")*ROW($BO$3:$BO$202))+SUMPRODUCT(($BU$3:$BU$202=$A179)*($BX$3:$BX$202="")*ROW($BU$3:$BU$202))+SUMPRODUCT(($CA$3:$CA$202=$A179)*($CD$3:$CD$202="")*ROW($CA$3:$CA$202))+SUMPRODUCT(($CG$3:$CG$202=$A179)*($CJ$3:$CJ$202="")*ROW($CG$3:$CG$202))+SUMPRODUCT(($CM$3:$CM$202=$A179)*($CP$3:$CP$202="")*ROW($CM$3:$CM$202)))-2,2),""))</f>
        <v/>
      </c>
      <c r="S179" s="48" t="inlineStr">
        <is>
          <t>NA</t>
        </is>
      </c>
      <c r="T179" s="48" t="inlineStr"/>
      <c r="U179" s="48" t="inlineStr"/>
      <c r="V179" s="49" t="n">
        <v>46065</v>
      </c>
      <c r="W179" s="48" t="inlineStr">
        <is>
          <t>AEST (UTC+10)</t>
        </is>
      </c>
      <c r="X179" s="48" t="inlineStr">
        <is>
          <t>6am-9am;9am-12pm;</t>
        </is>
      </c>
      <c r="Y179" s="48" t="inlineStr">
        <is>
          <t>9am-12pm;</t>
        </is>
      </c>
      <c r="Z179" s="48" t="inlineStr">
        <is>
          <t>6am-9am;9am-12pm;</t>
        </is>
      </c>
      <c r="AA179" s="48" t="inlineStr">
        <is>
          <t>6pm-9pm;</t>
        </is>
      </c>
      <c r="AB179" s="48" t="inlineStr">
        <is>
          <t>9am-12pm;12pm-3pm;3pm-6pm;</t>
        </is>
      </c>
      <c r="AC179" s="48" t="inlineStr">
        <is>
          <t>9am-12pm;</t>
        </is>
      </c>
      <c r="AD179" s="48" t="inlineStr">
        <is>
          <t>9am-12pm;12pm-3pm;3pm-6pm;</t>
        </is>
      </c>
      <c r="AE179" s="48" t="inlineStr">
        <is>
          <t>In-Person</t>
        </is>
      </c>
      <c r="AF179" s="48" t="inlineStr">
        <is>
          <t>Computer</t>
        </is>
      </c>
      <c r="AG179" s="48" t="inlineStr">
        <is>
          <t>Australia</t>
        </is>
      </c>
      <c r="AH179" s="48" t="inlineStr">
        <is>
          <t>New South Wales</t>
        </is>
      </c>
      <c r="AI179" s="48" t="inlineStr">
        <is>
          <t>Greenacre</t>
        </is>
      </c>
      <c r="AJ179" s="48" t="inlineStr">
        <is>
          <t>2190</t>
        </is>
      </c>
      <c r="AK179" s="49" t="n">
        <v>37727</v>
      </c>
      <c r="AL179" s="48" t="inlineStr">
        <is>
          <t>Female</t>
        </is>
      </c>
      <c r="AM179" s="48" t="inlineStr">
        <is>
          <t>Yes</t>
        </is>
      </c>
      <c r="AN179" s="48" t="inlineStr">
        <is>
          <t>B2</t>
        </is>
      </c>
      <c r="AO179" s="48" t="inlineStr">
        <is>
          <t>Moderate</t>
        </is>
      </c>
      <c r="AP179" s="48" t="inlineStr">
        <is>
          <t>Venezuela</t>
        </is>
      </c>
      <c r="AQ179" s="48" t="inlineStr">
        <is>
          <t>NA</t>
        </is>
      </c>
      <c r="AR179" s="48" t="inlineStr">
        <is>
          <t>Spanish (C1)</t>
        </is>
      </c>
      <c r="AS179" s="48" t="inlineStr">
        <is>
          <t>Muslim</t>
        </is>
      </c>
      <c r="AT179" s="48" t="inlineStr">
        <is>
          <t>Trades &amp; Construction</t>
        </is>
      </c>
      <c r="AU179" s="48" t="inlineStr">
        <is>
          <t>Retail</t>
        </is>
      </c>
      <c r="AV179" s="48" t="inlineStr">
        <is>
          <t>Construction</t>
        </is>
      </c>
      <c r="AW179" s="48" t="inlineStr">
        <is>
          <t>Language learning; Self-development</t>
        </is>
      </c>
      <c r="AX179" s="48" t="inlineStr">
        <is>
          <t>Asylum Seeker</t>
        </is>
      </c>
      <c r="AY179" s="48" t="inlineStr">
        <is>
          <t>NA - RELT Member Verified</t>
        </is>
      </c>
      <c r="AZ179" s="48" t="inlineStr">
        <is>
          <t>No</t>
        </is>
      </c>
      <c r="BA179" s="48" t="inlineStr">
        <is>
          <t>NA</t>
        </is>
      </c>
      <c r="BB179" s="48" t="inlineStr">
        <is>
          <t>NA</t>
        </is>
      </c>
      <c r="BC179" s="48" t="inlineStr">
        <is>
          <t>NA</t>
        </is>
      </c>
      <c r="BD179" s="48" t="inlineStr">
        <is>
          <t>NA</t>
        </is>
      </c>
      <c r="BE179" s="48" t="inlineStr"/>
      <c r="BF179" s="48" t="inlineStr"/>
      <c r="BG179" s="48" t="inlineStr">
        <is>
          <t>NA</t>
        </is>
      </c>
      <c r="BH179" s="48" t="inlineStr">
        <is>
          <t>NA - Student</t>
        </is>
      </c>
      <c r="BI179" s="48" t="inlineStr">
        <is>
          <t>University of Western Sydney (including the Law Students' Society)</t>
        </is>
      </c>
      <c r="BJ179" s="48" t="inlineStr">
        <is>
          <t>THET Moh Moh</t>
        </is>
      </c>
      <c r="BK179" s="48" t="inlineStr">
        <is>
          <t>HALLORAN Isobel</t>
        </is>
      </c>
      <c r="BL179" s="48" t="inlineStr">
        <is>
          <t>Synthetic test record.</t>
        </is>
      </c>
      <c r="BM179" s="48" t="inlineStr"/>
      <c r="BN179" s="48">
        <f>TRIM(IF(AND($H179="Student",$J179="ADM-ACT-MAT-CNE"),"Invalid: Student cannot be CNE. ","")&amp;IF(AND($H179="Student",ISNUMBER($O179)),"Check: capacity set for a Student. ","")&amp;IF(AND(LEFT($J179,11)="ADM-ACT-MAT",$P179=0),"Check: matched status but 0 active pairings. ","")&amp;IF(AND($H179="Tutor",ISNUMBER($O179),$P179&gt;$O179),"Check: pairings exceed capacity. ","")&amp;IF(AND($BH179="Everyone",NOT(AND($BD179="Yes",$BG179="Yes"))),"Check: approved to tutor children but WWCC not provided/confirmed. ","")&amp;IF(AND($P179&gt;0,NOT(AND(OR(LEFT($AY179,3)="Yes",LEFT($AY179,2)="NA"),OR(LEFT($AZ179,3)="Yes",LEFT($AZ179,2)="NA")))),"Matched but vetting incomplete (interview/reference). ","")&amp;IF(COUNTIF($B$3:$B$600,$B179)&gt;1,"Duplicate participant name. ",""))</f>
        <v/>
      </c>
      <c r="BO179" s="48" t="inlineStr"/>
      <c r="BP179" s="48" t="inlineStr"/>
      <c r="BQ179" s="48" t="inlineStr"/>
      <c r="BR179" s="48" t="inlineStr"/>
      <c r="BS179" s="48" t="inlineStr"/>
      <c r="BT179" s="48" t="inlineStr"/>
      <c r="BU179" s="48" t="inlineStr"/>
      <c r="BV179" s="48" t="inlineStr"/>
      <c r="BW179" s="48" t="inlineStr"/>
      <c r="BX179" s="48" t="inlineStr"/>
      <c r="BY179" s="48" t="inlineStr"/>
      <c r="BZ179" s="48" t="inlineStr"/>
      <c r="CA179" s="48" t="inlineStr"/>
      <c r="CB179" s="48" t="inlineStr"/>
      <c r="CC179" s="48" t="inlineStr"/>
      <c r="CD179" s="48" t="inlineStr"/>
      <c r="CE179" s="48" t="inlineStr"/>
      <c r="CF179" s="48" t="inlineStr"/>
      <c r="CG179" s="48" t="inlineStr"/>
      <c r="CH179" s="48" t="inlineStr"/>
      <c r="CI179" s="48" t="inlineStr"/>
      <c r="CJ179" s="48" t="inlineStr"/>
      <c r="CK179" s="48" t="inlineStr"/>
      <c r="CL179" s="48" t="inlineStr"/>
      <c r="CM179" s="48" t="inlineStr"/>
      <c r="CN179" s="48" t="inlineStr"/>
      <c r="CO179" s="48" t="inlineStr"/>
      <c r="CP179" s="48" t="inlineStr"/>
      <c r="CQ179" s="48" t="inlineStr"/>
      <c r="CR179" s="48" t="inlineStr"/>
      <c r="CS179" s="48">
        <f>IF(LEFT($J179,3)="ERR",0,1)</f>
        <v/>
      </c>
      <c r="CT179" s="48">
        <f>IF(LEFT($J179,3)="ADM",1,0)</f>
        <v/>
      </c>
      <c r="CU179" s="48">
        <f>IF(OR($J179="ADM-ACT-MAT-CNE",$J179="ADM-ACT-MAT-CE",$J179="ADM-INACT-M&amp;T"),1,0)</f>
        <v/>
      </c>
      <c r="CV179" s="48">
        <f>IF(AND(CU179=1,ISNUMBER(M179),ISNUMBER(I179)),M179-I179,"")</f>
        <v/>
      </c>
      <c r="CW179" s="48">
        <f>IF(ISNUMBER(I179),TODAY()-I179,"")</f>
        <v/>
      </c>
      <c r="CX179" s="48">
        <f>IF(ISNUMBER(I179),DATE(YEAR(I179),MONTH(I179),1),"")</f>
        <v/>
      </c>
      <c r="CY179" s="48">
        <f>IFERROR(DATEDIF(AK179,TODAY(),"y"),"")</f>
        <v/>
      </c>
      <c r="CZ179" s="48">
        <f>IF(CY179="","",IF(CY179&lt;28,"18-27",IF(CY179&lt;38,"28-37",IF(CY179&lt;48,"38-47",IF(CY179&lt;58,"48-57",IF(CY179&lt;68,"58-67",IF(CY179&lt;78,"68-77","78+")))))) </f>
        <v/>
      </c>
      <c r="DA179" s="48">
        <f>IF(AND(BQ179&lt;&gt;"",BR179=""),N(BS179),0)+IF(AND(BW179&lt;&gt;"",BX179=""),N(BY179),0)+IF(AND(CC179&lt;&gt;"",CD179=""),N(CE179),0)+IF(AND(CI179&lt;&gt;"",CJ179=""),N(CK179),0)+IF(AND(CO179&lt;&gt;"",CP179=""),N(CQ179),0)</f>
        <v/>
      </c>
      <c r="DB179" s="48">
        <f>ROUND(IF(BQ179&lt;&gt;"",N(BS179)*MAX(0,((IF(BR179="",TODAY(),BR179))-BQ179)/7),0)+IF(BW179&lt;&gt;"",N(BY179)*MAX(0,((IF(BX179="",TODAY(),BX179))-BW179)/7),0)+IF(CC179&lt;&gt;"",N(CE179)*MAX(0,((IF(CD179="",TODAY(),CD179))-CC179)/7),0)+IF(CI179&lt;&gt;"",N(CK179)*MAX(0,((IF(CJ179="",TODAY(),CJ179))-CI179)/7),0)+IF(CO179&lt;&gt;"",N(CQ179)*MAX(0,((IF(CP179="",TODAY(),CP179))-CO179)/7),0),1)</f>
        <v/>
      </c>
      <c r="DC179" s="48">
        <f>IF(OR(TRIM(X179)="",TRIM(X179)="NA;",TRIM(X179)="NA"),0,1)</f>
        <v/>
      </c>
      <c r="DD179" s="48">
        <f>IF(OR(TRIM(Y179)="",TRIM(Y179)="NA;",TRIM(Y179)="NA"),0,1)</f>
        <v/>
      </c>
      <c r="DE179" s="48">
        <f>IF(OR(TRIM(Z179)="",TRIM(Z179)="NA;",TRIM(Z179)="NA"),0,1)</f>
        <v/>
      </c>
      <c r="DF179" s="48">
        <f>IF(OR(TRIM(AA179)="",TRIM(AA179)="NA;",TRIM(AA179)="NA"),0,1)</f>
        <v/>
      </c>
      <c r="DG179" s="48">
        <f>IF(OR(TRIM(AB179)="",TRIM(AB179)="NA;",TRIM(AB179)="NA"),0,1)</f>
        <v/>
      </c>
      <c r="DH179" s="48">
        <f>IF(OR(TRIM(AC179)="",TRIM(AC179)="NA;",TRIM(AC179)="NA"),0,1)</f>
        <v/>
      </c>
      <c r="DI179" s="48">
        <f>IF(OR(TRIM(AD179)="",TRIM(AD179)="NA;",TRIM(AD179)="NA"),0,1)</f>
        <v/>
      </c>
      <c r="DJ179" s="48">
        <f>TRIM(IF(DC179=1,"Mon ","")&amp;IF(DD179=1,"Tue ","")&amp;IF(DE179=1,"Wed ","")&amp;IF(DF179=1,"Thu ","")&amp;IF(DG179=1,"Fri ","")&amp;IF(DH179=1,"Sat ","")&amp;IF(DI179=1,"Sun ",""))</f>
        <v/>
      </c>
    </row>
    <row r="180">
      <c r="A180" s="48" t="inlineStr">
        <is>
          <t>S-N-00028</t>
        </is>
      </c>
      <c r="B180" s="48" t="inlineStr">
        <is>
          <t>Viktor Mosquera</t>
        </is>
      </c>
      <c r="C180" s="48" t="inlineStr">
        <is>
          <t>viktor.mosquera78@example.com</t>
        </is>
      </c>
      <c r="D180" s="48" t="inlineStr">
        <is>
          <t>+61 486 564 119</t>
        </is>
      </c>
      <c r="E180" s="48" t="inlineStr">
        <is>
          <t>Karim Slaytor</t>
        </is>
      </c>
      <c r="F180" s="48" t="inlineStr">
        <is>
          <t>+61 447 012 291</t>
        </is>
      </c>
      <c r="G180" s="48" t="inlineStr">
        <is>
          <t>Sibling</t>
        </is>
      </c>
      <c r="H180" s="48" t="inlineStr">
        <is>
          <t>Student</t>
        </is>
      </c>
      <c r="I180" s="49" t="n">
        <v>45856</v>
      </c>
      <c r="J180" s="48" t="inlineStr">
        <is>
          <t>ADM-ACT-UNMAT</t>
        </is>
      </c>
      <c r="K180" s="48">
        <f>IFERROR(VLOOKUP(J180,'(A) Introduction'!$B$35:$C$45,2,FALSE),"")</f>
        <v/>
      </c>
      <c r="L180" s="48" t="inlineStr">
        <is>
          <t>No</t>
        </is>
      </c>
      <c r="M180" s="48" t="inlineStr"/>
      <c r="N180" s="48" t="inlineStr"/>
      <c r="O180" s="48" t="inlineStr">
        <is>
          <t>NA</t>
        </is>
      </c>
      <c r="P180" s="48">
        <f>IF($H180="Tutor",((BQ180&lt;&gt;"")*(BR180=""))+((BW180&lt;&gt;"")*(BX180=""))+((CC180&lt;&gt;"")*(CD180=""))+((CI180&lt;&gt;"")*(CJ180=""))+((CO180&lt;&gt;"")*(CP180="")),SUMPRODUCT(--($BO$3:$BO$202=$A180),--($BR$3:$BR$202=""))+SUMPRODUCT(--($BU$3:$BU$202=$A180),--($BX$3:$BX$202=""))+SUMPRODUCT(--($CA$3:$CA$202=$A180),--($CD$3:$CD$202=""))+SUMPRODUCT(--($CG$3:$CG$202=$A180),--($CJ$3:$CJ$202=""))+SUMPRODUCT(--($CM$3:$CM$202=$A180),--($CP$3:$CP$202="")))</f>
        <v/>
      </c>
      <c r="Q180" s="48">
        <f>IF($H180="Tutor",(BQ180&lt;&gt;"")+(BW180&lt;&gt;"")+(CC180&lt;&gt;"")+(CI180&lt;&gt;"")+(CO180&lt;&gt;""),SUMPRODUCT(--($BO$3:$BO$202=$A180))+SUMPRODUCT(--($BU$3:$BU$202=$A180))+SUMPRODUCT(--($CA$3:$CA$202=$A180))+SUMPRODUCT(--($CG$3:$CG$202=$A180))+SUMPRODUCT(--($CM$3:$CM$202=$A180)))</f>
        <v/>
      </c>
      <c r="R180" s="48">
        <f>IF($H180="Tutor",TRIM(IF(AND(BQ180&lt;&gt;"",BR180=""),BP180&amp;"; ","")&amp;IF(AND(BW180&lt;&gt;"",BX180=""),BV180&amp;"; ","")&amp;IF(AND(CC180&lt;&gt;"",CD180=""),CB180&amp;"; ","")&amp;IF(AND(CI180&lt;&gt;"",CJ180=""),CH180&amp;"; ","")&amp;IF(AND(CO180&lt;&gt;"",CP180=""),CN180&amp;"; ","")),IFERROR(INDEX($A$3:$B$202,(SUMPRODUCT(($BO$3:$BO$202=$A180)*($BR$3:$BR$202="")*ROW($BO$3:$BO$202))+SUMPRODUCT(($BU$3:$BU$202=$A180)*($BX$3:$BX$202="")*ROW($BU$3:$BU$202))+SUMPRODUCT(($CA$3:$CA$202=$A180)*($CD$3:$CD$202="")*ROW($CA$3:$CA$202))+SUMPRODUCT(($CG$3:$CG$202=$A180)*($CJ$3:$CJ$202="")*ROW($CG$3:$CG$202))+SUMPRODUCT(($CM$3:$CM$202=$A180)*($CP$3:$CP$202="")*ROW($CM$3:$CM$202)))-2,2),""))</f>
        <v/>
      </c>
      <c r="S180" s="48" t="inlineStr">
        <is>
          <t>Provided</t>
        </is>
      </c>
      <c r="T180" s="48" t="inlineStr"/>
      <c r="U180" s="48" t="inlineStr"/>
      <c r="V180" s="49" t="n">
        <v>45741</v>
      </c>
      <c r="W180" s="48" t="inlineStr">
        <is>
          <t>AEDT (UTC+11)</t>
        </is>
      </c>
      <c r="X180" s="48" t="inlineStr">
        <is>
          <t>12pm-3pm;</t>
        </is>
      </c>
      <c r="Y180" s="48" t="inlineStr">
        <is>
          <t>6pm-9pm;</t>
        </is>
      </c>
      <c r="Z180" s="48" t="inlineStr">
        <is>
          <t>6am-9am;9am-12pm;</t>
        </is>
      </c>
      <c r="AA180" s="48" t="inlineStr">
        <is>
          <t>6pm-9pm;</t>
        </is>
      </c>
      <c r="AB180" s="48" t="inlineStr">
        <is>
          <t>6am-9am;9am-12pm;</t>
        </is>
      </c>
      <c r="AC180" s="48" t="inlineStr">
        <is>
          <t>NA;</t>
        </is>
      </c>
      <c r="AD180" s="48" t="inlineStr">
        <is>
          <t>12pm-3pm;</t>
        </is>
      </c>
      <c r="AE180" s="48" t="inlineStr">
        <is>
          <t>Either</t>
        </is>
      </c>
      <c r="AF180" s="48" t="inlineStr">
        <is>
          <t>Phone</t>
        </is>
      </c>
      <c r="AG180" s="48" t="inlineStr">
        <is>
          <t>Australia</t>
        </is>
      </c>
      <c r="AH180" s="48" t="inlineStr">
        <is>
          <t>New South Wales</t>
        </is>
      </c>
      <c r="AI180" s="48" t="inlineStr">
        <is>
          <t>Kogarah</t>
        </is>
      </c>
      <c r="AJ180" s="48" t="inlineStr">
        <is>
          <t>2217</t>
        </is>
      </c>
      <c r="AK180" s="49" t="n">
        <v>35447</v>
      </c>
      <c r="AL180" s="48" t="inlineStr">
        <is>
          <t>Male</t>
        </is>
      </c>
      <c r="AM180" s="48" t="inlineStr">
        <is>
          <t>No</t>
        </is>
      </c>
      <c r="AN180" s="48" t="inlineStr">
        <is>
          <t>A1</t>
        </is>
      </c>
      <c r="AO180" s="48" t="inlineStr">
        <is>
          <t>Low</t>
        </is>
      </c>
      <c r="AP180" s="48" t="inlineStr">
        <is>
          <t>Venezuela</t>
        </is>
      </c>
      <c r="AQ180" s="48" t="inlineStr">
        <is>
          <t>NA</t>
        </is>
      </c>
      <c r="AR180" s="48" t="inlineStr">
        <is>
          <t>Ukrainian (C1)</t>
        </is>
      </c>
      <c r="AS180" s="48" t="inlineStr">
        <is>
          <t>Hindu</t>
        </is>
      </c>
      <c r="AT180" s="48" t="inlineStr">
        <is>
          <t>Education &amp; Academia</t>
        </is>
      </c>
      <c r="AU180" s="48" t="inlineStr">
        <is>
          <t>Lawyer</t>
        </is>
      </c>
      <c r="AV180" s="48" t="inlineStr">
        <is>
          <t>Nursing</t>
        </is>
      </c>
      <c r="AW180" s="48" t="inlineStr">
        <is>
          <t>Football; Cooking; Family</t>
        </is>
      </c>
      <c r="AX180" s="48" t="inlineStr">
        <is>
          <t>Refugee</t>
        </is>
      </c>
      <c r="AY180" s="48" t="inlineStr">
        <is>
          <t>NA - Partner Organisation Verified</t>
        </is>
      </c>
      <c r="AZ180" s="48" t="inlineStr">
        <is>
          <t>NA - Partner Organisation Verified</t>
        </is>
      </c>
      <c r="BA180" s="48" t="inlineStr">
        <is>
          <t>NA</t>
        </is>
      </c>
      <c r="BB180" s="48" t="inlineStr">
        <is>
          <t>NA</t>
        </is>
      </c>
      <c r="BC180" s="48" t="inlineStr">
        <is>
          <t>NA</t>
        </is>
      </c>
      <c r="BD180" s="48" t="inlineStr">
        <is>
          <t>NA</t>
        </is>
      </c>
      <c r="BE180" s="48" t="inlineStr"/>
      <c r="BF180" s="48" t="inlineStr"/>
      <c r="BG180" s="48" t="inlineStr">
        <is>
          <t>NA</t>
        </is>
      </c>
      <c r="BH180" s="48" t="inlineStr">
        <is>
          <t>NA - Student</t>
        </is>
      </c>
      <c r="BI180" s="48" t="inlineStr">
        <is>
          <t>CareerSeekers</t>
        </is>
      </c>
      <c r="BJ180" s="48" t="inlineStr">
        <is>
          <t>ZULMAN Levi</t>
        </is>
      </c>
      <c r="BK180" s="48" t="inlineStr">
        <is>
          <t>MCCRORIE John</t>
        </is>
      </c>
      <c r="BL180" s="48" t="inlineStr">
        <is>
          <t>Synthetic test record.</t>
        </is>
      </c>
      <c r="BM180" s="48" t="inlineStr"/>
      <c r="BN180" s="48">
        <f>TRIM(IF(AND($H180="Student",$J180="ADM-ACT-MAT-CNE"),"Invalid: Student cannot be CNE. ","")&amp;IF(AND($H180="Student",ISNUMBER($O180)),"Check: capacity set for a Student. ","")&amp;IF(AND(LEFT($J180,11)="ADM-ACT-MAT",$P180=0),"Check: matched status but 0 active pairings. ","")&amp;IF(AND($H180="Tutor",ISNUMBER($O180),$P180&gt;$O180),"Check: pairings exceed capacity. ","")&amp;IF(AND($BH180="Everyone",NOT(AND($BD180="Yes",$BG180="Yes"))),"Check: approved to tutor children but WWCC not provided/confirmed. ","")&amp;IF(AND($P180&gt;0,NOT(AND(OR(LEFT($AY180,3)="Yes",LEFT($AY180,2)="NA"),OR(LEFT($AZ180,3)="Yes",LEFT($AZ180,2)="NA")))),"Matched but vetting incomplete (interview/reference). ","")&amp;IF(COUNTIF($B$3:$B$600,$B180)&gt;1,"Duplicate participant name. ",""))</f>
        <v/>
      </c>
      <c r="BO180" s="48" t="inlineStr"/>
      <c r="BP180" s="48" t="inlineStr"/>
      <c r="BQ180" s="48" t="inlineStr"/>
      <c r="BR180" s="48" t="inlineStr"/>
      <c r="BS180" s="48" t="inlineStr"/>
      <c r="BT180" s="48" t="inlineStr"/>
      <c r="BU180" s="48" t="inlineStr"/>
      <c r="BV180" s="48" t="inlineStr"/>
      <c r="BW180" s="48" t="inlineStr"/>
      <c r="BX180" s="48" t="inlineStr"/>
      <c r="BY180" s="48" t="inlineStr"/>
      <c r="BZ180" s="48" t="inlineStr"/>
      <c r="CA180" s="48" t="inlineStr"/>
      <c r="CB180" s="48" t="inlineStr"/>
      <c r="CC180" s="48" t="inlineStr"/>
      <c r="CD180" s="48" t="inlineStr"/>
      <c r="CE180" s="48" t="inlineStr"/>
      <c r="CF180" s="48" t="inlineStr"/>
      <c r="CG180" s="48" t="inlineStr"/>
      <c r="CH180" s="48" t="inlineStr"/>
      <c r="CI180" s="48" t="inlineStr"/>
      <c r="CJ180" s="48" t="inlineStr"/>
      <c r="CK180" s="48" t="inlineStr"/>
      <c r="CL180" s="48" t="inlineStr"/>
      <c r="CM180" s="48" t="inlineStr"/>
      <c r="CN180" s="48" t="inlineStr"/>
      <c r="CO180" s="48" t="inlineStr"/>
      <c r="CP180" s="48" t="inlineStr"/>
      <c r="CQ180" s="48" t="inlineStr"/>
      <c r="CR180" s="48" t="inlineStr"/>
      <c r="CS180" s="48">
        <f>IF(LEFT($J180,3)="ERR",0,1)</f>
        <v/>
      </c>
      <c r="CT180" s="48">
        <f>IF(LEFT($J180,3)="ADM",1,0)</f>
        <v/>
      </c>
      <c r="CU180" s="48">
        <f>IF(OR($J180="ADM-ACT-MAT-CNE",$J180="ADM-ACT-MAT-CE",$J180="ADM-INACT-M&amp;T"),1,0)</f>
        <v/>
      </c>
      <c r="CV180" s="48">
        <f>IF(AND(CU180=1,ISNUMBER(M180),ISNUMBER(I180)),M180-I180,"")</f>
        <v/>
      </c>
      <c r="CW180" s="48">
        <f>IF(ISNUMBER(I180),TODAY()-I180,"")</f>
        <v/>
      </c>
      <c r="CX180" s="48">
        <f>IF(ISNUMBER(I180),DATE(YEAR(I180),MONTH(I180),1),"")</f>
        <v/>
      </c>
      <c r="CY180" s="48">
        <f>IFERROR(DATEDIF(AK180,TODAY(),"y"),"")</f>
        <v/>
      </c>
      <c r="CZ180" s="48">
        <f>IF(CY180="","",IF(CY180&lt;28,"18-27",IF(CY180&lt;38,"28-37",IF(CY180&lt;48,"38-47",IF(CY180&lt;58,"48-57",IF(CY180&lt;68,"58-67",IF(CY180&lt;78,"68-77","78+")))))) </f>
        <v/>
      </c>
      <c r="DA180" s="48">
        <f>IF(AND(BQ180&lt;&gt;"",BR180=""),N(BS180),0)+IF(AND(BW180&lt;&gt;"",BX180=""),N(BY180),0)+IF(AND(CC180&lt;&gt;"",CD180=""),N(CE180),0)+IF(AND(CI180&lt;&gt;"",CJ180=""),N(CK180),0)+IF(AND(CO180&lt;&gt;"",CP180=""),N(CQ180),0)</f>
        <v/>
      </c>
      <c r="DB180" s="48">
        <f>ROUND(IF(BQ180&lt;&gt;"",N(BS180)*MAX(0,((IF(BR180="",TODAY(),BR180))-BQ180)/7),0)+IF(BW180&lt;&gt;"",N(BY180)*MAX(0,((IF(BX180="",TODAY(),BX180))-BW180)/7),0)+IF(CC180&lt;&gt;"",N(CE180)*MAX(0,((IF(CD180="",TODAY(),CD180))-CC180)/7),0)+IF(CI180&lt;&gt;"",N(CK180)*MAX(0,((IF(CJ180="",TODAY(),CJ180))-CI180)/7),0)+IF(CO180&lt;&gt;"",N(CQ180)*MAX(0,((IF(CP180="",TODAY(),CP180))-CO180)/7),0),1)</f>
        <v/>
      </c>
      <c r="DC180" s="48">
        <f>IF(OR(TRIM(X180)="",TRIM(X180)="NA;",TRIM(X180)="NA"),0,1)</f>
        <v/>
      </c>
      <c r="DD180" s="48">
        <f>IF(OR(TRIM(Y180)="",TRIM(Y180)="NA;",TRIM(Y180)="NA"),0,1)</f>
        <v/>
      </c>
      <c r="DE180" s="48">
        <f>IF(OR(TRIM(Z180)="",TRIM(Z180)="NA;",TRIM(Z180)="NA"),0,1)</f>
        <v/>
      </c>
      <c r="DF180" s="48">
        <f>IF(OR(TRIM(AA180)="",TRIM(AA180)="NA;",TRIM(AA180)="NA"),0,1)</f>
        <v/>
      </c>
      <c r="DG180" s="48">
        <f>IF(OR(TRIM(AB180)="",TRIM(AB180)="NA;",TRIM(AB180)="NA"),0,1)</f>
        <v/>
      </c>
      <c r="DH180" s="48">
        <f>IF(OR(TRIM(AC180)="",TRIM(AC180)="NA;",TRIM(AC180)="NA"),0,1)</f>
        <v/>
      </c>
      <c r="DI180" s="48">
        <f>IF(OR(TRIM(AD180)="",TRIM(AD180)="NA;",TRIM(AD180)="NA"),0,1)</f>
        <v/>
      </c>
      <c r="DJ180" s="48">
        <f>TRIM(IF(DC180=1,"Mon ","")&amp;IF(DD180=1,"Tue ","")&amp;IF(DE180=1,"Wed ","")&amp;IF(DF180=1,"Thu ","")&amp;IF(DG180=1,"Fri ","")&amp;IF(DH180=1,"Sat ","")&amp;IF(DI180=1,"Sun ",""))</f>
        <v/>
      </c>
    </row>
    <row r="181">
      <c r="A181" s="48" t="inlineStr">
        <is>
          <t>S-N-00029</t>
        </is>
      </c>
      <c r="B181" s="48" t="inlineStr">
        <is>
          <t>Sara Bourne</t>
        </is>
      </c>
      <c r="C181" s="48" t="inlineStr">
        <is>
          <t>sara.bourne79@example.com</t>
        </is>
      </c>
      <c r="D181" s="48" t="inlineStr">
        <is>
          <t>+61 471 089 220</t>
        </is>
      </c>
      <c r="E181" s="48" t="inlineStr">
        <is>
          <t>Iryna Mosquera</t>
        </is>
      </c>
      <c r="F181" s="48" t="inlineStr">
        <is>
          <t>+61 438 854 599</t>
        </is>
      </c>
      <c r="G181" s="48" t="inlineStr">
        <is>
          <t>Sibling</t>
        </is>
      </c>
      <c r="H181" s="48" t="inlineStr">
        <is>
          <t>Student</t>
        </is>
      </c>
      <c r="I181" s="49" t="n">
        <v>45860</v>
      </c>
      <c r="J181" s="48" t="inlineStr">
        <is>
          <t>ADM-ACT-MAT-CE</t>
        </is>
      </c>
      <c r="K181" s="48">
        <f>IFERROR(VLOOKUP(J181,'(A) Introduction'!$B$35:$C$45,2,FALSE),"")</f>
        <v/>
      </c>
      <c r="L181" s="48" t="inlineStr">
        <is>
          <t>No</t>
        </is>
      </c>
      <c r="M181" s="49" t="n">
        <v>45929</v>
      </c>
      <c r="N181" s="48" t="inlineStr"/>
      <c r="O181" s="48" t="inlineStr">
        <is>
          <t>NA</t>
        </is>
      </c>
      <c r="P181" s="48">
        <f>IF($H181="Tutor",((BQ181&lt;&gt;"")*(BR181=""))+((BW181&lt;&gt;"")*(BX181=""))+((CC181&lt;&gt;"")*(CD181=""))+((CI181&lt;&gt;"")*(CJ181=""))+((CO181&lt;&gt;"")*(CP181="")),SUMPRODUCT(--($BO$3:$BO$202=$A181),--($BR$3:$BR$202=""))+SUMPRODUCT(--($BU$3:$BU$202=$A181),--($BX$3:$BX$202=""))+SUMPRODUCT(--($CA$3:$CA$202=$A181),--($CD$3:$CD$202=""))+SUMPRODUCT(--($CG$3:$CG$202=$A181),--($CJ$3:$CJ$202=""))+SUMPRODUCT(--($CM$3:$CM$202=$A181),--($CP$3:$CP$202="")))</f>
        <v/>
      </c>
      <c r="Q181" s="48">
        <f>IF($H181="Tutor",(BQ181&lt;&gt;"")+(BW181&lt;&gt;"")+(CC181&lt;&gt;"")+(CI181&lt;&gt;"")+(CO181&lt;&gt;""),SUMPRODUCT(--($BO$3:$BO$202=$A181))+SUMPRODUCT(--($BU$3:$BU$202=$A181))+SUMPRODUCT(--($CA$3:$CA$202=$A181))+SUMPRODUCT(--($CG$3:$CG$202=$A181))+SUMPRODUCT(--($CM$3:$CM$202=$A181)))</f>
        <v/>
      </c>
      <c r="R181" s="48">
        <f>IF($H181="Tutor",TRIM(IF(AND(BQ181&lt;&gt;"",BR181=""),BP181&amp;"; ","")&amp;IF(AND(BW181&lt;&gt;"",BX181=""),BV181&amp;"; ","")&amp;IF(AND(CC181&lt;&gt;"",CD181=""),CB181&amp;"; ","")&amp;IF(AND(CI181&lt;&gt;"",CJ181=""),CH181&amp;"; ","")&amp;IF(AND(CO181&lt;&gt;"",CP181=""),CN181&amp;"; ","")),IFERROR(INDEX($A$3:$B$202,(SUMPRODUCT(($BO$3:$BO$202=$A181)*($BR$3:$BR$202="")*ROW($BO$3:$BO$202))+SUMPRODUCT(($BU$3:$BU$202=$A181)*($BX$3:$BX$202="")*ROW($BU$3:$BU$202))+SUMPRODUCT(($CA$3:$CA$202=$A181)*($CD$3:$CD$202="")*ROW($CA$3:$CA$202))+SUMPRODUCT(($CG$3:$CG$202=$A181)*($CJ$3:$CJ$202="")*ROW($CG$3:$CG$202))+SUMPRODUCT(($CM$3:$CM$202=$A181)*($CP$3:$CP$202="")*ROW($CM$3:$CM$202)))-2,2),""))</f>
        <v/>
      </c>
      <c r="S181" s="48" t="inlineStr">
        <is>
          <t>NA</t>
        </is>
      </c>
      <c r="T181" s="48" t="inlineStr"/>
      <c r="U181" s="48" t="inlineStr"/>
      <c r="V181" s="49" t="n">
        <v>45727</v>
      </c>
      <c r="W181" s="48" t="inlineStr">
        <is>
          <t>AEDT (UTC+11)</t>
        </is>
      </c>
      <c r="X181" s="48" t="inlineStr">
        <is>
          <t>6pm-9pm;</t>
        </is>
      </c>
      <c r="Y181" s="48" t="inlineStr">
        <is>
          <t>3pm-6pm;</t>
        </is>
      </c>
      <c r="Z181" s="48" t="inlineStr">
        <is>
          <t>9am-12pm;</t>
        </is>
      </c>
      <c r="AA181" s="48" t="inlineStr">
        <is>
          <t>12pm-3pm;6pm-9pm;</t>
        </is>
      </c>
      <c r="AB181" s="48" t="inlineStr">
        <is>
          <t>12pm-3pm;6pm-9pm;</t>
        </is>
      </c>
      <c r="AC181" s="48" t="inlineStr">
        <is>
          <t>9am-12pm;</t>
        </is>
      </c>
      <c r="AD181" s="48" t="inlineStr">
        <is>
          <t>6pm-9pm;</t>
        </is>
      </c>
      <c r="AE181" s="48" t="inlineStr">
        <is>
          <t>Online</t>
        </is>
      </c>
      <c r="AF181" s="48" t="inlineStr">
        <is>
          <t>Phone</t>
        </is>
      </c>
      <c r="AG181" s="48" t="inlineStr">
        <is>
          <t>Australia</t>
        </is>
      </c>
      <c r="AH181" s="48" t="inlineStr">
        <is>
          <t>New South Wales</t>
        </is>
      </c>
      <c r="AI181" s="48" t="inlineStr">
        <is>
          <t>Blacktown</t>
        </is>
      </c>
      <c r="AJ181" s="48" t="inlineStr">
        <is>
          <t>2148</t>
        </is>
      </c>
      <c r="AK181" s="49" t="n">
        <v>27615</v>
      </c>
      <c r="AL181" s="48" t="inlineStr">
        <is>
          <t>Male</t>
        </is>
      </c>
      <c r="AM181" s="48" t="inlineStr">
        <is>
          <t>No</t>
        </is>
      </c>
      <c r="AN181" s="48" t="inlineStr">
        <is>
          <t>A1</t>
        </is>
      </c>
      <c r="AO181" s="48" t="inlineStr">
        <is>
          <t>Outstanding</t>
        </is>
      </c>
      <c r="AP181" s="48" t="inlineStr">
        <is>
          <t>Syria; Palestine</t>
        </is>
      </c>
      <c r="AQ181" s="48" t="inlineStr">
        <is>
          <t>NA</t>
        </is>
      </c>
      <c r="AR181" s="48" t="inlineStr">
        <is>
          <t>Dari (B2)</t>
        </is>
      </c>
      <c r="AS181" s="48" t="inlineStr">
        <is>
          <t>Hindu</t>
        </is>
      </c>
      <c r="AT181" s="48" t="inlineStr">
        <is>
          <t>Childcare &amp; Aged Care</t>
        </is>
      </c>
      <c r="AU181" s="48" t="inlineStr">
        <is>
          <t>Retail</t>
        </is>
      </c>
      <c r="AV181" s="48" t="inlineStr">
        <is>
          <t>Medicine</t>
        </is>
      </c>
      <c r="AW181" s="48" t="inlineStr">
        <is>
          <t>Reading; Politics; Music</t>
        </is>
      </c>
      <c r="AX181" s="48" t="inlineStr">
        <is>
          <t>Refugee</t>
        </is>
      </c>
      <c r="AY181" s="48" t="inlineStr">
        <is>
          <t>Yes</t>
        </is>
      </c>
      <c r="AZ181" s="48" t="inlineStr">
        <is>
          <t>Yes</t>
        </is>
      </c>
      <c r="BA181" s="48" t="inlineStr">
        <is>
          <t>NA</t>
        </is>
      </c>
      <c r="BB181" s="48" t="inlineStr">
        <is>
          <t>NA</t>
        </is>
      </c>
      <c r="BC181" s="48" t="inlineStr">
        <is>
          <t>NA</t>
        </is>
      </c>
      <c r="BD181" s="48" t="inlineStr">
        <is>
          <t>NA</t>
        </is>
      </c>
      <c r="BE181" s="48" t="inlineStr"/>
      <c r="BF181" s="48" t="inlineStr"/>
      <c r="BG181" s="48" t="inlineStr">
        <is>
          <t>NA</t>
        </is>
      </c>
      <c r="BH181" s="48" t="inlineStr">
        <is>
          <t>NA - Student</t>
        </is>
      </c>
      <c r="BI181" s="48" t="inlineStr">
        <is>
          <t>Refugee Education Australia</t>
        </is>
      </c>
      <c r="BJ181" s="48" t="inlineStr">
        <is>
          <t>KNIJNIK Marina</t>
        </is>
      </c>
      <c r="BK181" s="48" t="inlineStr">
        <is>
          <t>SHANAHAN Jack</t>
        </is>
      </c>
      <c r="BL181" s="48" t="inlineStr">
        <is>
          <t>Synthetic test record.</t>
        </is>
      </c>
      <c r="BM181" s="48" t="inlineStr"/>
      <c r="BN181" s="48">
        <f>TRIM(IF(AND($H181="Student",$J181="ADM-ACT-MAT-CNE"),"Invalid: Student cannot be CNE. ","")&amp;IF(AND($H181="Student",ISNUMBER($O181)),"Check: capacity set for a Student. ","")&amp;IF(AND(LEFT($J181,11)="ADM-ACT-MAT",$P181=0),"Check: matched status but 0 active pairings. ","")&amp;IF(AND($H181="Tutor",ISNUMBER($O181),$P181&gt;$O181),"Check: pairings exceed capacity. ","")&amp;IF(AND($BH181="Everyone",NOT(AND($BD181="Yes",$BG181="Yes"))),"Check: approved to tutor children but WWCC not provided/confirmed. ","")&amp;IF(AND($P181&gt;0,NOT(AND(OR(LEFT($AY181,3)="Yes",LEFT($AY181,2)="NA"),OR(LEFT($AZ181,3)="Yes",LEFT($AZ181,2)="NA")))),"Matched but vetting incomplete (interview/reference). ","")&amp;IF(COUNTIF($B$3:$B$600,$B181)&gt;1,"Duplicate participant name. ",""))</f>
        <v/>
      </c>
      <c r="BO181" s="48" t="inlineStr"/>
      <c r="BP181" s="48" t="inlineStr"/>
      <c r="BQ181" s="48" t="inlineStr"/>
      <c r="BR181" s="48" t="inlineStr"/>
      <c r="BS181" s="48" t="inlineStr"/>
      <c r="BT181" s="48" t="inlineStr"/>
      <c r="BU181" s="48" t="inlineStr"/>
      <c r="BV181" s="48" t="inlineStr"/>
      <c r="BW181" s="48" t="inlineStr"/>
      <c r="BX181" s="48" t="inlineStr"/>
      <c r="BY181" s="48" t="inlineStr"/>
      <c r="BZ181" s="48" t="inlineStr"/>
      <c r="CA181" s="48" t="inlineStr"/>
      <c r="CB181" s="48" t="inlineStr"/>
      <c r="CC181" s="48" t="inlineStr"/>
      <c r="CD181" s="48" t="inlineStr"/>
      <c r="CE181" s="48" t="inlineStr"/>
      <c r="CF181" s="48" t="inlineStr"/>
      <c r="CG181" s="48" t="inlineStr"/>
      <c r="CH181" s="48" t="inlineStr"/>
      <c r="CI181" s="48" t="inlineStr"/>
      <c r="CJ181" s="48" t="inlineStr"/>
      <c r="CK181" s="48" t="inlineStr"/>
      <c r="CL181" s="48" t="inlineStr"/>
      <c r="CM181" s="48" t="inlineStr"/>
      <c r="CN181" s="48" t="inlineStr"/>
      <c r="CO181" s="48" t="inlineStr"/>
      <c r="CP181" s="48" t="inlineStr"/>
      <c r="CQ181" s="48" t="inlineStr"/>
      <c r="CR181" s="48" t="inlineStr"/>
      <c r="CS181" s="48">
        <f>IF(LEFT($J181,3)="ERR",0,1)</f>
        <v/>
      </c>
      <c r="CT181" s="48">
        <f>IF(LEFT($J181,3)="ADM",1,0)</f>
        <v/>
      </c>
      <c r="CU181" s="48">
        <f>IF(OR($J181="ADM-ACT-MAT-CNE",$J181="ADM-ACT-MAT-CE",$J181="ADM-INACT-M&amp;T"),1,0)</f>
        <v/>
      </c>
      <c r="CV181" s="48">
        <f>IF(AND(CU181=1,ISNUMBER(M181),ISNUMBER(I181)),M181-I181,"")</f>
        <v/>
      </c>
      <c r="CW181" s="48">
        <f>IF(ISNUMBER(I181),TODAY()-I181,"")</f>
        <v/>
      </c>
      <c r="CX181" s="48">
        <f>IF(ISNUMBER(I181),DATE(YEAR(I181),MONTH(I181),1),"")</f>
        <v/>
      </c>
      <c r="CY181" s="48">
        <f>IFERROR(DATEDIF(AK181,TODAY(),"y"),"")</f>
        <v/>
      </c>
      <c r="CZ181" s="48">
        <f>IF(CY181="","",IF(CY181&lt;28,"18-27",IF(CY181&lt;38,"28-37",IF(CY181&lt;48,"38-47",IF(CY181&lt;58,"48-57",IF(CY181&lt;68,"58-67",IF(CY181&lt;78,"68-77","78+")))))) </f>
        <v/>
      </c>
      <c r="DA181" s="48">
        <f>IF(AND(BQ181&lt;&gt;"",BR181=""),N(BS181),0)+IF(AND(BW181&lt;&gt;"",BX181=""),N(BY181),0)+IF(AND(CC181&lt;&gt;"",CD181=""),N(CE181),0)+IF(AND(CI181&lt;&gt;"",CJ181=""),N(CK181),0)+IF(AND(CO181&lt;&gt;"",CP181=""),N(CQ181),0)</f>
        <v/>
      </c>
      <c r="DB181" s="48">
        <f>ROUND(IF(BQ181&lt;&gt;"",N(BS181)*MAX(0,((IF(BR181="",TODAY(),BR181))-BQ181)/7),0)+IF(BW181&lt;&gt;"",N(BY181)*MAX(0,((IF(BX181="",TODAY(),BX181))-BW181)/7),0)+IF(CC181&lt;&gt;"",N(CE181)*MAX(0,((IF(CD181="",TODAY(),CD181))-CC181)/7),0)+IF(CI181&lt;&gt;"",N(CK181)*MAX(0,((IF(CJ181="",TODAY(),CJ181))-CI181)/7),0)+IF(CO181&lt;&gt;"",N(CQ181)*MAX(0,((IF(CP181="",TODAY(),CP181))-CO181)/7),0),1)</f>
        <v/>
      </c>
      <c r="DC181" s="48">
        <f>IF(OR(TRIM(X181)="",TRIM(X181)="NA;",TRIM(X181)="NA"),0,1)</f>
        <v/>
      </c>
      <c r="DD181" s="48">
        <f>IF(OR(TRIM(Y181)="",TRIM(Y181)="NA;",TRIM(Y181)="NA"),0,1)</f>
        <v/>
      </c>
      <c r="DE181" s="48">
        <f>IF(OR(TRIM(Z181)="",TRIM(Z181)="NA;",TRIM(Z181)="NA"),0,1)</f>
        <v/>
      </c>
      <c r="DF181" s="48">
        <f>IF(OR(TRIM(AA181)="",TRIM(AA181)="NA;",TRIM(AA181)="NA"),0,1)</f>
        <v/>
      </c>
      <c r="DG181" s="48">
        <f>IF(OR(TRIM(AB181)="",TRIM(AB181)="NA;",TRIM(AB181)="NA"),0,1)</f>
        <v/>
      </c>
      <c r="DH181" s="48">
        <f>IF(OR(TRIM(AC181)="",TRIM(AC181)="NA;",TRIM(AC181)="NA"),0,1)</f>
        <v/>
      </c>
      <c r="DI181" s="48">
        <f>IF(OR(TRIM(AD181)="",TRIM(AD181)="NA;",TRIM(AD181)="NA"),0,1)</f>
        <v/>
      </c>
      <c r="DJ181" s="48">
        <f>TRIM(IF(DC181=1,"Mon ","")&amp;IF(DD181=1,"Tue ","")&amp;IF(DE181=1,"Wed ","")&amp;IF(DF181=1,"Thu ","")&amp;IF(DG181=1,"Fri ","")&amp;IF(DH181=1,"Sat ","")&amp;IF(DI181=1,"Sun ",""))</f>
        <v/>
      </c>
    </row>
    <row r="182">
      <c r="A182" s="48" t="inlineStr">
        <is>
          <t>S-N-00030</t>
        </is>
      </c>
      <c r="B182" s="48" t="inlineStr">
        <is>
          <t>Iryna Young</t>
        </is>
      </c>
      <c r="C182" s="48" t="inlineStr">
        <is>
          <t>iryna.young80@example.com</t>
        </is>
      </c>
      <c r="D182" s="48" t="inlineStr">
        <is>
          <t>+61 428 027 810</t>
        </is>
      </c>
      <c r="E182" s="48" t="inlineStr">
        <is>
          <t>Dmytro Petrov</t>
        </is>
      </c>
      <c r="F182" s="48" t="inlineStr">
        <is>
          <t>+61 440 472 899</t>
        </is>
      </c>
      <c r="G182" s="48" t="inlineStr">
        <is>
          <t>Caseworker</t>
        </is>
      </c>
      <c r="H182" s="48" t="inlineStr">
        <is>
          <t>Student</t>
        </is>
      </c>
      <c r="I182" s="49" t="n">
        <v>45862</v>
      </c>
      <c r="J182" s="48" t="inlineStr">
        <is>
          <t>ADM-ACT-MAT-CE</t>
        </is>
      </c>
      <c r="K182" s="48">
        <f>IFERROR(VLOOKUP(J182,'(A) Introduction'!$B$35:$C$45,2,FALSE),"")</f>
        <v/>
      </c>
      <c r="L182" s="48" t="inlineStr">
        <is>
          <t>No</t>
        </is>
      </c>
      <c r="M182" s="49" t="n">
        <v>45920</v>
      </c>
      <c r="N182" s="48" t="inlineStr"/>
      <c r="O182" s="48" t="inlineStr">
        <is>
          <t>NA</t>
        </is>
      </c>
      <c r="P182" s="48">
        <f>IF($H182="Tutor",((BQ182&lt;&gt;"")*(BR182=""))+((BW182&lt;&gt;"")*(BX182=""))+((CC182&lt;&gt;"")*(CD182=""))+((CI182&lt;&gt;"")*(CJ182=""))+((CO182&lt;&gt;"")*(CP182="")),SUMPRODUCT(--($BO$3:$BO$202=$A182),--($BR$3:$BR$202=""))+SUMPRODUCT(--($BU$3:$BU$202=$A182),--($BX$3:$BX$202=""))+SUMPRODUCT(--($CA$3:$CA$202=$A182),--($CD$3:$CD$202=""))+SUMPRODUCT(--($CG$3:$CG$202=$A182),--($CJ$3:$CJ$202=""))+SUMPRODUCT(--($CM$3:$CM$202=$A182),--($CP$3:$CP$202="")))</f>
        <v/>
      </c>
      <c r="Q182" s="48">
        <f>IF($H182="Tutor",(BQ182&lt;&gt;"")+(BW182&lt;&gt;"")+(CC182&lt;&gt;"")+(CI182&lt;&gt;"")+(CO182&lt;&gt;""),SUMPRODUCT(--($BO$3:$BO$202=$A182))+SUMPRODUCT(--($BU$3:$BU$202=$A182))+SUMPRODUCT(--($CA$3:$CA$202=$A182))+SUMPRODUCT(--($CG$3:$CG$202=$A182))+SUMPRODUCT(--($CM$3:$CM$202=$A182)))</f>
        <v/>
      </c>
      <c r="R182" s="48">
        <f>IF($H182="Tutor",TRIM(IF(AND(BQ182&lt;&gt;"",BR182=""),BP182&amp;"; ","")&amp;IF(AND(BW182&lt;&gt;"",BX182=""),BV182&amp;"; ","")&amp;IF(AND(CC182&lt;&gt;"",CD182=""),CB182&amp;"; ","")&amp;IF(AND(CI182&lt;&gt;"",CJ182=""),CH182&amp;"; ","")&amp;IF(AND(CO182&lt;&gt;"",CP182=""),CN182&amp;"; ","")),IFERROR(INDEX($A$3:$B$202,(SUMPRODUCT(($BO$3:$BO$202=$A182)*($BR$3:$BR$202="")*ROW($BO$3:$BO$202))+SUMPRODUCT(($BU$3:$BU$202=$A182)*($BX$3:$BX$202="")*ROW($BU$3:$BU$202))+SUMPRODUCT(($CA$3:$CA$202=$A182)*($CD$3:$CD$202="")*ROW($CA$3:$CA$202))+SUMPRODUCT(($CG$3:$CG$202=$A182)*($CJ$3:$CJ$202="")*ROW($CG$3:$CG$202))+SUMPRODUCT(($CM$3:$CM$202=$A182)*($CP$3:$CP$202="")*ROW($CM$3:$CM$202)))-2,2),""))</f>
        <v/>
      </c>
      <c r="S182" s="48" t="inlineStr">
        <is>
          <t>Provided</t>
        </is>
      </c>
      <c r="T182" s="48" t="inlineStr"/>
      <c r="U182" s="48" t="inlineStr"/>
      <c r="V182" s="49" t="n">
        <v>45900</v>
      </c>
      <c r="W182" s="48" t="inlineStr">
        <is>
          <t>AEST (UTC+10)</t>
        </is>
      </c>
      <c r="X182" s="48" t="inlineStr">
        <is>
          <t>3pm-6pm;</t>
        </is>
      </c>
      <c r="Y182" s="48" t="inlineStr">
        <is>
          <t>6pm-9pm;</t>
        </is>
      </c>
      <c r="Z182" s="48" t="inlineStr">
        <is>
          <t>6pm-9pm;</t>
        </is>
      </c>
      <c r="AA182" s="48" t="inlineStr">
        <is>
          <t>3pm-6pm;</t>
        </is>
      </c>
      <c r="AB182" s="48" t="inlineStr">
        <is>
          <t>12pm-3pm;6pm-9pm;</t>
        </is>
      </c>
      <c r="AC182" s="48" t="inlineStr">
        <is>
          <t>9am-12pm;</t>
        </is>
      </c>
      <c r="AD182" s="48" t="inlineStr">
        <is>
          <t>6pm-9pm;</t>
        </is>
      </c>
      <c r="AE182" s="48" t="inlineStr">
        <is>
          <t>Either</t>
        </is>
      </c>
      <c r="AF182" s="48" t="inlineStr">
        <is>
          <t>Phone</t>
        </is>
      </c>
      <c r="AG182" s="48" t="inlineStr">
        <is>
          <t>Australia</t>
        </is>
      </c>
      <c r="AH182" s="48" t="inlineStr">
        <is>
          <t>New South Wales</t>
        </is>
      </c>
      <c r="AI182" s="48" t="inlineStr">
        <is>
          <t>Blacktown</t>
        </is>
      </c>
      <c r="AJ182" s="48" t="inlineStr">
        <is>
          <t>2148</t>
        </is>
      </c>
      <c r="AK182" s="49" t="n">
        <v>23113</v>
      </c>
      <c r="AL182" s="48" t="inlineStr">
        <is>
          <t>Female</t>
        </is>
      </c>
      <c r="AM182" s="48" t="inlineStr">
        <is>
          <t>No</t>
        </is>
      </c>
      <c r="AN182" s="48" t="inlineStr">
        <is>
          <t>B2</t>
        </is>
      </c>
      <c r="AO182" s="48" t="inlineStr">
        <is>
          <t>Low</t>
        </is>
      </c>
      <c r="AP182" s="48" t="inlineStr">
        <is>
          <t>Palestine</t>
        </is>
      </c>
      <c r="AQ182" s="48" t="inlineStr">
        <is>
          <t>NA</t>
        </is>
      </c>
      <c r="AR182" s="48" t="inlineStr">
        <is>
          <t>Pashto (B2)</t>
        </is>
      </c>
      <c r="AS182" s="48" t="inlineStr">
        <is>
          <t>Hindu</t>
        </is>
      </c>
      <c r="AT182" s="48" t="inlineStr">
        <is>
          <t>Health &amp; Medicine</t>
        </is>
      </c>
      <c r="AU182" s="48" t="inlineStr">
        <is>
          <t>Lawyer</t>
        </is>
      </c>
      <c r="AV182" s="48" t="inlineStr">
        <is>
          <t>Child Care</t>
        </is>
      </c>
      <c r="AW182" s="48" t="inlineStr">
        <is>
          <t>Gardening; Cooking; Walking</t>
        </is>
      </c>
      <c r="AX182" s="48" t="inlineStr">
        <is>
          <t>Refugee</t>
        </is>
      </c>
      <c r="AY182" s="48" t="inlineStr">
        <is>
          <t>NA - Partner Organisation Verified</t>
        </is>
      </c>
      <c r="AZ182" s="48" t="inlineStr">
        <is>
          <t>Yes</t>
        </is>
      </c>
      <c r="BA182" s="48" t="inlineStr">
        <is>
          <t>NA</t>
        </is>
      </c>
      <c r="BB182" s="48" t="inlineStr">
        <is>
          <t>NA</t>
        </is>
      </c>
      <c r="BC182" s="48" t="inlineStr">
        <is>
          <t>NA</t>
        </is>
      </c>
      <c r="BD182" s="48" t="inlineStr">
        <is>
          <t>NA</t>
        </is>
      </c>
      <c r="BE182" s="48" t="inlineStr"/>
      <c r="BF182" s="48" t="inlineStr"/>
      <c r="BG182" s="48" t="inlineStr">
        <is>
          <t>NA</t>
        </is>
      </c>
      <c r="BH182" s="48" t="inlineStr">
        <is>
          <t>NA - Student</t>
        </is>
      </c>
      <c r="BI182" s="48" t="inlineStr">
        <is>
          <t>National Justice Project</t>
        </is>
      </c>
      <c r="BJ182" s="48" t="inlineStr">
        <is>
          <t>HALLORAN Isobel</t>
        </is>
      </c>
      <c r="BK182" s="48" t="inlineStr">
        <is>
          <t>SINGH Veera</t>
        </is>
      </c>
      <c r="BL182" s="48" t="inlineStr">
        <is>
          <t>Synthetic test record.</t>
        </is>
      </c>
      <c r="BM182" s="48" t="inlineStr"/>
      <c r="BN182" s="48">
        <f>TRIM(IF(AND($H182="Student",$J182="ADM-ACT-MAT-CNE"),"Invalid: Student cannot be CNE. ","")&amp;IF(AND($H182="Student",ISNUMBER($O182)),"Check: capacity set for a Student. ","")&amp;IF(AND(LEFT($J182,11)="ADM-ACT-MAT",$P182=0),"Check: matched status but 0 active pairings. ","")&amp;IF(AND($H182="Tutor",ISNUMBER($O182),$P182&gt;$O182),"Check: pairings exceed capacity. ","")&amp;IF(AND($BH182="Everyone",NOT(AND($BD182="Yes",$BG182="Yes"))),"Check: approved to tutor children but WWCC not provided/confirmed. ","")&amp;IF(AND($P182&gt;0,NOT(AND(OR(LEFT($AY182,3)="Yes",LEFT($AY182,2)="NA"),OR(LEFT($AZ182,3)="Yes",LEFT($AZ182,2)="NA")))),"Matched but vetting incomplete (interview/reference). ","")&amp;IF(COUNTIF($B$3:$B$600,$B182)&gt;1,"Duplicate participant name. ",""))</f>
        <v/>
      </c>
      <c r="BO182" s="48" t="inlineStr"/>
      <c r="BP182" s="48" t="inlineStr"/>
      <c r="BQ182" s="48" t="inlineStr"/>
      <c r="BR182" s="48" t="inlineStr"/>
      <c r="BS182" s="48" t="inlineStr"/>
      <c r="BT182" s="48" t="inlineStr"/>
      <c r="BU182" s="48" t="inlineStr"/>
      <c r="BV182" s="48" t="inlineStr"/>
      <c r="BW182" s="48" t="inlineStr"/>
      <c r="BX182" s="48" t="inlineStr"/>
      <c r="BY182" s="48" t="inlineStr"/>
      <c r="BZ182" s="48" t="inlineStr"/>
      <c r="CA182" s="48" t="inlineStr"/>
      <c r="CB182" s="48" t="inlineStr"/>
      <c r="CC182" s="48" t="inlineStr"/>
      <c r="CD182" s="48" t="inlineStr"/>
      <c r="CE182" s="48" t="inlineStr"/>
      <c r="CF182" s="48" t="inlineStr"/>
      <c r="CG182" s="48" t="inlineStr"/>
      <c r="CH182" s="48" t="inlineStr"/>
      <c r="CI182" s="48" t="inlineStr"/>
      <c r="CJ182" s="48" t="inlineStr"/>
      <c r="CK182" s="48" t="inlineStr"/>
      <c r="CL182" s="48" t="inlineStr"/>
      <c r="CM182" s="48" t="inlineStr"/>
      <c r="CN182" s="48" t="inlineStr"/>
      <c r="CO182" s="48" t="inlineStr"/>
      <c r="CP182" s="48" t="inlineStr"/>
      <c r="CQ182" s="48" t="inlineStr"/>
      <c r="CR182" s="48" t="inlineStr"/>
      <c r="CS182" s="48">
        <f>IF(LEFT($J182,3)="ERR",0,1)</f>
        <v/>
      </c>
      <c r="CT182" s="48">
        <f>IF(LEFT($J182,3)="ADM",1,0)</f>
        <v/>
      </c>
      <c r="CU182" s="48">
        <f>IF(OR($J182="ADM-ACT-MAT-CNE",$J182="ADM-ACT-MAT-CE",$J182="ADM-INACT-M&amp;T"),1,0)</f>
        <v/>
      </c>
      <c r="CV182" s="48">
        <f>IF(AND(CU182=1,ISNUMBER(M182),ISNUMBER(I182)),M182-I182,"")</f>
        <v/>
      </c>
      <c r="CW182" s="48">
        <f>IF(ISNUMBER(I182),TODAY()-I182,"")</f>
        <v/>
      </c>
      <c r="CX182" s="48">
        <f>IF(ISNUMBER(I182),DATE(YEAR(I182),MONTH(I182),1),"")</f>
        <v/>
      </c>
      <c r="CY182" s="48">
        <f>IFERROR(DATEDIF(AK182,TODAY(),"y"),"")</f>
        <v/>
      </c>
      <c r="CZ182" s="48">
        <f>IF(CY182="","",IF(CY182&lt;28,"18-27",IF(CY182&lt;38,"28-37",IF(CY182&lt;48,"38-47",IF(CY182&lt;58,"48-57",IF(CY182&lt;68,"58-67",IF(CY182&lt;78,"68-77","78+")))))) </f>
        <v/>
      </c>
      <c r="DA182" s="48">
        <f>IF(AND(BQ182&lt;&gt;"",BR182=""),N(BS182),0)+IF(AND(BW182&lt;&gt;"",BX182=""),N(BY182),0)+IF(AND(CC182&lt;&gt;"",CD182=""),N(CE182),0)+IF(AND(CI182&lt;&gt;"",CJ182=""),N(CK182),0)+IF(AND(CO182&lt;&gt;"",CP182=""),N(CQ182),0)</f>
        <v/>
      </c>
      <c r="DB182" s="48">
        <f>ROUND(IF(BQ182&lt;&gt;"",N(BS182)*MAX(0,((IF(BR182="",TODAY(),BR182))-BQ182)/7),0)+IF(BW182&lt;&gt;"",N(BY182)*MAX(0,((IF(BX182="",TODAY(),BX182))-BW182)/7),0)+IF(CC182&lt;&gt;"",N(CE182)*MAX(0,((IF(CD182="",TODAY(),CD182))-CC182)/7),0)+IF(CI182&lt;&gt;"",N(CK182)*MAX(0,((IF(CJ182="",TODAY(),CJ182))-CI182)/7),0)+IF(CO182&lt;&gt;"",N(CQ182)*MAX(0,((IF(CP182="",TODAY(),CP182))-CO182)/7),0),1)</f>
        <v/>
      </c>
      <c r="DC182" s="48">
        <f>IF(OR(TRIM(X182)="",TRIM(X182)="NA;",TRIM(X182)="NA"),0,1)</f>
        <v/>
      </c>
      <c r="DD182" s="48">
        <f>IF(OR(TRIM(Y182)="",TRIM(Y182)="NA;",TRIM(Y182)="NA"),0,1)</f>
        <v/>
      </c>
      <c r="DE182" s="48">
        <f>IF(OR(TRIM(Z182)="",TRIM(Z182)="NA;",TRIM(Z182)="NA"),0,1)</f>
        <v/>
      </c>
      <c r="DF182" s="48">
        <f>IF(OR(TRIM(AA182)="",TRIM(AA182)="NA;",TRIM(AA182)="NA"),0,1)</f>
        <v/>
      </c>
      <c r="DG182" s="48">
        <f>IF(OR(TRIM(AB182)="",TRIM(AB182)="NA;",TRIM(AB182)="NA"),0,1)</f>
        <v/>
      </c>
      <c r="DH182" s="48">
        <f>IF(OR(TRIM(AC182)="",TRIM(AC182)="NA;",TRIM(AC182)="NA"),0,1)</f>
        <v/>
      </c>
      <c r="DI182" s="48">
        <f>IF(OR(TRIM(AD182)="",TRIM(AD182)="NA;",TRIM(AD182)="NA"),0,1)</f>
        <v/>
      </c>
      <c r="DJ182" s="48">
        <f>TRIM(IF(DC182=1,"Mon ","")&amp;IF(DD182=1,"Tue ","")&amp;IF(DE182=1,"Wed ","")&amp;IF(DF182=1,"Thu ","")&amp;IF(DG182=1,"Fri ","")&amp;IF(DH182=1,"Sat ","")&amp;IF(DI182=1,"Sun ",""))</f>
        <v/>
      </c>
    </row>
    <row r="183">
      <c r="A183" s="48" t="inlineStr">
        <is>
          <t>S-N-00031</t>
        </is>
      </c>
      <c r="B183" s="48" t="inlineStr">
        <is>
          <t>Nadia Yang</t>
        </is>
      </c>
      <c r="C183" s="48" t="inlineStr">
        <is>
          <t>nadia.yang81@example.com</t>
        </is>
      </c>
      <c r="D183" s="48" t="inlineStr">
        <is>
          <t>+61 406 279 369</t>
        </is>
      </c>
      <c r="E183" s="48" t="inlineStr">
        <is>
          <t>Luke Wilson</t>
        </is>
      </c>
      <c r="F183" s="48" t="inlineStr">
        <is>
          <t>+61 452 348 943</t>
        </is>
      </c>
      <c r="G183" s="48" t="inlineStr">
        <is>
          <t>Parent</t>
        </is>
      </c>
      <c r="H183" s="48" t="inlineStr">
        <is>
          <t>Student</t>
        </is>
      </c>
      <c r="I183" s="49" t="n">
        <v>45863</v>
      </c>
      <c r="J183" s="48" t="inlineStr">
        <is>
          <t>ADM-ACT-MAT-CE</t>
        </is>
      </c>
      <c r="K183" s="48">
        <f>IFERROR(VLOOKUP(J183,'(A) Introduction'!$B$35:$C$45,2,FALSE),"")</f>
        <v/>
      </c>
      <c r="L183" s="48" t="inlineStr">
        <is>
          <t>No</t>
        </is>
      </c>
      <c r="M183" s="49" t="n">
        <v>45943</v>
      </c>
      <c r="N183" s="48" t="inlineStr"/>
      <c r="O183" s="48" t="inlineStr">
        <is>
          <t>NA</t>
        </is>
      </c>
      <c r="P183" s="48">
        <f>IF($H183="Tutor",((BQ183&lt;&gt;"")*(BR183=""))+((BW183&lt;&gt;"")*(BX183=""))+((CC183&lt;&gt;"")*(CD183=""))+((CI183&lt;&gt;"")*(CJ183=""))+((CO183&lt;&gt;"")*(CP183="")),SUMPRODUCT(--($BO$3:$BO$202=$A183),--($BR$3:$BR$202=""))+SUMPRODUCT(--($BU$3:$BU$202=$A183),--($BX$3:$BX$202=""))+SUMPRODUCT(--($CA$3:$CA$202=$A183),--($CD$3:$CD$202=""))+SUMPRODUCT(--($CG$3:$CG$202=$A183),--($CJ$3:$CJ$202=""))+SUMPRODUCT(--($CM$3:$CM$202=$A183),--($CP$3:$CP$202="")))</f>
        <v/>
      </c>
      <c r="Q183" s="48">
        <f>IF($H183="Tutor",(BQ183&lt;&gt;"")+(BW183&lt;&gt;"")+(CC183&lt;&gt;"")+(CI183&lt;&gt;"")+(CO183&lt;&gt;""),SUMPRODUCT(--($BO$3:$BO$202=$A183))+SUMPRODUCT(--($BU$3:$BU$202=$A183))+SUMPRODUCT(--($CA$3:$CA$202=$A183))+SUMPRODUCT(--($CG$3:$CG$202=$A183))+SUMPRODUCT(--($CM$3:$CM$202=$A183)))</f>
        <v/>
      </c>
      <c r="R183" s="48">
        <f>IF($H183="Tutor",TRIM(IF(AND(BQ183&lt;&gt;"",BR183=""),BP183&amp;"; ","")&amp;IF(AND(BW183&lt;&gt;"",BX183=""),BV183&amp;"; ","")&amp;IF(AND(CC183&lt;&gt;"",CD183=""),CB183&amp;"; ","")&amp;IF(AND(CI183&lt;&gt;"",CJ183=""),CH183&amp;"; ","")&amp;IF(AND(CO183&lt;&gt;"",CP183=""),CN183&amp;"; ","")),IFERROR(INDEX($A$3:$B$202,(SUMPRODUCT(($BO$3:$BO$202=$A183)*($BR$3:$BR$202="")*ROW($BO$3:$BO$202))+SUMPRODUCT(($BU$3:$BU$202=$A183)*($BX$3:$BX$202="")*ROW($BU$3:$BU$202))+SUMPRODUCT(($CA$3:$CA$202=$A183)*($CD$3:$CD$202="")*ROW($CA$3:$CA$202))+SUMPRODUCT(($CG$3:$CG$202=$A183)*($CJ$3:$CJ$202="")*ROW($CG$3:$CG$202))+SUMPRODUCT(($CM$3:$CM$202=$A183)*($CP$3:$CP$202="")*ROW($CM$3:$CM$202)))-2,2),""))</f>
        <v/>
      </c>
      <c r="S183" s="48" t="inlineStr">
        <is>
          <t>NA</t>
        </is>
      </c>
      <c r="T183" s="48" t="inlineStr"/>
      <c r="U183" s="48" t="inlineStr"/>
      <c r="V183" s="49" t="n">
        <v>45899</v>
      </c>
      <c r="W183" s="48" t="inlineStr">
        <is>
          <t>AEST (UTC+10)</t>
        </is>
      </c>
      <c r="X183" s="48" t="inlineStr">
        <is>
          <t>NA;</t>
        </is>
      </c>
      <c r="Y183" s="48" t="inlineStr">
        <is>
          <t>3pm-6pm;</t>
        </is>
      </c>
      <c r="Z183" s="48" t="inlineStr">
        <is>
          <t>3pm-6pm;</t>
        </is>
      </c>
      <c r="AA183" s="48" t="inlineStr">
        <is>
          <t>9am-12pm;12pm-3pm;3pm-6pm;</t>
        </is>
      </c>
      <c r="AB183" s="48" t="inlineStr">
        <is>
          <t>6pm-9pm;</t>
        </is>
      </c>
      <c r="AC183" s="48" t="inlineStr">
        <is>
          <t>9am-12pm;12pm-3pm;3pm-6pm;</t>
        </is>
      </c>
      <c r="AD183" s="48" t="inlineStr">
        <is>
          <t>12pm-3pm;</t>
        </is>
      </c>
      <c r="AE183" s="48" t="inlineStr">
        <is>
          <t>Either</t>
        </is>
      </c>
      <c r="AF183" s="48" t="inlineStr">
        <is>
          <t>Phone</t>
        </is>
      </c>
      <c r="AG183" s="48" t="inlineStr">
        <is>
          <t>Australia</t>
        </is>
      </c>
      <c r="AH183" s="48" t="inlineStr">
        <is>
          <t>New South Wales</t>
        </is>
      </c>
      <c r="AI183" s="48" t="inlineStr">
        <is>
          <t>Greenacre</t>
        </is>
      </c>
      <c r="AJ183" s="48" t="inlineStr">
        <is>
          <t>2190</t>
        </is>
      </c>
      <c r="AK183" s="49" t="n">
        <v>35175</v>
      </c>
      <c r="AL183" s="48" t="inlineStr">
        <is>
          <t>Female</t>
        </is>
      </c>
      <c r="AM183" s="48" t="inlineStr">
        <is>
          <t>No</t>
        </is>
      </c>
      <c r="AN183" s="48" t="inlineStr">
        <is>
          <t>B1</t>
        </is>
      </c>
      <c r="AO183" s="48" t="inlineStr">
        <is>
          <t>High</t>
        </is>
      </c>
      <c r="AP183" s="48" t="inlineStr">
        <is>
          <t>Somalia</t>
        </is>
      </c>
      <c r="AQ183" s="48" t="inlineStr">
        <is>
          <t>NA</t>
        </is>
      </c>
      <c r="AR183" s="48" t="inlineStr">
        <is>
          <t>Bengali (C1)</t>
        </is>
      </c>
      <c r="AS183" s="48" t="inlineStr">
        <is>
          <t>Christian</t>
        </is>
      </c>
      <c r="AT183" s="48" t="inlineStr">
        <is>
          <t>Military &amp; Public Safety</t>
        </is>
      </c>
      <c r="AU183" s="48" t="inlineStr">
        <is>
          <t>Aged Care Worker</t>
        </is>
      </c>
      <c r="AV183" s="48" t="inlineStr">
        <is>
          <t>Nursing</t>
        </is>
      </c>
      <c r="AW183" s="48" t="inlineStr">
        <is>
          <t>Gardening; Cooking; Walking</t>
        </is>
      </c>
      <c r="AX183" s="48" t="inlineStr">
        <is>
          <t>Refugee</t>
        </is>
      </c>
      <c r="AY183" s="48" t="inlineStr">
        <is>
          <t>Yes</t>
        </is>
      </c>
      <c r="AZ183" s="48" t="inlineStr">
        <is>
          <t>Yes</t>
        </is>
      </c>
      <c r="BA183" s="48" t="inlineStr">
        <is>
          <t>NA</t>
        </is>
      </c>
      <c r="BB183" s="48" t="inlineStr">
        <is>
          <t>NA</t>
        </is>
      </c>
      <c r="BC183" s="48" t="inlineStr">
        <is>
          <t>NA</t>
        </is>
      </c>
      <c r="BD183" s="48" t="inlineStr">
        <is>
          <t>NA</t>
        </is>
      </c>
      <c r="BE183" s="48" t="inlineStr"/>
      <c r="BF183" s="48" t="inlineStr"/>
      <c r="BG183" s="48" t="inlineStr">
        <is>
          <t>NA</t>
        </is>
      </c>
      <c r="BH183" s="48" t="inlineStr">
        <is>
          <t>NA - Student</t>
        </is>
      </c>
      <c r="BI183" s="48" t="inlineStr">
        <is>
          <t>University of Sydney (including St. Paul's College)</t>
        </is>
      </c>
      <c r="BJ183" s="48" t="inlineStr">
        <is>
          <t>KNIJNIK Marina</t>
        </is>
      </c>
      <c r="BK183" s="48" t="inlineStr">
        <is>
          <t>MCCLELLAND Reeve</t>
        </is>
      </c>
      <c r="BL183" s="48" t="inlineStr">
        <is>
          <t>Synthetic test record.</t>
        </is>
      </c>
      <c r="BM183" s="48" t="inlineStr"/>
      <c r="BN183" s="48">
        <f>TRIM(IF(AND($H183="Student",$J183="ADM-ACT-MAT-CNE"),"Invalid: Student cannot be CNE. ","")&amp;IF(AND($H183="Student",ISNUMBER($O183)),"Check: capacity set for a Student. ","")&amp;IF(AND(LEFT($J183,11)="ADM-ACT-MAT",$P183=0),"Check: matched status but 0 active pairings. ","")&amp;IF(AND($H183="Tutor",ISNUMBER($O183),$P183&gt;$O183),"Check: pairings exceed capacity. ","")&amp;IF(AND($BH183="Everyone",NOT(AND($BD183="Yes",$BG183="Yes"))),"Check: approved to tutor children but WWCC not provided/confirmed. ","")&amp;IF(AND($P183&gt;0,NOT(AND(OR(LEFT($AY183,3)="Yes",LEFT($AY183,2)="NA"),OR(LEFT($AZ183,3)="Yes",LEFT($AZ183,2)="NA")))),"Matched but vetting incomplete (interview/reference). ","")&amp;IF(COUNTIF($B$3:$B$600,$B183)&gt;1,"Duplicate participant name. ",""))</f>
        <v/>
      </c>
      <c r="BO183" s="48" t="inlineStr"/>
      <c r="BP183" s="48" t="inlineStr"/>
      <c r="BQ183" s="48" t="inlineStr"/>
      <c r="BR183" s="48" t="inlineStr"/>
      <c r="BS183" s="48" t="inlineStr"/>
      <c r="BT183" s="48" t="inlineStr"/>
      <c r="BU183" s="48" t="inlineStr"/>
      <c r="BV183" s="48" t="inlineStr"/>
      <c r="BW183" s="48" t="inlineStr"/>
      <c r="BX183" s="48" t="inlineStr"/>
      <c r="BY183" s="48" t="inlineStr"/>
      <c r="BZ183" s="48" t="inlineStr"/>
      <c r="CA183" s="48" t="inlineStr"/>
      <c r="CB183" s="48" t="inlineStr"/>
      <c r="CC183" s="48" t="inlineStr"/>
      <c r="CD183" s="48" t="inlineStr"/>
      <c r="CE183" s="48" t="inlineStr"/>
      <c r="CF183" s="48" t="inlineStr"/>
      <c r="CG183" s="48" t="inlineStr"/>
      <c r="CH183" s="48" t="inlineStr"/>
      <c r="CI183" s="48" t="inlineStr"/>
      <c r="CJ183" s="48" t="inlineStr"/>
      <c r="CK183" s="48" t="inlineStr"/>
      <c r="CL183" s="48" t="inlineStr"/>
      <c r="CM183" s="48" t="inlineStr"/>
      <c r="CN183" s="48" t="inlineStr"/>
      <c r="CO183" s="48" t="inlineStr"/>
      <c r="CP183" s="48" t="inlineStr"/>
      <c r="CQ183" s="48" t="inlineStr"/>
      <c r="CR183" s="48" t="inlineStr"/>
      <c r="CS183" s="48">
        <f>IF(LEFT($J183,3)="ERR",0,1)</f>
        <v/>
      </c>
      <c r="CT183" s="48">
        <f>IF(LEFT($J183,3)="ADM",1,0)</f>
        <v/>
      </c>
      <c r="CU183" s="48">
        <f>IF(OR($J183="ADM-ACT-MAT-CNE",$J183="ADM-ACT-MAT-CE",$J183="ADM-INACT-M&amp;T"),1,0)</f>
        <v/>
      </c>
      <c r="CV183" s="48">
        <f>IF(AND(CU183=1,ISNUMBER(M183),ISNUMBER(I183)),M183-I183,"")</f>
        <v/>
      </c>
      <c r="CW183" s="48">
        <f>IF(ISNUMBER(I183),TODAY()-I183,"")</f>
        <v/>
      </c>
      <c r="CX183" s="48">
        <f>IF(ISNUMBER(I183),DATE(YEAR(I183),MONTH(I183),1),"")</f>
        <v/>
      </c>
      <c r="CY183" s="48">
        <f>IFERROR(DATEDIF(AK183,TODAY(),"y"),"")</f>
        <v/>
      </c>
      <c r="CZ183" s="48">
        <f>IF(CY183="","",IF(CY183&lt;28,"18-27",IF(CY183&lt;38,"28-37",IF(CY183&lt;48,"38-47",IF(CY183&lt;58,"48-57",IF(CY183&lt;68,"58-67",IF(CY183&lt;78,"68-77","78+")))))) </f>
        <v/>
      </c>
      <c r="DA183" s="48">
        <f>IF(AND(BQ183&lt;&gt;"",BR183=""),N(BS183),0)+IF(AND(BW183&lt;&gt;"",BX183=""),N(BY183),0)+IF(AND(CC183&lt;&gt;"",CD183=""),N(CE183),0)+IF(AND(CI183&lt;&gt;"",CJ183=""),N(CK183),0)+IF(AND(CO183&lt;&gt;"",CP183=""),N(CQ183),0)</f>
        <v/>
      </c>
      <c r="DB183" s="48">
        <f>ROUND(IF(BQ183&lt;&gt;"",N(BS183)*MAX(0,((IF(BR183="",TODAY(),BR183))-BQ183)/7),0)+IF(BW183&lt;&gt;"",N(BY183)*MAX(0,((IF(BX183="",TODAY(),BX183))-BW183)/7),0)+IF(CC183&lt;&gt;"",N(CE183)*MAX(0,((IF(CD183="",TODAY(),CD183))-CC183)/7),0)+IF(CI183&lt;&gt;"",N(CK183)*MAX(0,((IF(CJ183="",TODAY(),CJ183))-CI183)/7),0)+IF(CO183&lt;&gt;"",N(CQ183)*MAX(0,((IF(CP183="",TODAY(),CP183))-CO183)/7),0),1)</f>
        <v/>
      </c>
      <c r="DC183" s="48">
        <f>IF(OR(TRIM(X183)="",TRIM(X183)="NA;",TRIM(X183)="NA"),0,1)</f>
        <v/>
      </c>
      <c r="DD183" s="48">
        <f>IF(OR(TRIM(Y183)="",TRIM(Y183)="NA;",TRIM(Y183)="NA"),0,1)</f>
        <v/>
      </c>
      <c r="DE183" s="48">
        <f>IF(OR(TRIM(Z183)="",TRIM(Z183)="NA;",TRIM(Z183)="NA"),0,1)</f>
        <v/>
      </c>
      <c r="DF183" s="48">
        <f>IF(OR(TRIM(AA183)="",TRIM(AA183)="NA;",TRIM(AA183)="NA"),0,1)</f>
        <v/>
      </c>
      <c r="DG183" s="48">
        <f>IF(OR(TRIM(AB183)="",TRIM(AB183)="NA;",TRIM(AB183)="NA"),0,1)</f>
        <v/>
      </c>
      <c r="DH183" s="48">
        <f>IF(OR(TRIM(AC183)="",TRIM(AC183)="NA;",TRIM(AC183)="NA"),0,1)</f>
        <v/>
      </c>
      <c r="DI183" s="48">
        <f>IF(OR(TRIM(AD183)="",TRIM(AD183)="NA;",TRIM(AD183)="NA"),0,1)</f>
        <v/>
      </c>
      <c r="DJ183" s="48">
        <f>TRIM(IF(DC183=1,"Mon ","")&amp;IF(DD183=1,"Tue ","")&amp;IF(DE183=1,"Wed ","")&amp;IF(DF183=1,"Thu ","")&amp;IF(DG183=1,"Fri ","")&amp;IF(DH183=1,"Sat ","")&amp;IF(DI183=1,"Sun ",""))</f>
        <v/>
      </c>
    </row>
    <row r="184">
      <c r="A184" s="48" t="inlineStr">
        <is>
          <t>S-N-00032</t>
        </is>
      </c>
      <c r="B184" s="48" t="inlineStr">
        <is>
          <t>Fatima Ibrahim</t>
        </is>
      </c>
      <c r="C184" s="48" t="inlineStr">
        <is>
          <t>fatima.ibrahim82@example.com</t>
        </is>
      </c>
      <c r="D184" s="48" t="inlineStr">
        <is>
          <t>+61 464 226 851</t>
        </is>
      </c>
      <c r="E184" s="48" t="inlineStr">
        <is>
          <t>Diego Ali</t>
        </is>
      </c>
      <c r="F184" s="48" t="inlineStr">
        <is>
          <t>+61 426 133 080</t>
        </is>
      </c>
      <c r="G184" s="48" t="inlineStr">
        <is>
          <t>Adult Child</t>
        </is>
      </c>
      <c r="H184" s="48" t="inlineStr">
        <is>
          <t>Student</t>
        </is>
      </c>
      <c r="I184" s="49" t="n">
        <v>45873</v>
      </c>
      <c r="J184" s="48" t="inlineStr">
        <is>
          <t>ADM-ACT-MAT-CE</t>
        </is>
      </c>
      <c r="K184" s="48">
        <f>IFERROR(VLOOKUP(J184,'(A) Introduction'!$B$35:$C$45,2,FALSE),"")</f>
        <v/>
      </c>
      <c r="L184" s="48" t="inlineStr">
        <is>
          <t>No</t>
        </is>
      </c>
      <c r="M184" s="49" t="n">
        <v>45919</v>
      </c>
      <c r="N184" s="48" t="inlineStr"/>
      <c r="O184" s="48" t="inlineStr">
        <is>
          <t>NA</t>
        </is>
      </c>
      <c r="P184" s="48">
        <f>IF($H184="Tutor",((BQ184&lt;&gt;"")*(BR184=""))+((BW184&lt;&gt;"")*(BX184=""))+((CC184&lt;&gt;"")*(CD184=""))+((CI184&lt;&gt;"")*(CJ184=""))+((CO184&lt;&gt;"")*(CP184="")),SUMPRODUCT(--($BO$3:$BO$202=$A184),--($BR$3:$BR$202=""))+SUMPRODUCT(--($BU$3:$BU$202=$A184),--($BX$3:$BX$202=""))+SUMPRODUCT(--($CA$3:$CA$202=$A184),--($CD$3:$CD$202=""))+SUMPRODUCT(--($CG$3:$CG$202=$A184),--($CJ$3:$CJ$202=""))+SUMPRODUCT(--($CM$3:$CM$202=$A184),--($CP$3:$CP$202="")))</f>
        <v/>
      </c>
      <c r="Q184" s="48">
        <f>IF($H184="Tutor",(BQ184&lt;&gt;"")+(BW184&lt;&gt;"")+(CC184&lt;&gt;"")+(CI184&lt;&gt;"")+(CO184&lt;&gt;""),SUMPRODUCT(--($BO$3:$BO$202=$A184))+SUMPRODUCT(--($BU$3:$BU$202=$A184))+SUMPRODUCT(--($CA$3:$CA$202=$A184))+SUMPRODUCT(--($CG$3:$CG$202=$A184))+SUMPRODUCT(--($CM$3:$CM$202=$A184)))</f>
        <v/>
      </c>
      <c r="R184" s="48">
        <f>IF($H184="Tutor",TRIM(IF(AND(BQ184&lt;&gt;"",BR184=""),BP184&amp;"; ","")&amp;IF(AND(BW184&lt;&gt;"",BX184=""),BV184&amp;"; ","")&amp;IF(AND(CC184&lt;&gt;"",CD184=""),CB184&amp;"; ","")&amp;IF(AND(CI184&lt;&gt;"",CJ184=""),CH184&amp;"; ","")&amp;IF(AND(CO184&lt;&gt;"",CP184=""),CN184&amp;"; ","")),IFERROR(INDEX($A$3:$B$202,(SUMPRODUCT(($BO$3:$BO$202=$A184)*($BR$3:$BR$202="")*ROW($BO$3:$BO$202))+SUMPRODUCT(($BU$3:$BU$202=$A184)*($BX$3:$BX$202="")*ROW($BU$3:$BU$202))+SUMPRODUCT(($CA$3:$CA$202=$A184)*($CD$3:$CD$202="")*ROW($CA$3:$CA$202))+SUMPRODUCT(($CG$3:$CG$202=$A184)*($CJ$3:$CJ$202="")*ROW($CG$3:$CG$202))+SUMPRODUCT(($CM$3:$CM$202=$A184)*($CP$3:$CP$202="")*ROW($CM$3:$CM$202)))-2,2),""))</f>
        <v/>
      </c>
      <c r="S184" s="48" t="inlineStr">
        <is>
          <t>NA</t>
        </is>
      </c>
      <c r="T184" s="48" t="inlineStr"/>
      <c r="U184" s="48" t="inlineStr"/>
      <c r="V184" s="49" t="n">
        <v>45987</v>
      </c>
      <c r="W184" s="48" t="inlineStr">
        <is>
          <t>ACST (UTC+9:30)</t>
        </is>
      </c>
      <c r="X184" s="48" t="inlineStr">
        <is>
          <t>9am-12pm;12pm-3pm;3pm-6pm;</t>
        </is>
      </c>
      <c r="Y184" s="48" t="inlineStr">
        <is>
          <t>9am-12pm;12pm-3pm;3pm-6pm;</t>
        </is>
      </c>
      <c r="Z184" s="48" t="inlineStr">
        <is>
          <t>9am-12pm;12pm-3pm;3pm-6pm;</t>
        </is>
      </c>
      <c r="AA184" s="48" t="inlineStr">
        <is>
          <t>6pm-9pm;</t>
        </is>
      </c>
      <c r="AB184" s="48" t="inlineStr">
        <is>
          <t>12pm-3pm;6pm-9pm;</t>
        </is>
      </c>
      <c r="AC184" s="48" t="inlineStr">
        <is>
          <t>6pm-9pm;</t>
        </is>
      </c>
      <c r="AD184" s="48" t="inlineStr">
        <is>
          <t>6pm-9pm;</t>
        </is>
      </c>
      <c r="AE184" s="48" t="inlineStr">
        <is>
          <t>Online</t>
        </is>
      </c>
      <c r="AF184" s="48" t="inlineStr">
        <is>
          <t>Phone</t>
        </is>
      </c>
      <c r="AG184" s="48" t="inlineStr">
        <is>
          <t>Australia</t>
        </is>
      </c>
      <c r="AH184" s="48" t="inlineStr">
        <is>
          <t>New South Wales</t>
        </is>
      </c>
      <c r="AI184" s="48" t="inlineStr">
        <is>
          <t>Kogarah</t>
        </is>
      </c>
      <c r="AJ184" s="48" t="inlineStr">
        <is>
          <t>2217</t>
        </is>
      </c>
      <c r="AK184" s="49" t="n">
        <v>37776</v>
      </c>
      <c r="AL184" s="48" t="inlineStr">
        <is>
          <t>Female</t>
        </is>
      </c>
      <c r="AM184" s="48" t="inlineStr">
        <is>
          <t>Yes</t>
        </is>
      </c>
      <c r="AN184" s="48" t="inlineStr">
        <is>
          <t>B1</t>
        </is>
      </c>
      <c r="AO184" s="48" t="inlineStr">
        <is>
          <t>High</t>
        </is>
      </c>
      <c r="AP184" s="48" t="inlineStr">
        <is>
          <t>Palestine; Eritrea</t>
        </is>
      </c>
      <c r="AQ184" s="48" t="inlineStr">
        <is>
          <t>NA</t>
        </is>
      </c>
      <c r="AR184" s="48" t="inlineStr">
        <is>
          <t>Pashto (B2)</t>
        </is>
      </c>
      <c r="AS184" s="48" t="inlineStr">
        <is>
          <t>Buddhist</t>
        </is>
      </c>
      <c r="AT184" s="48" t="inlineStr">
        <is>
          <t>Childcare &amp; Aged Care</t>
        </is>
      </c>
      <c r="AU184" s="48" t="inlineStr">
        <is>
          <t>Accountant</t>
        </is>
      </c>
      <c r="AV184" s="48" t="inlineStr">
        <is>
          <t>Engineering</t>
        </is>
      </c>
      <c r="AW184" s="48" t="inlineStr">
        <is>
          <t>Reading; Politics; Music</t>
        </is>
      </c>
      <c r="AX184" s="48" t="inlineStr">
        <is>
          <t>Refugee</t>
        </is>
      </c>
      <c r="AY184" s="48" t="inlineStr">
        <is>
          <t>Yes</t>
        </is>
      </c>
      <c r="AZ184" s="48" t="inlineStr">
        <is>
          <t>Yes</t>
        </is>
      </c>
      <c r="BA184" s="48" t="inlineStr">
        <is>
          <t>NA</t>
        </is>
      </c>
      <c r="BB184" s="48" t="inlineStr">
        <is>
          <t>NA</t>
        </is>
      </c>
      <c r="BC184" s="48" t="inlineStr">
        <is>
          <t>NA</t>
        </is>
      </c>
      <c r="BD184" s="48" t="inlineStr">
        <is>
          <t>NA</t>
        </is>
      </c>
      <c r="BE184" s="48" t="inlineStr"/>
      <c r="BF184" s="48" t="inlineStr"/>
      <c r="BG184" s="48" t="inlineStr">
        <is>
          <t>NA</t>
        </is>
      </c>
      <c r="BH184" s="48" t="inlineStr">
        <is>
          <t>NA - Student</t>
        </is>
      </c>
      <c r="BI184" s="48" t="inlineStr">
        <is>
          <t>CareerSeekers</t>
        </is>
      </c>
      <c r="BJ184" s="48" t="inlineStr">
        <is>
          <t>ZULMAN Levi</t>
        </is>
      </c>
      <c r="BK184" s="48" t="inlineStr">
        <is>
          <t>HERVIR Oliver</t>
        </is>
      </c>
      <c r="BL184" s="48" t="inlineStr">
        <is>
          <t>Synthetic test record.</t>
        </is>
      </c>
      <c r="BM184" s="48" t="inlineStr"/>
      <c r="BN184" s="48">
        <f>TRIM(IF(AND($H184="Student",$J184="ADM-ACT-MAT-CNE"),"Invalid: Student cannot be CNE. ","")&amp;IF(AND($H184="Student",ISNUMBER($O184)),"Check: capacity set for a Student. ","")&amp;IF(AND(LEFT($J184,11)="ADM-ACT-MAT",$P184=0),"Check: matched status but 0 active pairings. ","")&amp;IF(AND($H184="Tutor",ISNUMBER($O184),$P184&gt;$O184),"Check: pairings exceed capacity. ","")&amp;IF(AND($BH184="Everyone",NOT(AND($BD184="Yes",$BG184="Yes"))),"Check: approved to tutor children but WWCC not provided/confirmed. ","")&amp;IF(AND($P184&gt;0,NOT(AND(OR(LEFT($AY184,3)="Yes",LEFT($AY184,2)="NA"),OR(LEFT($AZ184,3)="Yes",LEFT($AZ184,2)="NA")))),"Matched but vetting incomplete (interview/reference). ","")&amp;IF(COUNTIF($B$3:$B$600,$B184)&gt;1,"Duplicate participant name. ",""))</f>
        <v/>
      </c>
      <c r="BO184" s="48" t="inlineStr"/>
      <c r="BP184" s="48" t="inlineStr"/>
      <c r="BQ184" s="48" t="inlineStr"/>
      <c r="BR184" s="48" t="inlineStr"/>
      <c r="BS184" s="48" t="inlineStr"/>
      <c r="BT184" s="48" t="inlineStr"/>
      <c r="BU184" s="48" t="inlineStr"/>
      <c r="BV184" s="48" t="inlineStr"/>
      <c r="BW184" s="48" t="inlineStr"/>
      <c r="BX184" s="48" t="inlineStr"/>
      <c r="BY184" s="48" t="inlineStr"/>
      <c r="BZ184" s="48" t="inlineStr"/>
      <c r="CA184" s="48" t="inlineStr"/>
      <c r="CB184" s="48" t="inlineStr"/>
      <c r="CC184" s="48" t="inlineStr"/>
      <c r="CD184" s="48" t="inlineStr"/>
      <c r="CE184" s="48" t="inlineStr"/>
      <c r="CF184" s="48" t="inlineStr"/>
      <c r="CG184" s="48" t="inlineStr"/>
      <c r="CH184" s="48" t="inlineStr"/>
      <c r="CI184" s="48" t="inlineStr"/>
      <c r="CJ184" s="48" t="inlineStr"/>
      <c r="CK184" s="48" t="inlineStr"/>
      <c r="CL184" s="48" t="inlineStr"/>
      <c r="CM184" s="48" t="inlineStr"/>
      <c r="CN184" s="48" t="inlineStr"/>
      <c r="CO184" s="48" t="inlineStr"/>
      <c r="CP184" s="48" t="inlineStr"/>
      <c r="CQ184" s="48" t="inlineStr"/>
      <c r="CR184" s="48" t="inlineStr"/>
      <c r="CS184" s="48">
        <f>IF(LEFT($J184,3)="ERR",0,1)</f>
        <v/>
      </c>
      <c r="CT184" s="48">
        <f>IF(LEFT($J184,3)="ADM",1,0)</f>
        <v/>
      </c>
      <c r="CU184" s="48">
        <f>IF(OR($J184="ADM-ACT-MAT-CNE",$J184="ADM-ACT-MAT-CE",$J184="ADM-INACT-M&amp;T"),1,0)</f>
        <v/>
      </c>
      <c r="CV184" s="48">
        <f>IF(AND(CU184=1,ISNUMBER(M184),ISNUMBER(I184)),M184-I184,"")</f>
        <v/>
      </c>
      <c r="CW184" s="48">
        <f>IF(ISNUMBER(I184),TODAY()-I184,"")</f>
        <v/>
      </c>
      <c r="CX184" s="48">
        <f>IF(ISNUMBER(I184),DATE(YEAR(I184),MONTH(I184),1),"")</f>
        <v/>
      </c>
      <c r="CY184" s="48">
        <f>IFERROR(DATEDIF(AK184,TODAY(),"y"),"")</f>
        <v/>
      </c>
      <c r="CZ184" s="48">
        <f>IF(CY184="","",IF(CY184&lt;28,"18-27",IF(CY184&lt;38,"28-37",IF(CY184&lt;48,"38-47",IF(CY184&lt;58,"48-57",IF(CY184&lt;68,"58-67",IF(CY184&lt;78,"68-77","78+")))))) </f>
        <v/>
      </c>
      <c r="DA184" s="48">
        <f>IF(AND(BQ184&lt;&gt;"",BR184=""),N(BS184),0)+IF(AND(BW184&lt;&gt;"",BX184=""),N(BY184),0)+IF(AND(CC184&lt;&gt;"",CD184=""),N(CE184),0)+IF(AND(CI184&lt;&gt;"",CJ184=""),N(CK184),0)+IF(AND(CO184&lt;&gt;"",CP184=""),N(CQ184),0)</f>
        <v/>
      </c>
      <c r="DB184" s="48">
        <f>ROUND(IF(BQ184&lt;&gt;"",N(BS184)*MAX(0,((IF(BR184="",TODAY(),BR184))-BQ184)/7),0)+IF(BW184&lt;&gt;"",N(BY184)*MAX(0,((IF(BX184="",TODAY(),BX184))-BW184)/7),0)+IF(CC184&lt;&gt;"",N(CE184)*MAX(0,((IF(CD184="",TODAY(),CD184))-CC184)/7),0)+IF(CI184&lt;&gt;"",N(CK184)*MAX(0,((IF(CJ184="",TODAY(),CJ184))-CI184)/7),0)+IF(CO184&lt;&gt;"",N(CQ184)*MAX(0,((IF(CP184="",TODAY(),CP184))-CO184)/7),0),1)</f>
        <v/>
      </c>
      <c r="DC184" s="48">
        <f>IF(OR(TRIM(X184)="",TRIM(X184)="NA;",TRIM(X184)="NA"),0,1)</f>
        <v/>
      </c>
      <c r="DD184" s="48">
        <f>IF(OR(TRIM(Y184)="",TRIM(Y184)="NA;",TRIM(Y184)="NA"),0,1)</f>
        <v/>
      </c>
      <c r="DE184" s="48">
        <f>IF(OR(TRIM(Z184)="",TRIM(Z184)="NA;",TRIM(Z184)="NA"),0,1)</f>
        <v/>
      </c>
      <c r="DF184" s="48">
        <f>IF(OR(TRIM(AA184)="",TRIM(AA184)="NA;",TRIM(AA184)="NA"),0,1)</f>
        <v/>
      </c>
      <c r="DG184" s="48">
        <f>IF(OR(TRIM(AB184)="",TRIM(AB184)="NA;",TRIM(AB184)="NA"),0,1)</f>
        <v/>
      </c>
      <c r="DH184" s="48">
        <f>IF(OR(TRIM(AC184)="",TRIM(AC184)="NA;",TRIM(AC184)="NA"),0,1)</f>
        <v/>
      </c>
      <c r="DI184" s="48">
        <f>IF(OR(TRIM(AD184)="",TRIM(AD184)="NA;",TRIM(AD184)="NA"),0,1)</f>
        <v/>
      </c>
      <c r="DJ184" s="48">
        <f>TRIM(IF(DC184=1,"Mon ","")&amp;IF(DD184=1,"Tue ","")&amp;IF(DE184=1,"Wed ","")&amp;IF(DF184=1,"Thu ","")&amp;IF(DG184=1,"Fri ","")&amp;IF(DH184=1,"Sat ","")&amp;IF(DI184=1,"Sun ",""))</f>
        <v/>
      </c>
    </row>
    <row r="185">
      <c r="A185" s="48" t="inlineStr">
        <is>
          <t>S-N-00033</t>
        </is>
      </c>
      <c r="B185" s="48" t="inlineStr">
        <is>
          <t>Laura Khan</t>
        </is>
      </c>
      <c r="C185" s="48" t="inlineStr">
        <is>
          <t>laura.khan83@example.com</t>
        </is>
      </c>
      <c r="D185" s="48" t="inlineStr">
        <is>
          <t>+61 402 793 495</t>
        </is>
      </c>
      <c r="E185" s="48" t="inlineStr">
        <is>
          <t>Luke Baker</t>
        </is>
      </c>
      <c r="F185" s="48" t="inlineStr">
        <is>
          <t>+61 430 517 583</t>
        </is>
      </c>
      <c r="G185" s="48" t="inlineStr">
        <is>
          <t>Spouse</t>
        </is>
      </c>
      <c r="H185" s="48" t="inlineStr">
        <is>
          <t>Student</t>
        </is>
      </c>
      <c r="I185" s="49" t="n">
        <v>45877</v>
      </c>
      <c r="J185" s="48" t="inlineStr">
        <is>
          <t>ADM-INACT-M&amp;T</t>
        </is>
      </c>
      <c r="K185" s="48">
        <f>IFERROR(VLOOKUP(J185,'(A) Introduction'!$B$35:$C$45,2,FALSE),"")</f>
        <v/>
      </c>
      <c r="L185" s="48" t="inlineStr">
        <is>
          <t>No</t>
        </is>
      </c>
      <c r="M185" s="49" t="n">
        <v>45985</v>
      </c>
      <c r="N185" s="49" t="n">
        <v>46153</v>
      </c>
      <c r="O185" s="48" t="inlineStr">
        <is>
          <t>NA</t>
        </is>
      </c>
      <c r="P185" s="48">
        <f>IF($H185="Tutor",((BQ185&lt;&gt;"")*(BR185=""))+((BW185&lt;&gt;"")*(BX185=""))+((CC185&lt;&gt;"")*(CD185=""))+((CI185&lt;&gt;"")*(CJ185=""))+((CO185&lt;&gt;"")*(CP185="")),SUMPRODUCT(--($BO$3:$BO$202=$A185),--($BR$3:$BR$202=""))+SUMPRODUCT(--($BU$3:$BU$202=$A185),--($BX$3:$BX$202=""))+SUMPRODUCT(--($CA$3:$CA$202=$A185),--($CD$3:$CD$202=""))+SUMPRODUCT(--($CG$3:$CG$202=$A185),--($CJ$3:$CJ$202=""))+SUMPRODUCT(--($CM$3:$CM$202=$A185),--($CP$3:$CP$202="")))</f>
        <v/>
      </c>
      <c r="Q185" s="48">
        <f>IF($H185="Tutor",(BQ185&lt;&gt;"")+(BW185&lt;&gt;"")+(CC185&lt;&gt;"")+(CI185&lt;&gt;"")+(CO185&lt;&gt;""),SUMPRODUCT(--($BO$3:$BO$202=$A185))+SUMPRODUCT(--($BU$3:$BU$202=$A185))+SUMPRODUCT(--($CA$3:$CA$202=$A185))+SUMPRODUCT(--($CG$3:$CG$202=$A185))+SUMPRODUCT(--($CM$3:$CM$202=$A185)))</f>
        <v/>
      </c>
      <c r="R185" s="48">
        <f>IF($H185="Tutor",TRIM(IF(AND(BQ185&lt;&gt;"",BR185=""),BP185&amp;"; ","")&amp;IF(AND(BW185&lt;&gt;"",BX185=""),BV185&amp;"; ","")&amp;IF(AND(CC185&lt;&gt;"",CD185=""),CB185&amp;"; ","")&amp;IF(AND(CI185&lt;&gt;"",CJ185=""),CH185&amp;"; ","")&amp;IF(AND(CO185&lt;&gt;"",CP185=""),CN185&amp;"; ","")),IFERROR(INDEX($A$3:$B$202,(SUMPRODUCT(($BO$3:$BO$202=$A185)*($BR$3:$BR$202="")*ROW($BO$3:$BO$202))+SUMPRODUCT(($BU$3:$BU$202=$A185)*($BX$3:$BX$202="")*ROW($BU$3:$BU$202))+SUMPRODUCT(($CA$3:$CA$202=$A185)*($CD$3:$CD$202="")*ROW($CA$3:$CA$202))+SUMPRODUCT(($CG$3:$CG$202=$A185)*($CJ$3:$CJ$202="")*ROW($CG$3:$CG$202))+SUMPRODUCT(($CM$3:$CM$202=$A185)*($CP$3:$CP$202="")*ROW($CM$3:$CM$202)))-2,2),""))</f>
        <v/>
      </c>
      <c r="S185" s="48" t="inlineStr">
        <is>
          <t>Provided</t>
        </is>
      </c>
      <c r="T185" s="48" t="inlineStr"/>
      <c r="U185" s="48" t="inlineStr"/>
      <c r="V185" s="49" t="n">
        <v>45506</v>
      </c>
      <c r="W185" s="48" t="inlineStr">
        <is>
          <t>AEST (UTC+10)</t>
        </is>
      </c>
      <c r="X185" s="48" t="inlineStr">
        <is>
          <t>6pm-9pm;</t>
        </is>
      </c>
      <c r="Y185" s="48" t="inlineStr">
        <is>
          <t>NA;</t>
        </is>
      </c>
      <c r="Z185" s="48" t="inlineStr">
        <is>
          <t>9am-12pm;12pm-3pm;3pm-6pm;</t>
        </is>
      </c>
      <c r="AA185" s="48" t="inlineStr">
        <is>
          <t>NA;</t>
        </is>
      </c>
      <c r="AB185" s="48" t="inlineStr">
        <is>
          <t>6pm-9pm;</t>
        </is>
      </c>
      <c r="AC185" s="48" t="inlineStr">
        <is>
          <t>6pm-9pm;</t>
        </is>
      </c>
      <c r="AD185" s="48" t="inlineStr">
        <is>
          <t>3pm-6pm;</t>
        </is>
      </c>
      <c r="AE185" s="48" t="inlineStr">
        <is>
          <t>Online</t>
        </is>
      </c>
      <c r="AF185" s="48" t="inlineStr">
        <is>
          <t>Computer</t>
        </is>
      </c>
      <c r="AG185" s="48" t="inlineStr">
        <is>
          <t>Australia</t>
        </is>
      </c>
      <c r="AH185" s="48" t="inlineStr">
        <is>
          <t>New South Wales</t>
        </is>
      </c>
      <c r="AI185" s="48" t="inlineStr">
        <is>
          <t>Parramatta</t>
        </is>
      </c>
      <c r="AJ185" s="48" t="inlineStr">
        <is>
          <t>2150</t>
        </is>
      </c>
      <c r="AK185" s="49" t="n">
        <v>27589</v>
      </c>
      <c r="AL185" s="48" t="inlineStr">
        <is>
          <t>Other</t>
        </is>
      </c>
      <c r="AM185" s="48" t="inlineStr">
        <is>
          <t>No</t>
        </is>
      </c>
      <c r="AN185" s="48" t="inlineStr">
        <is>
          <t>A1</t>
        </is>
      </c>
      <c r="AO185" s="48" t="inlineStr">
        <is>
          <t>Low</t>
        </is>
      </c>
      <c r="AP185" s="48" t="inlineStr">
        <is>
          <t>South Sudan</t>
        </is>
      </c>
      <c r="AQ185" s="48" t="inlineStr">
        <is>
          <t>NA</t>
        </is>
      </c>
      <c r="AR185" s="48" t="inlineStr">
        <is>
          <t>Farsi (C1)</t>
        </is>
      </c>
      <c r="AS185" s="48" t="inlineStr">
        <is>
          <t>Christian (Catholic)</t>
        </is>
      </c>
      <c r="AT185" s="48" t="inlineStr">
        <is>
          <t>Science, Tech, Engineering and Math</t>
        </is>
      </c>
      <c r="AU185" s="48" t="inlineStr">
        <is>
          <t>Community Worker</t>
        </is>
      </c>
      <c r="AV185" s="48" t="inlineStr">
        <is>
          <t>Engineering</t>
        </is>
      </c>
      <c r="AW185" s="48" t="inlineStr">
        <is>
          <t>Cooking; Reading; Music</t>
        </is>
      </c>
      <c r="AX185" s="48" t="inlineStr">
        <is>
          <t>Refugee</t>
        </is>
      </c>
      <c r="AY185" s="48" t="inlineStr">
        <is>
          <t>NA - Partner Organisation Verified</t>
        </is>
      </c>
      <c r="AZ185" s="48" t="inlineStr">
        <is>
          <t>No</t>
        </is>
      </c>
      <c r="BA185" s="48" t="inlineStr">
        <is>
          <t>NA</t>
        </is>
      </c>
      <c r="BB185" s="48" t="inlineStr">
        <is>
          <t>NA</t>
        </is>
      </c>
      <c r="BC185" s="48" t="inlineStr">
        <is>
          <t>NA</t>
        </is>
      </c>
      <c r="BD185" s="48" t="inlineStr">
        <is>
          <t>NA</t>
        </is>
      </c>
      <c r="BE185" s="48" t="inlineStr"/>
      <c r="BF185" s="48" t="inlineStr"/>
      <c r="BG185" s="48" t="inlineStr">
        <is>
          <t>NA</t>
        </is>
      </c>
      <c r="BH185" s="48" t="inlineStr">
        <is>
          <t>NA - Student</t>
        </is>
      </c>
      <c r="BI185" s="48" t="inlineStr">
        <is>
          <t>Refugee Council of Australia</t>
        </is>
      </c>
      <c r="BJ185" s="48" t="inlineStr">
        <is>
          <t>HALLORAN Isobel</t>
        </is>
      </c>
      <c r="BK185" s="48" t="inlineStr">
        <is>
          <t>SHANAHAN Jack</t>
        </is>
      </c>
      <c r="BL185" s="48" t="inlineStr">
        <is>
          <t>Synthetic test record.</t>
        </is>
      </c>
      <c r="BM185" s="48" t="inlineStr"/>
      <c r="BN185" s="48">
        <f>TRIM(IF(AND($H185="Student",$J185="ADM-ACT-MAT-CNE"),"Invalid: Student cannot be CNE. ","")&amp;IF(AND($H185="Student",ISNUMBER($O185)),"Check: capacity set for a Student. ","")&amp;IF(AND(LEFT($J185,11)="ADM-ACT-MAT",$P185=0),"Check: matched status but 0 active pairings. ","")&amp;IF(AND($H185="Tutor",ISNUMBER($O185),$P185&gt;$O185),"Check: pairings exceed capacity. ","")&amp;IF(AND($BH185="Everyone",NOT(AND($BD185="Yes",$BG185="Yes"))),"Check: approved to tutor children but WWCC not provided/confirmed. ","")&amp;IF(AND($P185&gt;0,NOT(AND(OR(LEFT($AY185,3)="Yes",LEFT($AY185,2)="NA"),OR(LEFT($AZ185,3)="Yes",LEFT($AZ185,2)="NA")))),"Matched but vetting incomplete (interview/reference). ","")&amp;IF(COUNTIF($B$3:$B$600,$B185)&gt;1,"Duplicate participant name. ",""))</f>
        <v/>
      </c>
      <c r="BO185" s="48" t="inlineStr"/>
      <c r="BP185" s="48" t="inlineStr"/>
      <c r="BQ185" s="48" t="inlineStr"/>
      <c r="BR185" s="48" t="inlineStr"/>
      <c r="BS185" s="48" t="inlineStr"/>
      <c r="BT185" s="48" t="inlineStr"/>
      <c r="BU185" s="48" t="inlineStr"/>
      <c r="BV185" s="48" t="inlineStr"/>
      <c r="BW185" s="48" t="inlineStr"/>
      <c r="BX185" s="48" t="inlineStr"/>
      <c r="BY185" s="48" t="inlineStr"/>
      <c r="BZ185" s="48" t="inlineStr"/>
      <c r="CA185" s="48" t="inlineStr"/>
      <c r="CB185" s="48" t="inlineStr"/>
      <c r="CC185" s="48" t="inlineStr"/>
      <c r="CD185" s="48" t="inlineStr"/>
      <c r="CE185" s="48" t="inlineStr"/>
      <c r="CF185" s="48" t="inlineStr"/>
      <c r="CG185" s="48" t="inlineStr"/>
      <c r="CH185" s="48" t="inlineStr"/>
      <c r="CI185" s="48" t="inlineStr"/>
      <c r="CJ185" s="48" t="inlineStr"/>
      <c r="CK185" s="48" t="inlineStr"/>
      <c r="CL185" s="48" t="inlineStr"/>
      <c r="CM185" s="48" t="inlineStr"/>
      <c r="CN185" s="48" t="inlineStr"/>
      <c r="CO185" s="48" t="inlineStr"/>
      <c r="CP185" s="48" t="inlineStr"/>
      <c r="CQ185" s="48" t="inlineStr"/>
      <c r="CR185" s="48" t="inlineStr"/>
      <c r="CS185" s="48">
        <f>IF(LEFT($J185,3)="ERR",0,1)</f>
        <v/>
      </c>
      <c r="CT185" s="48">
        <f>IF(LEFT($J185,3)="ADM",1,0)</f>
        <v/>
      </c>
      <c r="CU185" s="48">
        <f>IF(OR($J185="ADM-ACT-MAT-CNE",$J185="ADM-ACT-MAT-CE",$J185="ADM-INACT-M&amp;T"),1,0)</f>
        <v/>
      </c>
      <c r="CV185" s="48">
        <f>IF(AND(CU185=1,ISNUMBER(M185),ISNUMBER(I185)),M185-I185,"")</f>
        <v/>
      </c>
      <c r="CW185" s="48">
        <f>IF(ISNUMBER(I185),TODAY()-I185,"")</f>
        <v/>
      </c>
      <c r="CX185" s="48">
        <f>IF(ISNUMBER(I185),DATE(YEAR(I185),MONTH(I185),1),"")</f>
        <v/>
      </c>
      <c r="CY185" s="48">
        <f>IFERROR(DATEDIF(AK185,TODAY(),"y"),"")</f>
        <v/>
      </c>
      <c r="CZ185" s="48">
        <f>IF(CY185="","",IF(CY185&lt;28,"18-27",IF(CY185&lt;38,"28-37",IF(CY185&lt;48,"38-47",IF(CY185&lt;58,"48-57",IF(CY185&lt;68,"58-67",IF(CY185&lt;78,"68-77","78+")))))) </f>
        <v/>
      </c>
      <c r="DA185" s="48">
        <f>IF(AND(BQ185&lt;&gt;"",BR185=""),N(BS185),0)+IF(AND(BW185&lt;&gt;"",BX185=""),N(BY185),0)+IF(AND(CC185&lt;&gt;"",CD185=""),N(CE185),0)+IF(AND(CI185&lt;&gt;"",CJ185=""),N(CK185),0)+IF(AND(CO185&lt;&gt;"",CP185=""),N(CQ185),0)</f>
        <v/>
      </c>
      <c r="DB185" s="48">
        <f>ROUND(IF(BQ185&lt;&gt;"",N(BS185)*MAX(0,((IF(BR185="",TODAY(),BR185))-BQ185)/7),0)+IF(BW185&lt;&gt;"",N(BY185)*MAX(0,((IF(BX185="",TODAY(),BX185))-BW185)/7),0)+IF(CC185&lt;&gt;"",N(CE185)*MAX(0,((IF(CD185="",TODAY(),CD185))-CC185)/7),0)+IF(CI185&lt;&gt;"",N(CK185)*MAX(0,((IF(CJ185="",TODAY(),CJ185))-CI185)/7),0)+IF(CO185&lt;&gt;"",N(CQ185)*MAX(0,((IF(CP185="",TODAY(),CP185))-CO185)/7),0),1)</f>
        <v/>
      </c>
      <c r="DC185" s="48">
        <f>IF(OR(TRIM(X185)="",TRIM(X185)="NA;",TRIM(X185)="NA"),0,1)</f>
        <v/>
      </c>
      <c r="DD185" s="48">
        <f>IF(OR(TRIM(Y185)="",TRIM(Y185)="NA;",TRIM(Y185)="NA"),0,1)</f>
        <v/>
      </c>
      <c r="DE185" s="48">
        <f>IF(OR(TRIM(Z185)="",TRIM(Z185)="NA;",TRIM(Z185)="NA"),0,1)</f>
        <v/>
      </c>
      <c r="DF185" s="48">
        <f>IF(OR(TRIM(AA185)="",TRIM(AA185)="NA;",TRIM(AA185)="NA"),0,1)</f>
        <v/>
      </c>
      <c r="DG185" s="48">
        <f>IF(OR(TRIM(AB185)="",TRIM(AB185)="NA;",TRIM(AB185)="NA"),0,1)</f>
        <v/>
      </c>
      <c r="DH185" s="48">
        <f>IF(OR(TRIM(AC185)="",TRIM(AC185)="NA;",TRIM(AC185)="NA"),0,1)</f>
        <v/>
      </c>
      <c r="DI185" s="48">
        <f>IF(OR(TRIM(AD185)="",TRIM(AD185)="NA;",TRIM(AD185)="NA"),0,1)</f>
        <v/>
      </c>
      <c r="DJ185" s="48">
        <f>TRIM(IF(DC185=1,"Mon ","")&amp;IF(DD185=1,"Tue ","")&amp;IF(DE185=1,"Wed ","")&amp;IF(DF185=1,"Thu ","")&amp;IF(DG185=1,"Fri ","")&amp;IF(DH185=1,"Sat ","")&amp;IF(DI185=1,"Sun ",""))</f>
        <v/>
      </c>
    </row>
    <row r="186">
      <c r="A186" s="48" t="inlineStr">
        <is>
          <t>S-N-00034</t>
        </is>
      </c>
      <c r="B186" s="48" t="inlineStr">
        <is>
          <t>Fatima Wright</t>
        </is>
      </c>
      <c r="C186" s="48" t="inlineStr">
        <is>
          <t>fatima.wright84@example.com</t>
        </is>
      </c>
      <c r="D186" s="48" t="inlineStr">
        <is>
          <t>+61 467 222 732</t>
        </is>
      </c>
      <c r="E186" s="48" t="inlineStr">
        <is>
          <t>Ava Morris</t>
        </is>
      </c>
      <c r="F186" s="48" t="inlineStr">
        <is>
          <t>+61 490 295 570</t>
        </is>
      </c>
      <c r="G186" s="48" t="inlineStr">
        <is>
          <t>Caseworker</t>
        </is>
      </c>
      <c r="H186" s="48" t="inlineStr">
        <is>
          <t>Student</t>
        </is>
      </c>
      <c r="I186" s="49" t="n">
        <v>45885</v>
      </c>
      <c r="J186" s="48" t="inlineStr">
        <is>
          <t>ADM-ACT-UNMAT</t>
        </is>
      </c>
      <c r="K186" s="48">
        <f>IFERROR(VLOOKUP(J186,'(A) Introduction'!$B$35:$C$45,2,FALSE),"")</f>
        <v/>
      </c>
      <c r="L186" s="48" t="inlineStr">
        <is>
          <t>No</t>
        </is>
      </c>
      <c r="M186" s="48" t="inlineStr"/>
      <c r="N186" s="48" t="inlineStr"/>
      <c r="O186" s="48" t="inlineStr">
        <is>
          <t>NA</t>
        </is>
      </c>
      <c r="P186" s="48">
        <f>IF($H186="Tutor",((BQ186&lt;&gt;"")*(BR186=""))+((BW186&lt;&gt;"")*(BX186=""))+((CC186&lt;&gt;"")*(CD186=""))+((CI186&lt;&gt;"")*(CJ186=""))+((CO186&lt;&gt;"")*(CP186="")),SUMPRODUCT(--($BO$3:$BO$202=$A186),--($BR$3:$BR$202=""))+SUMPRODUCT(--($BU$3:$BU$202=$A186),--($BX$3:$BX$202=""))+SUMPRODUCT(--($CA$3:$CA$202=$A186),--($CD$3:$CD$202=""))+SUMPRODUCT(--($CG$3:$CG$202=$A186),--($CJ$3:$CJ$202=""))+SUMPRODUCT(--($CM$3:$CM$202=$A186),--($CP$3:$CP$202="")))</f>
        <v/>
      </c>
      <c r="Q186" s="48">
        <f>IF($H186="Tutor",(BQ186&lt;&gt;"")+(BW186&lt;&gt;"")+(CC186&lt;&gt;"")+(CI186&lt;&gt;"")+(CO186&lt;&gt;""),SUMPRODUCT(--($BO$3:$BO$202=$A186))+SUMPRODUCT(--($BU$3:$BU$202=$A186))+SUMPRODUCT(--($CA$3:$CA$202=$A186))+SUMPRODUCT(--($CG$3:$CG$202=$A186))+SUMPRODUCT(--($CM$3:$CM$202=$A186)))</f>
        <v/>
      </c>
      <c r="R186" s="48">
        <f>IF($H186="Tutor",TRIM(IF(AND(BQ186&lt;&gt;"",BR186=""),BP186&amp;"; ","")&amp;IF(AND(BW186&lt;&gt;"",BX186=""),BV186&amp;"; ","")&amp;IF(AND(CC186&lt;&gt;"",CD186=""),CB186&amp;"; ","")&amp;IF(AND(CI186&lt;&gt;"",CJ186=""),CH186&amp;"; ","")&amp;IF(AND(CO186&lt;&gt;"",CP186=""),CN186&amp;"; ","")),IFERROR(INDEX($A$3:$B$202,(SUMPRODUCT(($BO$3:$BO$202=$A186)*($BR$3:$BR$202="")*ROW($BO$3:$BO$202))+SUMPRODUCT(($BU$3:$BU$202=$A186)*($BX$3:$BX$202="")*ROW($BU$3:$BU$202))+SUMPRODUCT(($CA$3:$CA$202=$A186)*($CD$3:$CD$202="")*ROW($CA$3:$CA$202))+SUMPRODUCT(($CG$3:$CG$202=$A186)*($CJ$3:$CJ$202="")*ROW($CG$3:$CG$202))+SUMPRODUCT(($CM$3:$CM$202=$A186)*($CP$3:$CP$202="")*ROW($CM$3:$CM$202)))-2,2),""))</f>
        <v/>
      </c>
      <c r="S186" s="48" t="inlineStr">
        <is>
          <t>Not Provided</t>
        </is>
      </c>
      <c r="T186" s="48" t="inlineStr"/>
      <c r="U186" s="48" t="inlineStr"/>
      <c r="V186" s="49" t="n">
        <v>45921</v>
      </c>
      <c r="W186" s="48" t="inlineStr">
        <is>
          <t>AEST (UTC+10)</t>
        </is>
      </c>
      <c r="X186" s="48" t="inlineStr">
        <is>
          <t>9am-12pm;12pm-3pm;3pm-6pm;</t>
        </is>
      </c>
      <c r="Y186" s="48" t="inlineStr">
        <is>
          <t>NA;</t>
        </is>
      </c>
      <c r="Z186" s="48" t="inlineStr">
        <is>
          <t>6pm-9pm;</t>
        </is>
      </c>
      <c r="AA186" s="48" t="inlineStr">
        <is>
          <t>12pm-3pm;</t>
        </is>
      </c>
      <c r="AB186" s="48" t="inlineStr">
        <is>
          <t>9am-12pm;12pm-3pm;3pm-6pm;</t>
        </is>
      </c>
      <c r="AC186" s="48" t="inlineStr">
        <is>
          <t>6pm-9pm;</t>
        </is>
      </c>
      <c r="AD186" s="48" t="inlineStr">
        <is>
          <t>6am-9am;9am-12pm;</t>
        </is>
      </c>
      <c r="AE186" s="48" t="inlineStr">
        <is>
          <t>Either</t>
        </is>
      </c>
      <c r="AF186" s="48" t="inlineStr">
        <is>
          <t>Phone</t>
        </is>
      </c>
      <c r="AG186" s="48" t="inlineStr">
        <is>
          <t>Australia</t>
        </is>
      </c>
      <c r="AH186" s="48" t="inlineStr">
        <is>
          <t>New South Wales</t>
        </is>
      </c>
      <c r="AI186" s="48" t="inlineStr">
        <is>
          <t>Bardia</t>
        </is>
      </c>
      <c r="AJ186" s="48" t="inlineStr">
        <is>
          <t>2565</t>
        </is>
      </c>
      <c r="AK186" s="49" t="n">
        <v>29850</v>
      </c>
      <c r="AL186" s="48" t="inlineStr">
        <is>
          <t>Other</t>
        </is>
      </c>
      <c r="AM186" s="48" t="inlineStr">
        <is>
          <t>No</t>
        </is>
      </c>
      <c r="AN186" s="48" t="inlineStr">
        <is>
          <t>A2</t>
        </is>
      </c>
      <c r="AO186" s="48" t="inlineStr">
        <is>
          <t>High</t>
        </is>
      </c>
      <c r="AP186" s="48" t="inlineStr">
        <is>
          <t>Pakistan</t>
        </is>
      </c>
      <c r="AQ186" s="48" t="inlineStr">
        <is>
          <t>NA</t>
        </is>
      </c>
      <c r="AR186" s="48" t="inlineStr">
        <is>
          <t>Somali (C1)</t>
        </is>
      </c>
      <c r="AS186" s="48" t="inlineStr">
        <is>
          <t>Christian (Orthodox)</t>
        </is>
      </c>
      <c r="AT186" s="48" t="inlineStr">
        <is>
          <t>Labour, Administrative &amp; Clerical</t>
        </is>
      </c>
      <c r="AU186" s="48" t="inlineStr">
        <is>
          <t>Teacher</t>
        </is>
      </c>
      <c r="AV186" s="48" t="inlineStr">
        <is>
          <t>Counselling</t>
        </is>
      </c>
      <c r="AW186" s="48" t="inlineStr">
        <is>
          <t>Language learning; Self-development</t>
        </is>
      </c>
      <c r="AX186" s="48" t="inlineStr">
        <is>
          <t>Refugee</t>
        </is>
      </c>
      <c r="AY186" s="48" t="inlineStr">
        <is>
          <t>NA - RELT Member Verified</t>
        </is>
      </c>
      <c r="AZ186" s="48" t="inlineStr">
        <is>
          <t>Yes</t>
        </is>
      </c>
      <c r="BA186" s="48" t="inlineStr">
        <is>
          <t>NA</t>
        </is>
      </c>
      <c r="BB186" s="48" t="inlineStr">
        <is>
          <t>NA</t>
        </is>
      </c>
      <c r="BC186" s="48" t="inlineStr">
        <is>
          <t>NA</t>
        </is>
      </c>
      <c r="BD186" s="48" t="inlineStr">
        <is>
          <t>NA</t>
        </is>
      </c>
      <c r="BE186" s="48" t="inlineStr"/>
      <c r="BF186" s="48" t="inlineStr"/>
      <c r="BG186" s="48" t="inlineStr">
        <is>
          <t>NA</t>
        </is>
      </c>
      <c r="BH186" s="48" t="inlineStr">
        <is>
          <t>NA - Student</t>
        </is>
      </c>
      <c r="BI186" s="48" t="inlineStr">
        <is>
          <t>University of Sydney (including St. Paul's College)</t>
        </is>
      </c>
      <c r="BJ186" s="48" t="inlineStr">
        <is>
          <t>HALLORAN Isobel</t>
        </is>
      </c>
      <c r="BK186" s="48" t="inlineStr">
        <is>
          <t>NUICH Curtis</t>
        </is>
      </c>
      <c r="BL186" s="48" t="inlineStr">
        <is>
          <t>Synthetic test record.</t>
        </is>
      </c>
      <c r="BM186" s="48" t="inlineStr"/>
      <c r="BN186" s="48">
        <f>TRIM(IF(AND($H186="Student",$J186="ADM-ACT-MAT-CNE"),"Invalid: Student cannot be CNE. ","")&amp;IF(AND($H186="Student",ISNUMBER($O186)),"Check: capacity set for a Student. ","")&amp;IF(AND(LEFT($J186,11)="ADM-ACT-MAT",$P186=0),"Check: matched status but 0 active pairings. ","")&amp;IF(AND($H186="Tutor",ISNUMBER($O186),$P186&gt;$O186),"Check: pairings exceed capacity. ","")&amp;IF(AND($BH186="Everyone",NOT(AND($BD186="Yes",$BG186="Yes"))),"Check: approved to tutor children but WWCC not provided/confirmed. ","")&amp;IF(AND($P186&gt;0,NOT(AND(OR(LEFT($AY186,3)="Yes",LEFT($AY186,2)="NA"),OR(LEFT($AZ186,3)="Yes",LEFT($AZ186,2)="NA")))),"Matched but vetting incomplete (interview/reference). ","")&amp;IF(COUNTIF($B$3:$B$600,$B186)&gt;1,"Duplicate participant name. ",""))</f>
        <v/>
      </c>
      <c r="BO186" s="48" t="inlineStr"/>
      <c r="BP186" s="48" t="inlineStr"/>
      <c r="BQ186" s="48" t="inlineStr"/>
      <c r="BR186" s="48" t="inlineStr"/>
      <c r="BS186" s="48" t="inlineStr"/>
      <c r="BT186" s="48" t="inlineStr"/>
      <c r="BU186" s="48" t="inlineStr"/>
      <c r="BV186" s="48" t="inlineStr"/>
      <c r="BW186" s="48" t="inlineStr"/>
      <c r="BX186" s="48" t="inlineStr"/>
      <c r="BY186" s="48" t="inlineStr"/>
      <c r="BZ186" s="48" t="inlineStr"/>
      <c r="CA186" s="48" t="inlineStr"/>
      <c r="CB186" s="48" t="inlineStr"/>
      <c r="CC186" s="48" t="inlineStr"/>
      <c r="CD186" s="48" t="inlineStr"/>
      <c r="CE186" s="48" t="inlineStr"/>
      <c r="CF186" s="48" t="inlineStr"/>
      <c r="CG186" s="48" t="inlineStr"/>
      <c r="CH186" s="48" t="inlineStr"/>
      <c r="CI186" s="48" t="inlineStr"/>
      <c r="CJ186" s="48" t="inlineStr"/>
      <c r="CK186" s="48" t="inlineStr"/>
      <c r="CL186" s="48" t="inlineStr"/>
      <c r="CM186" s="48" t="inlineStr"/>
      <c r="CN186" s="48" t="inlineStr"/>
      <c r="CO186" s="48" t="inlineStr"/>
      <c r="CP186" s="48" t="inlineStr"/>
      <c r="CQ186" s="48" t="inlineStr"/>
      <c r="CR186" s="48" t="inlineStr"/>
      <c r="CS186" s="48">
        <f>IF(LEFT($J186,3)="ERR",0,1)</f>
        <v/>
      </c>
      <c r="CT186" s="48">
        <f>IF(LEFT($J186,3)="ADM",1,0)</f>
        <v/>
      </c>
      <c r="CU186" s="48">
        <f>IF(OR($J186="ADM-ACT-MAT-CNE",$J186="ADM-ACT-MAT-CE",$J186="ADM-INACT-M&amp;T"),1,0)</f>
        <v/>
      </c>
      <c r="CV186" s="48">
        <f>IF(AND(CU186=1,ISNUMBER(M186),ISNUMBER(I186)),M186-I186,"")</f>
        <v/>
      </c>
      <c r="CW186" s="48">
        <f>IF(ISNUMBER(I186),TODAY()-I186,"")</f>
        <v/>
      </c>
      <c r="CX186" s="48">
        <f>IF(ISNUMBER(I186),DATE(YEAR(I186),MONTH(I186),1),"")</f>
        <v/>
      </c>
      <c r="CY186" s="48">
        <f>IFERROR(DATEDIF(AK186,TODAY(),"y"),"")</f>
        <v/>
      </c>
      <c r="CZ186" s="48">
        <f>IF(CY186="","",IF(CY186&lt;28,"18-27",IF(CY186&lt;38,"28-37",IF(CY186&lt;48,"38-47",IF(CY186&lt;58,"48-57",IF(CY186&lt;68,"58-67",IF(CY186&lt;78,"68-77","78+")))))) </f>
        <v/>
      </c>
      <c r="DA186" s="48">
        <f>IF(AND(BQ186&lt;&gt;"",BR186=""),N(BS186),0)+IF(AND(BW186&lt;&gt;"",BX186=""),N(BY186),0)+IF(AND(CC186&lt;&gt;"",CD186=""),N(CE186),0)+IF(AND(CI186&lt;&gt;"",CJ186=""),N(CK186),0)+IF(AND(CO186&lt;&gt;"",CP186=""),N(CQ186),0)</f>
        <v/>
      </c>
      <c r="DB186" s="48">
        <f>ROUND(IF(BQ186&lt;&gt;"",N(BS186)*MAX(0,((IF(BR186="",TODAY(),BR186))-BQ186)/7),0)+IF(BW186&lt;&gt;"",N(BY186)*MAX(0,((IF(BX186="",TODAY(),BX186))-BW186)/7),0)+IF(CC186&lt;&gt;"",N(CE186)*MAX(0,((IF(CD186="",TODAY(),CD186))-CC186)/7),0)+IF(CI186&lt;&gt;"",N(CK186)*MAX(0,((IF(CJ186="",TODAY(),CJ186))-CI186)/7),0)+IF(CO186&lt;&gt;"",N(CQ186)*MAX(0,((IF(CP186="",TODAY(),CP186))-CO186)/7),0),1)</f>
        <v/>
      </c>
      <c r="DC186" s="48">
        <f>IF(OR(TRIM(X186)="",TRIM(X186)="NA;",TRIM(X186)="NA"),0,1)</f>
        <v/>
      </c>
      <c r="DD186" s="48">
        <f>IF(OR(TRIM(Y186)="",TRIM(Y186)="NA;",TRIM(Y186)="NA"),0,1)</f>
        <v/>
      </c>
      <c r="DE186" s="48">
        <f>IF(OR(TRIM(Z186)="",TRIM(Z186)="NA;",TRIM(Z186)="NA"),0,1)</f>
        <v/>
      </c>
      <c r="DF186" s="48">
        <f>IF(OR(TRIM(AA186)="",TRIM(AA186)="NA;",TRIM(AA186)="NA"),0,1)</f>
        <v/>
      </c>
      <c r="DG186" s="48">
        <f>IF(OR(TRIM(AB186)="",TRIM(AB186)="NA;",TRIM(AB186)="NA"),0,1)</f>
        <v/>
      </c>
      <c r="DH186" s="48">
        <f>IF(OR(TRIM(AC186)="",TRIM(AC186)="NA;",TRIM(AC186)="NA"),0,1)</f>
        <v/>
      </c>
      <c r="DI186" s="48">
        <f>IF(OR(TRIM(AD186)="",TRIM(AD186)="NA;",TRIM(AD186)="NA"),0,1)</f>
        <v/>
      </c>
      <c r="DJ186" s="48">
        <f>TRIM(IF(DC186=1,"Mon ","")&amp;IF(DD186=1,"Tue ","")&amp;IF(DE186=1,"Wed ","")&amp;IF(DF186=1,"Thu ","")&amp;IF(DG186=1,"Fri ","")&amp;IF(DH186=1,"Sat ","")&amp;IF(DI186=1,"Sun ",""))</f>
        <v/>
      </c>
    </row>
    <row r="187">
      <c r="A187" s="48" t="inlineStr">
        <is>
          <t>S-N-00035</t>
        </is>
      </c>
      <c r="B187" s="48" t="inlineStr">
        <is>
          <t>Olha Garcia</t>
        </is>
      </c>
      <c r="C187" s="48" t="inlineStr">
        <is>
          <t>olha.garcia85@example.com</t>
        </is>
      </c>
      <c r="D187" s="48" t="inlineStr">
        <is>
          <t>+61 463 118 394</t>
        </is>
      </c>
      <c r="E187" s="48" t="inlineStr">
        <is>
          <t>Elena Fernando</t>
        </is>
      </c>
      <c r="F187" s="48" t="inlineStr">
        <is>
          <t>+61 425 609 864</t>
        </is>
      </c>
      <c r="G187" s="48" t="inlineStr">
        <is>
          <t>Adult Child</t>
        </is>
      </c>
      <c r="H187" s="48" t="inlineStr">
        <is>
          <t>Student</t>
        </is>
      </c>
      <c r="I187" s="49" t="n">
        <v>45891</v>
      </c>
      <c r="J187" s="48" t="inlineStr">
        <is>
          <t>ADM-ACT-MAT-CE</t>
        </is>
      </c>
      <c r="K187" s="48">
        <f>IFERROR(VLOOKUP(J187,'(A) Introduction'!$B$35:$C$45,2,FALSE),"")</f>
        <v/>
      </c>
      <c r="L187" s="48" t="inlineStr">
        <is>
          <t>No</t>
        </is>
      </c>
      <c r="M187" s="49" t="n">
        <v>45982</v>
      </c>
      <c r="N187" s="48" t="inlineStr"/>
      <c r="O187" s="48" t="inlineStr">
        <is>
          <t>NA</t>
        </is>
      </c>
      <c r="P187" s="48">
        <f>IF($H187="Tutor",((BQ187&lt;&gt;"")*(BR187=""))+((BW187&lt;&gt;"")*(BX187=""))+((CC187&lt;&gt;"")*(CD187=""))+((CI187&lt;&gt;"")*(CJ187=""))+((CO187&lt;&gt;"")*(CP187="")),SUMPRODUCT(--($BO$3:$BO$202=$A187),--($BR$3:$BR$202=""))+SUMPRODUCT(--($BU$3:$BU$202=$A187),--($BX$3:$BX$202=""))+SUMPRODUCT(--($CA$3:$CA$202=$A187),--($CD$3:$CD$202=""))+SUMPRODUCT(--($CG$3:$CG$202=$A187),--($CJ$3:$CJ$202=""))+SUMPRODUCT(--($CM$3:$CM$202=$A187),--($CP$3:$CP$202="")))</f>
        <v/>
      </c>
      <c r="Q187" s="48">
        <f>IF($H187="Tutor",(BQ187&lt;&gt;"")+(BW187&lt;&gt;"")+(CC187&lt;&gt;"")+(CI187&lt;&gt;"")+(CO187&lt;&gt;""),SUMPRODUCT(--($BO$3:$BO$202=$A187))+SUMPRODUCT(--($BU$3:$BU$202=$A187))+SUMPRODUCT(--($CA$3:$CA$202=$A187))+SUMPRODUCT(--($CG$3:$CG$202=$A187))+SUMPRODUCT(--($CM$3:$CM$202=$A187)))</f>
        <v/>
      </c>
      <c r="R187" s="48">
        <f>IF($H187="Tutor",TRIM(IF(AND(BQ187&lt;&gt;"",BR187=""),BP187&amp;"; ","")&amp;IF(AND(BW187&lt;&gt;"",BX187=""),BV187&amp;"; ","")&amp;IF(AND(CC187&lt;&gt;"",CD187=""),CB187&amp;"; ","")&amp;IF(AND(CI187&lt;&gt;"",CJ187=""),CH187&amp;"; ","")&amp;IF(AND(CO187&lt;&gt;"",CP187=""),CN187&amp;"; ","")),IFERROR(INDEX($A$3:$B$202,(SUMPRODUCT(($BO$3:$BO$202=$A187)*($BR$3:$BR$202="")*ROW($BO$3:$BO$202))+SUMPRODUCT(($BU$3:$BU$202=$A187)*($BX$3:$BX$202="")*ROW($BU$3:$BU$202))+SUMPRODUCT(($CA$3:$CA$202=$A187)*($CD$3:$CD$202="")*ROW($CA$3:$CA$202))+SUMPRODUCT(($CG$3:$CG$202=$A187)*($CJ$3:$CJ$202="")*ROW($CG$3:$CG$202))+SUMPRODUCT(($CM$3:$CM$202=$A187)*($CP$3:$CP$202="")*ROW($CM$3:$CM$202)))-2,2),""))</f>
        <v/>
      </c>
      <c r="S187" s="48" t="inlineStr">
        <is>
          <t>Not Provided</t>
        </is>
      </c>
      <c r="T187" s="48" t="inlineStr"/>
      <c r="U187" s="48" t="inlineStr"/>
      <c r="V187" s="49" t="n">
        <v>45965</v>
      </c>
      <c r="W187" s="48" t="inlineStr">
        <is>
          <t>ACST (UTC+9:30)</t>
        </is>
      </c>
      <c r="X187" s="48" t="inlineStr">
        <is>
          <t>3pm-6pm;</t>
        </is>
      </c>
      <c r="Y187" s="48" t="inlineStr">
        <is>
          <t>6pm-9pm;</t>
        </is>
      </c>
      <c r="Z187" s="48" t="inlineStr">
        <is>
          <t>12pm-3pm;</t>
        </is>
      </c>
      <c r="AA187" s="48" t="inlineStr">
        <is>
          <t>9am-12pm;12pm-3pm;3pm-6pm;</t>
        </is>
      </c>
      <c r="AB187" s="48" t="inlineStr">
        <is>
          <t>12pm-3pm;6pm-9pm;</t>
        </is>
      </c>
      <c r="AC187" s="48" t="inlineStr">
        <is>
          <t>3pm-6pm;</t>
        </is>
      </c>
      <c r="AD187" s="48" t="inlineStr">
        <is>
          <t>12pm-3pm;6pm-9pm;</t>
        </is>
      </c>
      <c r="AE187" s="48" t="inlineStr">
        <is>
          <t>Online</t>
        </is>
      </c>
      <c r="AF187" s="48" t="inlineStr">
        <is>
          <t>Computer</t>
        </is>
      </c>
      <c r="AG187" s="48" t="inlineStr">
        <is>
          <t>Australia</t>
        </is>
      </c>
      <c r="AH187" s="48" t="inlineStr">
        <is>
          <t>New South Wales</t>
        </is>
      </c>
      <c r="AI187" s="48" t="inlineStr">
        <is>
          <t>Fairfield</t>
        </is>
      </c>
      <c r="AJ187" s="48" t="inlineStr">
        <is>
          <t>2165</t>
        </is>
      </c>
      <c r="AK187" s="49" t="n">
        <v>37306</v>
      </c>
      <c r="AL187" s="48" t="inlineStr">
        <is>
          <t>Male</t>
        </is>
      </c>
      <c r="AM187" s="48" t="inlineStr">
        <is>
          <t>No</t>
        </is>
      </c>
      <c r="AN187" s="48" t="inlineStr">
        <is>
          <t>A2</t>
        </is>
      </c>
      <c r="AO187" s="48" t="inlineStr">
        <is>
          <t>Low</t>
        </is>
      </c>
      <c r="AP187" s="48" t="inlineStr">
        <is>
          <t>Sri Lanka</t>
        </is>
      </c>
      <c r="AQ187" s="48" t="inlineStr">
        <is>
          <t>NA</t>
        </is>
      </c>
      <c r="AR187" s="48" t="inlineStr">
        <is>
          <t>Tigrinya (C1)</t>
        </is>
      </c>
      <c r="AS187" s="48" t="inlineStr">
        <is>
          <t>NA</t>
        </is>
      </c>
      <c r="AT187" s="48" t="inlineStr">
        <is>
          <t>Military &amp; Public Safety</t>
        </is>
      </c>
      <c r="AU187" s="48" t="inlineStr">
        <is>
          <t>Teacher</t>
        </is>
      </c>
      <c r="AV187" s="48" t="inlineStr">
        <is>
          <t>Engineering</t>
        </is>
      </c>
      <c r="AW187" s="48" t="inlineStr">
        <is>
          <t>Travel; Sport; Movies</t>
        </is>
      </c>
      <c r="AX187" s="48" t="inlineStr">
        <is>
          <t>Asylum Seeker</t>
        </is>
      </c>
      <c r="AY187" s="48" t="inlineStr">
        <is>
          <t>NA - RELT Member Verified</t>
        </is>
      </c>
      <c r="AZ187" s="48" t="inlineStr">
        <is>
          <t>Yes</t>
        </is>
      </c>
      <c r="BA187" s="48" t="inlineStr">
        <is>
          <t>NA</t>
        </is>
      </c>
      <c r="BB187" s="48" t="inlineStr">
        <is>
          <t>NA</t>
        </is>
      </c>
      <c r="BC187" s="48" t="inlineStr">
        <is>
          <t>NA</t>
        </is>
      </c>
      <c r="BD187" s="48" t="inlineStr">
        <is>
          <t>NA</t>
        </is>
      </c>
      <c r="BE187" s="48" t="inlineStr"/>
      <c r="BF187" s="48" t="inlineStr"/>
      <c r="BG187" s="48" t="inlineStr">
        <is>
          <t>NA</t>
        </is>
      </c>
      <c r="BH187" s="48" t="inlineStr">
        <is>
          <t>NA - Student</t>
        </is>
      </c>
      <c r="BI187" s="48" t="inlineStr">
        <is>
          <t>Grandmothers for Refugees</t>
        </is>
      </c>
      <c r="BJ187" s="48" t="inlineStr">
        <is>
          <t>CROCK Mary</t>
        </is>
      </c>
      <c r="BK187" s="48" t="inlineStr">
        <is>
          <t>MCCLELLAND Reeve</t>
        </is>
      </c>
      <c r="BL187" s="48" t="inlineStr">
        <is>
          <t>Synthetic test record.</t>
        </is>
      </c>
      <c r="BM187" s="48" t="inlineStr"/>
      <c r="BN187" s="48">
        <f>TRIM(IF(AND($H187="Student",$J187="ADM-ACT-MAT-CNE"),"Invalid: Student cannot be CNE. ","")&amp;IF(AND($H187="Student",ISNUMBER($O187)),"Check: capacity set for a Student. ","")&amp;IF(AND(LEFT($J187,11)="ADM-ACT-MAT",$P187=0),"Check: matched status but 0 active pairings. ","")&amp;IF(AND($H187="Tutor",ISNUMBER($O187),$P187&gt;$O187),"Check: pairings exceed capacity. ","")&amp;IF(AND($BH187="Everyone",NOT(AND($BD187="Yes",$BG187="Yes"))),"Check: approved to tutor children but WWCC not provided/confirmed. ","")&amp;IF(AND($P187&gt;0,NOT(AND(OR(LEFT($AY187,3)="Yes",LEFT($AY187,2)="NA"),OR(LEFT($AZ187,3)="Yes",LEFT($AZ187,2)="NA")))),"Matched but vetting incomplete (interview/reference). ","")&amp;IF(COUNTIF($B$3:$B$600,$B187)&gt;1,"Duplicate participant name. ",""))</f>
        <v/>
      </c>
      <c r="BO187" s="48" t="inlineStr"/>
      <c r="BP187" s="48" t="inlineStr"/>
      <c r="BQ187" s="48" t="inlineStr"/>
      <c r="BR187" s="48" t="inlineStr"/>
      <c r="BS187" s="48" t="inlineStr"/>
      <c r="BT187" s="48" t="inlineStr"/>
      <c r="BU187" s="48" t="inlineStr"/>
      <c r="BV187" s="48" t="inlineStr"/>
      <c r="BW187" s="48" t="inlineStr"/>
      <c r="BX187" s="48" t="inlineStr"/>
      <c r="BY187" s="48" t="inlineStr"/>
      <c r="BZ187" s="48" t="inlineStr"/>
      <c r="CA187" s="48" t="inlineStr"/>
      <c r="CB187" s="48" t="inlineStr"/>
      <c r="CC187" s="48" t="inlineStr"/>
      <c r="CD187" s="48" t="inlineStr"/>
      <c r="CE187" s="48" t="inlineStr"/>
      <c r="CF187" s="48" t="inlineStr"/>
      <c r="CG187" s="48" t="inlineStr"/>
      <c r="CH187" s="48" t="inlineStr"/>
      <c r="CI187" s="48" t="inlineStr"/>
      <c r="CJ187" s="48" t="inlineStr"/>
      <c r="CK187" s="48" t="inlineStr"/>
      <c r="CL187" s="48" t="inlineStr"/>
      <c r="CM187" s="48" t="inlineStr"/>
      <c r="CN187" s="48" t="inlineStr"/>
      <c r="CO187" s="48" t="inlineStr"/>
      <c r="CP187" s="48" t="inlineStr"/>
      <c r="CQ187" s="48" t="inlineStr"/>
      <c r="CR187" s="48" t="inlineStr"/>
      <c r="CS187" s="48">
        <f>IF(LEFT($J187,3)="ERR",0,1)</f>
        <v/>
      </c>
      <c r="CT187" s="48">
        <f>IF(LEFT($J187,3)="ADM",1,0)</f>
        <v/>
      </c>
      <c r="CU187" s="48">
        <f>IF(OR($J187="ADM-ACT-MAT-CNE",$J187="ADM-ACT-MAT-CE",$J187="ADM-INACT-M&amp;T"),1,0)</f>
        <v/>
      </c>
      <c r="CV187" s="48">
        <f>IF(AND(CU187=1,ISNUMBER(M187),ISNUMBER(I187)),M187-I187,"")</f>
        <v/>
      </c>
      <c r="CW187" s="48">
        <f>IF(ISNUMBER(I187),TODAY()-I187,"")</f>
        <v/>
      </c>
      <c r="CX187" s="48">
        <f>IF(ISNUMBER(I187),DATE(YEAR(I187),MONTH(I187),1),"")</f>
        <v/>
      </c>
      <c r="CY187" s="48">
        <f>IFERROR(DATEDIF(AK187,TODAY(),"y"),"")</f>
        <v/>
      </c>
      <c r="CZ187" s="48">
        <f>IF(CY187="","",IF(CY187&lt;28,"18-27",IF(CY187&lt;38,"28-37",IF(CY187&lt;48,"38-47",IF(CY187&lt;58,"48-57",IF(CY187&lt;68,"58-67",IF(CY187&lt;78,"68-77","78+")))))) </f>
        <v/>
      </c>
      <c r="DA187" s="48">
        <f>IF(AND(BQ187&lt;&gt;"",BR187=""),N(BS187),0)+IF(AND(BW187&lt;&gt;"",BX187=""),N(BY187),0)+IF(AND(CC187&lt;&gt;"",CD187=""),N(CE187),0)+IF(AND(CI187&lt;&gt;"",CJ187=""),N(CK187),0)+IF(AND(CO187&lt;&gt;"",CP187=""),N(CQ187),0)</f>
        <v/>
      </c>
      <c r="DB187" s="48">
        <f>ROUND(IF(BQ187&lt;&gt;"",N(BS187)*MAX(0,((IF(BR187="",TODAY(),BR187))-BQ187)/7),0)+IF(BW187&lt;&gt;"",N(BY187)*MAX(0,((IF(BX187="",TODAY(),BX187))-BW187)/7),0)+IF(CC187&lt;&gt;"",N(CE187)*MAX(0,((IF(CD187="",TODAY(),CD187))-CC187)/7),0)+IF(CI187&lt;&gt;"",N(CK187)*MAX(0,((IF(CJ187="",TODAY(),CJ187))-CI187)/7),0)+IF(CO187&lt;&gt;"",N(CQ187)*MAX(0,((IF(CP187="",TODAY(),CP187))-CO187)/7),0),1)</f>
        <v/>
      </c>
      <c r="DC187" s="48">
        <f>IF(OR(TRIM(X187)="",TRIM(X187)="NA;",TRIM(X187)="NA"),0,1)</f>
        <v/>
      </c>
      <c r="DD187" s="48">
        <f>IF(OR(TRIM(Y187)="",TRIM(Y187)="NA;",TRIM(Y187)="NA"),0,1)</f>
        <v/>
      </c>
      <c r="DE187" s="48">
        <f>IF(OR(TRIM(Z187)="",TRIM(Z187)="NA;",TRIM(Z187)="NA"),0,1)</f>
        <v/>
      </c>
      <c r="DF187" s="48">
        <f>IF(OR(TRIM(AA187)="",TRIM(AA187)="NA;",TRIM(AA187)="NA"),0,1)</f>
        <v/>
      </c>
      <c r="DG187" s="48">
        <f>IF(OR(TRIM(AB187)="",TRIM(AB187)="NA;",TRIM(AB187)="NA"),0,1)</f>
        <v/>
      </c>
      <c r="DH187" s="48">
        <f>IF(OR(TRIM(AC187)="",TRIM(AC187)="NA;",TRIM(AC187)="NA"),0,1)</f>
        <v/>
      </c>
      <c r="DI187" s="48">
        <f>IF(OR(TRIM(AD187)="",TRIM(AD187)="NA;",TRIM(AD187)="NA"),0,1)</f>
        <v/>
      </c>
      <c r="DJ187" s="48">
        <f>TRIM(IF(DC187=1,"Mon ","")&amp;IF(DD187=1,"Tue ","")&amp;IF(DE187=1,"Wed ","")&amp;IF(DF187=1,"Thu ","")&amp;IF(DG187=1,"Fri ","")&amp;IF(DH187=1,"Sat ","")&amp;IF(DI187=1,"Sun ",""))</f>
        <v/>
      </c>
    </row>
    <row r="188">
      <c r="A188" s="48" t="inlineStr">
        <is>
          <t>S-N-00036</t>
        </is>
      </c>
      <c r="B188" s="48" t="inlineStr">
        <is>
          <t>Hassan Lopez</t>
        </is>
      </c>
      <c r="C188" s="48" t="inlineStr">
        <is>
          <t>hassan.lopez86@example.com</t>
        </is>
      </c>
      <c r="D188" s="48" t="inlineStr">
        <is>
          <t>+61 492 511 285</t>
        </is>
      </c>
      <c r="E188" s="48" t="inlineStr">
        <is>
          <t>Mariam Petrov</t>
        </is>
      </c>
      <c r="F188" s="48" t="inlineStr">
        <is>
          <t>+61 438 636 638</t>
        </is>
      </c>
      <c r="G188" s="48" t="inlineStr">
        <is>
          <t>Spouse</t>
        </is>
      </c>
      <c r="H188" s="48" t="inlineStr">
        <is>
          <t>Student</t>
        </is>
      </c>
      <c r="I188" s="49" t="n">
        <v>45891</v>
      </c>
      <c r="J188" s="48" t="inlineStr">
        <is>
          <t>ADM-ACT-MAT-CE</t>
        </is>
      </c>
      <c r="K188" s="48">
        <f>IFERROR(VLOOKUP(J188,'(A) Introduction'!$B$35:$C$45,2,FALSE),"")</f>
        <v/>
      </c>
      <c r="L188" s="48" t="inlineStr">
        <is>
          <t>No</t>
        </is>
      </c>
      <c r="M188" s="49" t="n">
        <v>45954</v>
      </c>
      <c r="N188" s="48" t="inlineStr"/>
      <c r="O188" s="48" t="inlineStr">
        <is>
          <t>NA</t>
        </is>
      </c>
      <c r="P188" s="48">
        <f>IF($H188="Tutor",((BQ188&lt;&gt;"")*(BR188=""))+((BW188&lt;&gt;"")*(BX188=""))+((CC188&lt;&gt;"")*(CD188=""))+((CI188&lt;&gt;"")*(CJ188=""))+((CO188&lt;&gt;"")*(CP188="")),SUMPRODUCT(--($BO$3:$BO$202=$A188),--($BR$3:$BR$202=""))+SUMPRODUCT(--($BU$3:$BU$202=$A188),--($BX$3:$BX$202=""))+SUMPRODUCT(--($CA$3:$CA$202=$A188),--($CD$3:$CD$202=""))+SUMPRODUCT(--($CG$3:$CG$202=$A188),--($CJ$3:$CJ$202=""))+SUMPRODUCT(--($CM$3:$CM$202=$A188),--($CP$3:$CP$202="")))</f>
        <v/>
      </c>
      <c r="Q188" s="48">
        <f>IF($H188="Tutor",(BQ188&lt;&gt;"")+(BW188&lt;&gt;"")+(CC188&lt;&gt;"")+(CI188&lt;&gt;"")+(CO188&lt;&gt;""),SUMPRODUCT(--($BO$3:$BO$202=$A188))+SUMPRODUCT(--($BU$3:$BU$202=$A188))+SUMPRODUCT(--($CA$3:$CA$202=$A188))+SUMPRODUCT(--($CG$3:$CG$202=$A188))+SUMPRODUCT(--($CM$3:$CM$202=$A188)))</f>
        <v/>
      </c>
      <c r="R188" s="48">
        <f>IF($H188="Tutor",TRIM(IF(AND(BQ188&lt;&gt;"",BR188=""),BP188&amp;"; ","")&amp;IF(AND(BW188&lt;&gt;"",BX188=""),BV188&amp;"; ","")&amp;IF(AND(CC188&lt;&gt;"",CD188=""),CB188&amp;"; ","")&amp;IF(AND(CI188&lt;&gt;"",CJ188=""),CH188&amp;"; ","")&amp;IF(AND(CO188&lt;&gt;"",CP188=""),CN188&amp;"; ","")),IFERROR(INDEX($A$3:$B$202,(SUMPRODUCT(($BO$3:$BO$202=$A188)*($BR$3:$BR$202="")*ROW($BO$3:$BO$202))+SUMPRODUCT(($BU$3:$BU$202=$A188)*($BX$3:$BX$202="")*ROW($BU$3:$BU$202))+SUMPRODUCT(($CA$3:$CA$202=$A188)*($CD$3:$CD$202="")*ROW($CA$3:$CA$202))+SUMPRODUCT(($CG$3:$CG$202=$A188)*($CJ$3:$CJ$202="")*ROW($CG$3:$CG$202))+SUMPRODUCT(($CM$3:$CM$202=$A188)*($CP$3:$CP$202="")*ROW($CM$3:$CM$202)))-2,2),""))</f>
        <v/>
      </c>
      <c r="S188" s="48" t="inlineStr">
        <is>
          <t>NA</t>
        </is>
      </c>
      <c r="T188" s="48" t="inlineStr"/>
      <c r="U188" s="48" t="inlineStr"/>
      <c r="V188" s="49" t="n">
        <v>45875</v>
      </c>
      <c r="W188" s="48" t="inlineStr">
        <is>
          <t>AEST (UTC+10)</t>
        </is>
      </c>
      <c r="X188" s="48" t="inlineStr">
        <is>
          <t>12pm-3pm;6pm-9pm;</t>
        </is>
      </c>
      <c r="Y188" s="48" t="inlineStr">
        <is>
          <t>6am-9am;9am-12pm;</t>
        </is>
      </c>
      <c r="Z188" s="48" t="inlineStr">
        <is>
          <t>6pm-9pm;</t>
        </is>
      </c>
      <c r="AA188" s="48" t="inlineStr">
        <is>
          <t>12pm-3pm;6pm-9pm;</t>
        </is>
      </c>
      <c r="AB188" s="48" t="inlineStr">
        <is>
          <t>6pm-9pm;</t>
        </is>
      </c>
      <c r="AC188" s="48" t="inlineStr">
        <is>
          <t>9am-12pm;12pm-3pm;3pm-6pm;</t>
        </is>
      </c>
      <c r="AD188" s="48" t="inlineStr">
        <is>
          <t>3pm-6pm;</t>
        </is>
      </c>
      <c r="AE188" s="48" t="inlineStr">
        <is>
          <t>Online</t>
        </is>
      </c>
      <c r="AF188" s="48" t="inlineStr">
        <is>
          <t>Multiple devices</t>
        </is>
      </c>
      <c r="AG188" s="48" t="inlineStr">
        <is>
          <t>Australia</t>
        </is>
      </c>
      <c r="AH188" s="48" t="inlineStr">
        <is>
          <t>New South Wales</t>
        </is>
      </c>
      <c r="AI188" s="48" t="inlineStr">
        <is>
          <t>Bankstown</t>
        </is>
      </c>
      <c r="AJ188" s="48" t="inlineStr">
        <is>
          <t>2200</t>
        </is>
      </c>
      <c r="AK188" s="49" t="n">
        <v>24417</v>
      </c>
      <c r="AL188" s="48" t="inlineStr">
        <is>
          <t>Female</t>
        </is>
      </c>
      <c r="AM188" s="48" t="inlineStr">
        <is>
          <t>No</t>
        </is>
      </c>
      <c r="AN188" s="48" t="inlineStr">
        <is>
          <t>B2</t>
        </is>
      </c>
      <c r="AO188" s="48" t="inlineStr">
        <is>
          <t>Outstanding</t>
        </is>
      </c>
      <c r="AP188" s="48" t="inlineStr">
        <is>
          <t>Eritrea</t>
        </is>
      </c>
      <c r="AQ188" s="48" t="inlineStr">
        <is>
          <t>NA</t>
        </is>
      </c>
      <c r="AR188" s="48" t="inlineStr">
        <is>
          <t>Spanish (C1)</t>
        </is>
      </c>
      <c r="AS188" s="48" t="inlineStr">
        <is>
          <t>Muslim</t>
        </is>
      </c>
      <c r="AT188" s="48" t="inlineStr">
        <is>
          <t>Business &amp; Finance</t>
        </is>
      </c>
      <c r="AU188" s="48" t="inlineStr">
        <is>
          <t>Engineer</t>
        </is>
      </c>
      <c r="AV188" s="48" t="inlineStr">
        <is>
          <t>Counselling</t>
        </is>
      </c>
      <c r="AW188" s="48" t="inlineStr">
        <is>
          <t>Cooking; Reading; Music</t>
        </is>
      </c>
      <c r="AX188" s="48" t="inlineStr">
        <is>
          <t>Asylum Seeker</t>
        </is>
      </c>
      <c r="AY188" s="48" t="inlineStr">
        <is>
          <t>Yes</t>
        </is>
      </c>
      <c r="AZ188" s="48" t="inlineStr">
        <is>
          <t>Yes</t>
        </is>
      </c>
      <c r="BA188" s="48" t="inlineStr">
        <is>
          <t>NA</t>
        </is>
      </c>
      <c r="BB188" s="48" t="inlineStr">
        <is>
          <t>NA</t>
        </is>
      </c>
      <c r="BC188" s="48" t="inlineStr">
        <is>
          <t>NA</t>
        </is>
      </c>
      <c r="BD188" s="48" t="inlineStr">
        <is>
          <t>NA</t>
        </is>
      </c>
      <c r="BE188" s="48" t="inlineStr"/>
      <c r="BF188" s="48" t="inlineStr"/>
      <c r="BG188" s="48" t="inlineStr">
        <is>
          <t>NA</t>
        </is>
      </c>
      <c r="BH188" s="48" t="inlineStr">
        <is>
          <t>NA - Student</t>
        </is>
      </c>
      <c r="BI188" s="48" t="inlineStr">
        <is>
          <t>Refugee Education Australia</t>
        </is>
      </c>
      <c r="BJ188" s="48" t="inlineStr">
        <is>
          <t>SINGH Veera</t>
        </is>
      </c>
      <c r="BK188" s="48" t="inlineStr">
        <is>
          <t>THET Moh Moh</t>
        </is>
      </c>
      <c r="BL188" s="48" t="inlineStr">
        <is>
          <t>Synthetic test record.</t>
        </is>
      </c>
      <c r="BM188" s="48" t="inlineStr"/>
      <c r="BN188" s="48">
        <f>TRIM(IF(AND($H188="Student",$J188="ADM-ACT-MAT-CNE"),"Invalid: Student cannot be CNE. ","")&amp;IF(AND($H188="Student",ISNUMBER($O188)),"Check: capacity set for a Student. ","")&amp;IF(AND(LEFT($J188,11)="ADM-ACT-MAT",$P188=0),"Check: matched status but 0 active pairings. ","")&amp;IF(AND($H188="Tutor",ISNUMBER($O188),$P188&gt;$O188),"Check: pairings exceed capacity. ","")&amp;IF(AND($BH188="Everyone",NOT(AND($BD188="Yes",$BG188="Yes"))),"Check: approved to tutor children but WWCC not provided/confirmed. ","")&amp;IF(AND($P188&gt;0,NOT(AND(OR(LEFT($AY188,3)="Yes",LEFT($AY188,2)="NA"),OR(LEFT($AZ188,3)="Yes",LEFT($AZ188,2)="NA")))),"Matched but vetting incomplete (interview/reference). ","")&amp;IF(COUNTIF($B$3:$B$600,$B188)&gt;1,"Duplicate participant name. ",""))</f>
        <v/>
      </c>
      <c r="BO188" s="48" t="inlineStr"/>
      <c r="BP188" s="48" t="inlineStr"/>
      <c r="BQ188" s="48" t="inlineStr"/>
      <c r="BR188" s="48" t="inlineStr"/>
      <c r="BS188" s="48" t="inlineStr"/>
      <c r="BT188" s="48" t="inlineStr"/>
      <c r="BU188" s="48" t="inlineStr"/>
      <c r="BV188" s="48" t="inlineStr"/>
      <c r="BW188" s="48" t="inlineStr"/>
      <c r="BX188" s="48" t="inlineStr"/>
      <c r="BY188" s="48" t="inlineStr"/>
      <c r="BZ188" s="48" t="inlineStr"/>
      <c r="CA188" s="48" t="inlineStr"/>
      <c r="CB188" s="48" t="inlineStr"/>
      <c r="CC188" s="48" t="inlineStr"/>
      <c r="CD188" s="48" t="inlineStr"/>
      <c r="CE188" s="48" t="inlineStr"/>
      <c r="CF188" s="48" t="inlineStr"/>
      <c r="CG188" s="48" t="inlineStr"/>
      <c r="CH188" s="48" t="inlineStr"/>
      <c r="CI188" s="48" t="inlineStr"/>
      <c r="CJ188" s="48" t="inlineStr"/>
      <c r="CK188" s="48" t="inlineStr"/>
      <c r="CL188" s="48" t="inlineStr"/>
      <c r="CM188" s="48" t="inlineStr"/>
      <c r="CN188" s="48" t="inlineStr"/>
      <c r="CO188" s="48" t="inlineStr"/>
      <c r="CP188" s="48" t="inlineStr"/>
      <c r="CQ188" s="48" t="inlineStr"/>
      <c r="CR188" s="48" t="inlineStr"/>
      <c r="CS188" s="48">
        <f>IF(LEFT($J188,3)="ERR",0,1)</f>
        <v/>
      </c>
      <c r="CT188" s="48">
        <f>IF(LEFT($J188,3)="ADM",1,0)</f>
        <v/>
      </c>
      <c r="CU188" s="48">
        <f>IF(OR($J188="ADM-ACT-MAT-CNE",$J188="ADM-ACT-MAT-CE",$J188="ADM-INACT-M&amp;T"),1,0)</f>
        <v/>
      </c>
      <c r="CV188" s="48">
        <f>IF(AND(CU188=1,ISNUMBER(M188),ISNUMBER(I188)),M188-I188,"")</f>
        <v/>
      </c>
      <c r="CW188" s="48">
        <f>IF(ISNUMBER(I188),TODAY()-I188,"")</f>
        <v/>
      </c>
      <c r="CX188" s="48">
        <f>IF(ISNUMBER(I188),DATE(YEAR(I188),MONTH(I188),1),"")</f>
        <v/>
      </c>
      <c r="CY188" s="48">
        <f>IFERROR(DATEDIF(AK188,TODAY(),"y"),"")</f>
        <v/>
      </c>
      <c r="CZ188" s="48">
        <f>IF(CY188="","",IF(CY188&lt;28,"18-27",IF(CY188&lt;38,"28-37",IF(CY188&lt;48,"38-47",IF(CY188&lt;58,"48-57",IF(CY188&lt;68,"58-67",IF(CY188&lt;78,"68-77","78+")))))) </f>
        <v/>
      </c>
      <c r="DA188" s="48">
        <f>IF(AND(BQ188&lt;&gt;"",BR188=""),N(BS188),0)+IF(AND(BW188&lt;&gt;"",BX188=""),N(BY188),0)+IF(AND(CC188&lt;&gt;"",CD188=""),N(CE188),0)+IF(AND(CI188&lt;&gt;"",CJ188=""),N(CK188),0)+IF(AND(CO188&lt;&gt;"",CP188=""),N(CQ188),0)</f>
        <v/>
      </c>
      <c r="DB188" s="48">
        <f>ROUND(IF(BQ188&lt;&gt;"",N(BS188)*MAX(0,((IF(BR188="",TODAY(),BR188))-BQ188)/7),0)+IF(BW188&lt;&gt;"",N(BY188)*MAX(0,((IF(BX188="",TODAY(),BX188))-BW188)/7),0)+IF(CC188&lt;&gt;"",N(CE188)*MAX(0,((IF(CD188="",TODAY(),CD188))-CC188)/7),0)+IF(CI188&lt;&gt;"",N(CK188)*MAX(0,((IF(CJ188="",TODAY(),CJ188))-CI188)/7),0)+IF(CO188&lt;&gt;"",N(CQ188)*MAX(0,((IF(CP188="",TODAY(),CP188))-CO188)/7),0),1)</f>
        <v/>
      </c>
      <c r="DC188" s="48">
        <f>IF(OR(TRIM(X188)="",TRIM(X188)="NA;",TRIM(X188)="NA"),0,1)</f>
        <v/>
      </c>
      <c r="DD188" s="48">
        <f>IF(OR(TRIM(Y188)="",TRIM(Y188)="NA;",TRIM(Y188)="NA"),0,1)</f>
        <v/>
      </c>
      <c r="DE188" s="48">
        <f>IF(OR(TRIM(Z188)="",TRIM(Z188)="NA;",TRIM(Z188)="NA"),0,1)</f>
        <v/>
      </c>
      <c r="DF188" s="48">
        <f>IF(OR(TRIM(AA188)="",TRIM(AA188)="NA;",TRIM(AA188)="NA"),0,1)</f>
        <v/>
      </c>
      <c r="DG188" s="48">
        <f>IF(OR(TRIM(AB188)="",TRIM(AB188)="NA;",TRIM(AB188)="NA"),0,1)</f>
        <v/>
      </c>
      <c r="DH188" s="48">
        <f>IF(OR(TRIM(AC188)="",TRIM(AC188)="NA;",TRIM(AC188)="NA"),0,1)</f>
        <v/>
      </c>
      <c r="DI188" s="48">
        <f>IF(OR(TRIM(AD188)="",TRIM(AD188)="NA;",TRIM(AD188)="NA"),0,1)</f>
        <v/>
      </c>
      <c r="DJ188" s="48">
        <f>TRIM(IF(DC188=1,"Mon ","")&amp;IF(DD188=1,"Tue ","")&amp;IF(DE188=1,"Wed ","")&amp;IF(DF188=1,"Thu ","")&amp;IF(DG188=1,"Fri ","")&amp;IF(DH188=1,"Sat ","")&amp;IF(DI188=1,"Sun ",""))</f>
        <v/>
      </c>
    </row>
    <row r="189">
      <c r="A189" s="48" t="inlineStr">
        <is>
          <t>S-N-00037</t>
        </is>
      </c>
      <c r="B189" s="48" t="inlineStr">
        <is>
          <t>Ava Hassan</t>
        </is>
      </c>
      <c r="C189" s="48" t="inlineStr">
        <is>
          <t>ava.hassan87@example.com</t>
        </is>
      </c>
      <c r="D189" s="48" t="inlineStr">
        <is>
          <t>+61 498 504 811</t>
        </is>
      </c>
      <c r="E189" s="48" t="inlineStr">
        <is>
          <t>Ben Slaytor</t>
        </is>
      </c>
      <c r="F189" s="48" t="inlineStr">
        <is>
          <t>+61 462 782 112</t>
        </is>
      </c>
      <c r="G189" s="48" t="inlineStr">
        <is>
          <t>Friend</t>
        </is>
      </c>
      <c r="H189" s="48" t="inlineStr">
        <is>
          <t>Student</t>
        </is>
      </c>
      <c r="I189" s="49" t="n">
        <v>45908</v>
      </c>
      <c r="J189" s="48" t="inlineStr">
        <is>
          <t>ADM-ACT-MAT-CE</t>
        </is>
      </c>
      <c r="K189" s="48">
        <f>IFERROR(VLOOKUP(J189,'(A) Introduction'!$B$35:$C$45,2,FALSE),"")</f>
        <v/>
      </c>
      <c r="L189" s="48" t="inlineStr">
        <is>
          <t>No</t>
        </is>
      </c>
      <c r="M189" s="49" t="n">
        <v>45931</v>
      </c>
      <c r="N189" s="48" t="inlineStr"/>
      <c r="O189" s="48" t="inlineStr">
        <is>
          <t>NA</t>
        </is>
      </c>
      <c r="P189" s="48">
        <f>IF($H189="Tutor",((BQ189&lt;&gt;"")*(BR189=""))+((BW189&lt;&gt;"")*(BX189=""))+((CC189&lt;&gt;"")*(CD189=""))+((CI189&lt;&gt;"")*(CJ189=""))+((CO189&lt;&gt;"")*(CP189="")),SUMPRODUCT(--($BO$3:$BO$202=$A189),--($BR$3:$BR$202=""))+SUMPRODUCT(--($BU$3:$BU$202=$A189),--($BX$3:$BX$202=""))+SUMPRODUCT(--($CA$3:$CA$202=$A189),--($CD$3:$CD$202=""))+SUMPRODUCT(--($CG$3:$CG$202=$A189),--($CJ$3:$CJ$202=""))+SUMPRODUCT(--($CM$3:$CM$202=$A189),--($CP$3:$CP$202="")))</f>
        <v/>
      </c>
      <c r="Q189" s="48">
        <f>IF($H189="Tutor",(BQ189&lt;&gt;"")+(BW189&lt;&gt;"")+(CC189&lt;&gt;"")+(CI189&lt;&gt;"")+(CO189&lt;&gt;""),SUMPRODUCT(--($BO$3:$BO$202=$A189))+SUMPRODUCT(--($BU$3:$BU$202=$A189))+SUMPRODUCT(--($CA$3:$CA$202=$A189))+SUMPRODUCT(--($CG$3:$CG$202=$A189))+SUMPRODUCT(--($CM$3:$CM$202=$A189)))</f>
        <v/>
      </c>
      <c r="R189" s="48">
        <f>IF($H189="Tutor",TRIM(IF(AND(BQ189&lt;&gt;"",BR189=""),BP189&amp;"; ","")&amp;IF(AND(BW189&lt;&gt;"",BX189=""),BV189&amp;"; ","")&amp;IF(AND(CC189&lt;&gt;"",CD189=""),CB189&amp;"; ","")&amp;IF(AND(CI189&lt;&gt;"",CJ189=""),CH189&amp;"; ","")&amp;IF(AND(CO189&lt;&gt;"",CP189=""),CN189&amp;"; ","")),IFERROR(INDEX($A$3:$B$202,(SUMPRODUCT(($BO$3:$BO$202=$A189)*($BR$3:$BR$202="")*ROW($BO$3:$BO$202))+SUMPRODUCT(($BU$3:$BU$202=$A189)*($BX$3:$BX$202="")*ROW($BU$3:$BU$202))+SUMPRODUCT(($CA$3:$CA$202=$A189)*($CD$3:$CD$202="")*ROW($CA$3:$CA$202))+SUMPRODUCT(($CG$3:$CG$202=$A189)*($CJ$3:$CJ$202="")*ROW($CG$3:$CG$202))+SUMPRODUCT(($CM$3:$CM$202=$A189)*($CP$3:$CP$202="")*ROW($CM$3:$CM$202)))-2,2),""))</f>
        <v/>
      </c>
      <c r="S189" s="48" t="inlineStr">
        <is>
          <t>Provided</t>
        </is>
      </c>
      <c r="T189" s="48" t="inlineStr"/>
      <c r="U189" s="48" t="inlineStr"/>
      <c r="V189" s="49" t="n">
        <v>46044</v>
      </c>
      <c r="W189" s="48" t="inlineStr">
        <is>
          <t>AEST (UTC+10)</t>
        </is>
      </c>
      <c r="X189" s="48" t="inlineStr">
        <is>
          <t>6pm-9pm;</t>
        </is>
      </c>
      <c r="Y189" s="48" t="inlineStr">
        <is>
          <t>6pm-9pm;</t>
        </is>
      </c>
      <c r="Z189" s="48" t="inlineStr">
        <is>
          <t>9am-12pm;12pm-3pm;3pm-6pm;</t>
        </is>
      </c>
      <c r="AA189" s="48" t="inlineStr">
        <is>
          <t>3pm-6pm;</t>
        </is>
      </c>
      <c r="AB189" s="48" t="inlineStr">
        <is>
          <t>9am-12pm;12pm-3pm;3pm-6pm;</t>
        </is>
      </c>
      <c r="AC189" s="48" t="inlineStr">
        <is>
          <t>6am-9am;9am-12pm;</t>
        </is>
      </c>
      <c r="AD189" s="48" t="inlineStr">
        <is>
          <t>9am-12pm;12pm-3pm;3pm-6pm;</t>
        </is>
      </c>
      <c r="AE189" s="48" t="inlineStr">
        <is>
          <t>Either</t>
        </is>
      </c>
      <c r="AF189" s="48" t="inlineStr">
        <is>
          <t>Computer</t>
        </is>
      </c>
      <c r="AG189" s="48" t="inlineStr">
        <is>
          <t>Australia</t>
        </is>
      </c>
      <c r="AH189" s="48" t="inlineStr">
        <is>
          <t>Victoria</t>
        </is>
      </c>
      <c r="AI189" s="48" t="inlineStr">
        <is>
          <t>Dandenong</t>
        </is>
      </c>
      <c r="AJ189" s="48" t="inlineStr">
        <is>
          <t>3175</t>
        </is>
      </c>
      <c r="AK189" s="49" t="n">
        <v>38254</v>
      </c>
      <c r="AL189" s="48" t="inlineStr">
        <is>
          <t>Female</t>
        </is>
      </c>
      <c r="AM189" s="48" t="inlineStr">
        <is>
          <t>Yes</t>
        </is>
      </c>
      <c r="AN189" s="48" t="inlineStr">
        <is>
          <t>A1</t>
        </is>
      </c>
      <c r="AO189" s="48" t="inlineStr">
        <is>
          <t>Outstanding</t>
        </is>
      </c>
      <c r="AP189" s="48" t="inlineStr">
        <is>
          <t>Venezuela</t>
        </is>
      </c>
      <c r="AQ189" s="48" t="inlineStr">
        <is>
          <t>NA</t>
        </is>
      </c>
      <c r="AR189" s="48" t="inlineStr">
        <is>
          <t>Tigrinya (C1)</t>
        </is>
      </c>
      <c r="AS189" s="48" t="inlineStr">
        <is>
          <t>NA</t>
        </is>
      </c>
      <c r="AT189" s="48" t="inlineStr">
        <is>
          <t>Law &amp; Legal Services</t>
        </is>
      </c>
      <c r="AU189" s="48" t="inlineStr">
        <is>
          <t>Engineer</t>
        </is>
      </c>
      <c r="AV189" s="48" t="inlineStr">
        <is>
          <t>Engineering</t>
        </is>
      </c>
      <c r="AW189" s="48" t="inlineStr">
        <is>
          <t>Travel; Sport; Movies</t>
        </is>
      </c>
      <c r="AX189" s="48" t="inlineStr">
        <is>
          <t>Asylum Seeker</t>
        </is>
      </c>
      <c r="AY189" s="48" t="inlineStr">
        <is>
          <t>Yes</t>
        </is>
      </c>
      <c r="AZ189" s="48" t="inlineStr">
        <is>
          <t>NA - Partner Organisation Verified</t>
        </is>
      </c>
      <c r="BA189" s="48" t="inlineStr">
        <is>
          <t>NA</t>
        </is>
      </c>
      <c r="BB189" s="48" t="inlineStr">
        <is>
          <t>NA</t>
        </is>
      </c>
      <c r="BC189" s="48" t="inlineStr">
        <is>
          <t>NA</t>
        </is>
      </c>
      <c r="BD189" s="48" t="inlineStr">
        <is>
          <t>NA</t>
        </is>
      </c>
      <c r="BE189" s="48" t="inlineStr"/>
      <c r="BF189" s="48" t="inlineStr"/>
      <c r="BG189" s="48" t="inlineStr">
        <is>
          <t>NA</t>
        </is>
      </c>
      <c r="BH189" s="48" t="inlineStr">
        <is>
          <t>NA - Student</t>
        </is>
      </c>
      <c r="BI189" s="48" t="inlineStr">
        <is>
          <t>Settlement Services International</t>
        </is>
      </c>
      <c r="BJ189" s="48" t="inlineStr">
        <is>
          <t>HALLORAN Isobel</t>
        </is>
      </c>
      <c r="BK189" s="48" t="inlineStr">
        <is>
          <t>KNIJNIK Marina</t>
        </is>
      </c>
      <c r="BL189" s="48" t="inlineStr">
        <is>
          <t>Synthetic test record.</t>
        </is>
      </c>
      <c r="BM189" s="48" t="inlineStr"/>
      <c r="BN189" s="48">
        <f>TRIM(IF(AND($H189="Student",$J189="ADM-ACT-MAT-CNE"),"Invalid: Student cannot be CNE. ","")&amp;IF(AND($H189="Student",ISNUMBER($O189)),"Check: capacity set for a Student. ","")&amp;IF(AND(LEFT($J189,11)="ADM-ACT-MAT",$P189=0),"Check: matched status but 0 active pairings. ","")&amp;IF(AND($H189="Tutor",ISNUMBER($O189),$P189&gt;$O189),"Check: pairings exceed capacity. ","")&amp;IF(AND($BH189="Everyone",NOT(AND($BD189="Yes",$BG189="Yes"))),"Check: approved to tutor children but WWCC not provided/confirmed. ","")&amp;IF(AND($P189&gt;0,NOT(AND(OR(LEFT($AY189,3)="Yes",LEFT($AY189,2)="NA"),OR(LEFT($AZ189,3)="Yes",LEFT($AZ189,2)="NA")))),"Matched but vetting incomplete (interview/reference). ","")&amp;IF(COUNTIF($B$3:$B$600,$B189)&gt;1,"Duplicate participant name. ",""))</f>
        <v/>
      </c>
      <c r="BO189" s="48" t="inlineStr"/>
      <c r="BP189" s="48" t="inlineStr"/>
      <c r="BQ189" s="48" t="inlineStr"/>
      <c r="BR189" s="48" t="inlineStr"/>
      <c r="BS189" s="48" t="inlineStr"/>
      <c r="BT189" s="48" t="inlineStr"/>
      <c r="BU189" s="48" t="inlineStr"/>
      <c r="BV189" s="48" t="inlineStr"/>
      <c r="BW189" s="48" t="inlineStr"/>
      <c r="BX189" s="48" t="inlineStr"/>
      <c r="BY189" s="48" t="inlineStr"/>
      <c r="BZ189" s="48" t="inlineStr"/>
      <c r="CA189" s="48" t="inlineStr"/>
      <c r="CB189" s="48" t="inlineStr"/>
      <c r="CC189" s="48" t="inlineStr"/>
      <c r="CD189" s="48" t="inlineStr"/>
      <c r="CE189" s="48" t="inlineStr"/>
      <c r="CF189" s="48" t="inlineStr"/>
      <c r="CG189" s="48" t="inlineStr"/>
      <c r="CH189" s="48" t="inlineStr"/>
      <c r="CI189" s="48" t="inlineStr"/>
      <c r="CJ189" s="48" t="inlineStr"/>
      <c r="CK189" s="48" t="inlineStr"/>
      <c r="CL189" s="48" t="inlineStr"/>
      <c r="CM189" s="48" t="inlineStr"/>
      <c r="CN189" s="48" t="inlineStr"/>
      <c r="CO189" s="48" t="inlineStr"/>
      <c r="CP189" s="48" t="inlineStr"/>
      <c r="CQ189" s="48" t="inlineStr"/>
      <c r="CR189" s="48" t="inlineStr"/>
      <c r="CS189" s="48">
        <f>IF(LEFT($J189,3)="ERR",0,1)</f>
        <v/>
      </c>
      <c r="CT189" s="48">
        <f>IF(LEFT($J189,3)="ADM",1,0)</f>
        <v/>
      </c>
      <c r="CU189" s="48">
        <f>IF(OR($J189="ADM-ACT-MAT-CNE",$J189="ADM-ACT-MAT-CE",$J189="ADM-INACT-M&amp;T"),1,0)</f>
        <v/>
      </c>
      <c r="CV189" s="48">
        <f>IF(AND(CU189=1,ISNUMBER(M189),ISNUMBER(I189)),M189-I189,"")</f>
        <v/>
      </c>
      <c r="CW189" s="48">
        <f>IF(ISNUMBER(I189),TODAY()-I189,"")</f>
        <v/>
      </c>
      <c r="CX189" s="48">
        <f>IF(ISNUMBER(I189),DATE(YEAR(I189),MONTH(I189),1),"")</f>
        <v/>
      </c>
      <c r="CY189" s="48">
        <f>IFERROR(DATEDIF(AK189,TODAY(),"y"),"")</f>
        <v/>
      </c>
      <c r="CZ189" s="48">
        <f>IF(CY189="","",IF(CY189&lt;28,"18-27",IF(CY189&lt;38,"28-37",IF(CY189&lt;48,"38-47",IF(CY189&lt;58,"48-57",IF(CY189&lt;68,"58-67",IF(CY189&lt;78,"68-77","78+")))))) </f>
        <v/>
      </c>
      <c r="DA189" s="48">
        <f>IF(AND(BQ189&lt;&gt;"",BR189=""),N(BS189),0)+IF(AND(BW189&lt;&gt;"",BX189=""),N(BY189),0)+IF(AND(CC189&lt;&gt;"",CD189=""),N(CE189),0)+IF(AND(CI189&lt;&gt;"",CJ189=""),N(CK189),0)+IF(AND(CO189&lt;&gt;"",CP189=""),N(CQ189),0)</f>
        <v/>
      </c>
      <c r="DB189" s="48">
        <f>ROUND(IF(BQ189&lt;&gt;"",N(BS189)*MAX(0,((IF(BR189="",TODAY(),BR189))-BQ189)/7),0)+IF(BW189&lt;&gt;"",N(BY189)*MAX(0,((IF(BX189="",TODAY(),BX189))-BW189)/7),0)+IF(CC189&lt;&gt;"",N(CE189)*MAX(0,((IF(CD189="",TODAY(),CD189))-CC189)/7),0)+IF(CI189&lt;&gt;"",N(CK189)*MAX(0,((IF(CJ189="",TODAY(),CJ189))-CI189)/7),0)+IF(CO189&lt;&gt;"",N(CQ189)*MAX(0,((IF(CP189="",TODAY(),CP189))-CO189)/7),0),1)</f>
        <v/>
      </c>
      <c r="DC189" s="48">
        <f>IF(OR(TRIM(X189)="",TRIM(X189)="NA;",TRIM(X189)="NA"),0,1)</f>
        <v/>
      </c>
      <c r="DD189" s="48">
        <f>IF(OR(TRIM(Y189)="",TRIM(Y189)="NA;",TRIM(Y189)="NA"),0,1)</f>
        <v/>
      </c>
      <c r="DE189" s="48">
        <f>IF(OR(TRIM(Z189)="",TRIM(Z189)="NA;",TRIM(Z189)="NA"),0,1)</f>
        <v/>
      </c>
      <c r="DF189" s="48">
        <f>IF(OR(TRIM(AA189)="",TRIM(AA189)="NA;",TRIM(AA189)="NA"),0,1)</f>
        <v/>
      </c>
      <c r="DG189" s="48">
        <f>IF(OR(TRIM(AB189)="",TRIM(AB189)="NA;",TRIM(AB189)="NA"),0,1)</f>
        <v/>
      </c>
      <c r="DH189" s="48">
        <f>IF(OR(TRIM(AC189)="",TRIM(AC189)="NA;",TRIM(AC189)="NA"),0,1)</f>
        <v/>
      </c>
      <c r="DI189" s="48">
        <f>IF(OR(TRIM(AD189)="",TRIM(AD189)="NA;",TRIM(AD189)="NA"),0,1)</f>
        <v/>
      </c>
      <c r="DJ189" s="48">
        <f>TRIM(IF(DC189=1,"Mon ","")&amp;IF(DD189=1,"Tue ","")&amp;IF(DE189=1,"Wed ","")&amp;IF(DF189=1,"Thu ","")&amp;IF(DG189=1,"Fri ","")&amp;IF(DH189=1,"Sat ","")&amp;IF(DI189=1,"Sun ",""))</f>
        <v/>
      </c>
    </row>
    <row r="190">
      <c r="A190" s="48" t="inlineStr">
        <is>
          <t>S-N-00038</t>
        </is>
      </c>
      <c r="B190" s="48" t="inlineStr">
        <is>
          <t>Mark Wilson</t>
        </is>
      </c>
      <c r="C190" s="48" t="inlineStr">
        <is>
          <t>mark.wilson88@example.com</t>
        </is>
      </c>
      <c r="D190" s="48" t="inlineStr">
        <is>
          <t>+61 487 552 585</t>
        </is>
      </c>
      <c r="E190" s="48" t="inlineStr">
        <is>
          <t>Hannah Schaffer</t>
        </is>
      </c>
      <c r="F190" s="48" t="inlineStr">
        <is>
          <t>+61 431 240 663</t>
        </is>
      </c>
      <c r="G190" s="48" t="inlineStr">
        <is>
          <t>Sibling</t>
        </is>
      </c>
      <c r="H190" s="48" t="inlineStr">
        <is>
          <t>Student</t>
        </is>
      </c>
      <c r="I190" s="49" t="n">
        <v>45909</v>
      </c>
      <c r="J190" s="48" t="inlineStr">
        <is>
          <t>ADM-ACT-MAT-CE</t>
        </is>
      </c>
      <c r="K190" s="48">
        <f>IFERROR(VLOOKUP(J190,'(A) Introduction'!$B$35:$C$45,2,FALSE),"")</f>
        <v/>
      </c>
      <c r="L190" s="48" t="inlineStr">
        <is>
          <t>No</t>
        </is>
      </c>
      <c r="M190" s="49" t="n">
        <v>45988</v>
      </c>
      <c r="N190" s="48" t="inlineStr"/>
      <c r="O190" s="48" t="inlineStr">
        <is>
          <t>NA</t>
        </is>
      </c>
      <c r="P190" s="48">
        <f>IF($H190="Tutor",((BQ190&lt;&gt;"")*(BR190=""))+((BW190&lt;&gt;"")*(BX190=""))+((CC190&lt;&gt;"")*(CD190=""))+((CI190&lt;&gt;"")*(CJ190=""))+((CO190&lt;&gt;"")*(CP190="")),SUMPRODUCT(--($BO$3:$BO$202=$A190),--($BR$3:$BR$202=""))+SUMPRODUCT(--($BU$3:$BU$202=$A190),--($BX$3:$BX$202=""))+SUMPRODUCT(--($CA$3:$CA$202=$A190),--($CD$3:$CD$202=""))+SUMPRODUCT(--($CG$3:$CG$202=$A190),--($CJ$3:$CJ$202=""))+SUMPRODUCT(--($CM$3:$CM$202=$A190),--($CP$3:$CP$202="")))</f>
        <v/>
      </c>
      <c r="Q190" s="48">
        <f>IF($H190="Tutor",(BQ190&lt;&gt;"")+(BW190&lt;&gt;"")+(CC190&lt;&gt;"")+(CI190&lt;&gt;"")+(CO190&lt;&gt;""),SUMPRODUCT(--($BO$3:$BO$202=$A190))+SUMPRODUCT(--($BU$3:$BU$202=$A190))+SUMPRODUCT(--($CA$3:$CA$202=$A190))+SUMPRODUCT(--($CG$3:$CG$202=$A190))+SUMPRODUCT(--($CM$3:$CM$202=$A190)))</f>
        <v/>
      </c>
      <c r="R190" s="48">
        <f>IF($H190="Tutor",TRIM(IF(AND(BQ190&lt;&gt;"",BR190=""),BP190&amp;"; ","")&amp;IF(AND(BW190&lt;&gt;"",BX190=""),BV190&amp;"; ","")&amp;IF(AND(CC190&lt;&gt;"",CD190=""),CB190&amp;"; ","")&amp;IF(AND(CI190&lt;&gt;"",CJ190=""),CH190&amp;"; ","")&amp;IF(AND(CO190&lt;&gt;"",CP190=""),CN190&amp;"; ","")),IFERROR(INDEX($A$3:$B$202,(SUMPRODUCT(($BO$3:$BO$202=$A190)*($BR$3:$BR$202="")*ROW($BO$3:$BO$202))+SUMPRODUCT(($BU$3:$BU$202=$A190)*($BX$3:$BX$202="")*ROW($BU$3:$BU$202))+SUMPRODUCT(($CA$3:$CA$202=$A190)*($CD$3:$CD$202="")*ROW($CA$3:$CA$202))+SUMPRODUCT(($CG$3:$CG$202=$A190)*($CJ$3:$CJ$202="")*ROW($CG$3:$CG$202))+SUMPRODUCT(($CM$3:$CM$202=$A190)*($CP$3:$CP$202="")*ROW($CM$3:$CM$202)))-2,2),""))</f>
        <v/>
      </c>
      <c r="S190" s="48" t="inlineStr">
        <is>
          <t>Not Provided</t>
        </is>
      </c>
      <c r="T190" s="48" t="inlineStr"/>
      <c r="U190" s="48" t="inlineStr"/>
      <c r="V190" s="49" t="n">
        <v>45948</v>
      </c>
      <c r="W190" s="48" t="inlineStr">
        <is>
          <t>ACST (UTC+9:30)</t>
        </is>
      </c>
      <c r="X190" s="48" t="inlineStr">
        <is>
          <t>9am-12pm;</t>
        </is>
      </c>
      <c r="Y190" s="48" t="inlineStr">
        <is>
          <t>9am-12pm;12pm-3pm;3pm-6pm;</t>
        </is>
      </c>
      <c r="Z190" s="48" t="inlineStr">
        <is>
          <t>NA;</t>
        </is>
      </c>
      <c r="AA190" s="48" t="inlineStr">
        <is>
          <t>12pm-3pm;6pm-9pm;</t>
        </is>
      </c>
      <c r="AB190" s="48" t="inlineStr">
        <is>
          <t>3pm-6pm;</t>
        </is>
      </c>
      <c r="AC190" s="48" t="inlineStr">
        <is>
          <t>6pm-9pm;</t>
        </is>
      </c>
      <c r="AD190" s="48" t="inlineStr">
        <is>
          <t>12pm-3pm;6pm-9pm;</t>
        </is>
      </c>
      <c r="AE190" s="48" t="inlineStr">
        <is>
          <t>Either</t>
        </is>
      </c>
      <c r="AF190" s="48" t="inlineStr">
        <is>
          <t>Tablet</t>
        </is>
      </c>
      <c r="AG190" s="48" t="inlineStr">
        <is>
          <t>Australia</t>
        </is>
      </c>
      <c r="AH190" s="48" t="inlineStr">
        <is>
          <t>Victoria</t>
        </is>
      </c>
      <c r="AI190" s="48" t="inlineStr">
        <is>
          <t>Sunshine</t>
        </is>
      </c>
      <c r="AJ190" s="48" t="inlineStr">
        <is>
          <t>3020</t>
        </is>
      </c>
      <c r="AK190" s="49" t="n">
        <v>35204</v>
      </c>
      <c r="AL190" s="48" t="inlineStr">
        <is>
          <t>Male</t>
        </is>
      </c>
      <c r="AM190" s="48" t="inlineStr">
        <is>
          <t>No</t>
        </is>
      </c>
      <c r="AN190" s="48" t="inlineStr">
        <is>
          <t>A1</t>
        </is>
      </c>
      <c r="AO190" s="48" t="inlineStr">
        <is>
          <t>Low</t>
        </is>
      </c>
      <c r="AP190" s="48" t="inlineStr">
        <is>
          <t>Iran; South Sudan</t>
        </is>
      </c>
      <c r="AQ190" s="48" t="inlineStr">
        <is>
          <t>NA</t>
        </is>
      </c>
      <c r="AR190" s="48" t="inlineStr">
        <is>
          <t>Bengali (C1)</t>
        </is>
      </c>
      <c r="AS190" s="48" t="inlineStr">
        <is>
          <t>Muslim</t>
        </is>
      </c>
      <c r="AT190" s="48" t="inlineStr">
        <is>
          <t>Other / Unspecified</t>
        </is>
      </c>
      <c r="AU190" s="48" t="inlineStr">
        <is>
          <t>Community Worker</t>
        </is>
      </c>
      <c r="AV190" s="48" t="inlineStr">
        <is>
          <t>Medicine</t>
        </is>
      </c>
      <c r="AW190" s="48" t="inlineStr">
        <is>
          <t>Cooking; Reading; Music</t>
        </is>
      </c>
      <c r="AX190" s="48" t="inlineStr">
        <is>
          <t>Asylum Seeker</t>
        </is>
      </c>
      <c r="AY190" s="48" t="inlineStr">
        <is>
          <t>NA - Partner Organisation Verified</t>
        </is>
      </c>
      <c r="AZ190" s="48" t="inlineStr">
        <is>
          <t>No</t>
        </is>
      </c>
      <c r="BA190" s="48" t="inlineStr">
        <is>
          <t>NA</t>
        </is>
      </c>
      <c r="BB190" s="48" t="inlineStr">
        <is>
          <t>NA</t>
        </is>
      </c>
      <c r="BC190" s="48" t="inlineStr">
        <is>
          <t>NA</t>
        </is>
      </c>
      <c r="BD190" s="48" t="inlineStr">
        <is>
          <t>NA</t>
        </is>
      </c>
      <c r="BE190" s="48" t="inlineStr"/>
      <c r="BF190" s="48" t="inlineStr"/>
      <c r="BG190" s="48" t="inlineStr">
        <is>
          <t>NA</t>
        </is>
      </c>
      <c r="BH190" s="48" t="inlineStr">
        <is>
          <t>NA - Student</t>
        </is>
      </c>
      <c r="BI190" s="48" t="inlineStr">
        <is>
          <t>Settlement Services International</t>
        </is>
      </c>
      <c r="BJ190" s="48" t="inlineStr">
        <is>
          <t>MCCLELLAND Reeve</t>
        </is>
      </c>
      <c r="BK190" s="48" t="inlineStr">
        <is>
          <t>AGARWAL Akanksha</t>
        </is>
      </c>
      <c r="BL190" s="48" t="inlineStr">
        <is>
          <t>Synthetic test record.</t>
        </is>
      </c>
      <c r="BM190" s="48" t="inlineStr"/>
      <c r="BN190" s="48">
        <f>TRIM(IF(AND($H190="Student",$J190="ADM-ACT-MAT-CNE"),"Invalid: Student cannot be CNE. ","")&amp;IF(AND($H190="Student",ISNUMBER($O190)),"Check: capacity set for a Student. ","")&amp;IF(AND(LEFT($J190,11)="ADM-ACT-MAT",$P190=0),"Check: matched status but 0 active pairings. ","")&amp;IF(AND($H190="Tutor",ISNUMBER($O190),$P190&gt;$O190),"Check: pairings exceed capacity. ","")&amp;IF(AND($BH190="Everyone",NOT(AND($BD190="Yes",$BG190="Yes"))),"Check: approved to tutor children but WWCC not provided/confirmed. ","")&amp;IF(AND($P190&gt;0,NOT(AND(OR(LEFT($AY190,3)="Yes",LEFT($AY190,2)="NA"),OR(LEFT($AZ190,3)="Yes",LEFT($AZ190,2)="NA")))),"Matched but vetting incomplete (interview/reference). ","")&amp;IF(COUNTIF($B$3:$B$600,$B190)&gt;1,"Duplicate participant name. ",""))</f>
        <v/>
      </c>
      <c r="BO190" s="48" t="inlineStr"/>
      <c r="BP190" s="48" t="inlineStr"/>
      <c r="BQ190" s="48" t="inlineStr"/>
      <c r="BR190" s="48" t="inlineStr"/>
      <c r="BS190" s="48" t="inlineStr"/>
      <c r="BT190" s="48" t="inlineStr"/>
      <c r="BU190" s="48" t="inlineStr"/>
      <c r="BV190" s="48" t="inlineStr"/>
      <c r="BW190" s="48" t="inlineStr"/>
      <c r="BX190" s="48" t="inlineStr"/>
      <c r="BY190" s="48" t="inlineStr"/>
      <c r="BZ190" s="48" t="inlineStr"/>
      <c r="CA190" s="48" t="inlineStr"/>
      <c r="CB190" s="48" t="inlineStr"/>
      <c r="CC190" s="48" t="inlineStr"/>
      <c r="CD190" s="48" t="inlineStr"/>
      <c r="CE190" s="48" t="inlineStr"/>
      <c r="CF190" s="48" t="inlineStr"/>
      <c r="CG190" s="48" t="inlineStr"/>
      <c r="CH190" s="48" t="inlineStr"/>
      <c r="CI190" s="48" t="inlineStr"/>
      <c r="CJ190" s="48" t="inlineStr"/>
      <c r="CK190" s="48" t="inlineStr"/>
      <c r="CL190" s="48" t="inlineStr"/>
      <c r="CM190" s="48" t="inlineStr"/>
      <c r="CN190" s="48" t="inlineStr"/>
      <c r="CO190" s="48" t="inlineStr"/>
      <c r="CP190" s="48" t="inlineStr"/>
      <c r="CQ190" s="48" t="inlineStr"/>
      <c r="CR190" s="48" t="inlineStr"/>
      <c r="CS190" s="48">
        <f>IF(LEFT($J190,3)="ERR",0,1)</f>
        <v/>
      </c>
      <c r="CT190" s="48">
        <f>IF(LEFT($J190,3)="ADM",1,0)</f>
        <v/>
      </c>
      <c r="CU190" s="48">
        <f>IF(OR($J190="ADM-ACT-MAT-CNE",$J190="ADM-ACT-MAT-CE",$J190="ADM-INACT-M&amp;T"),1,0)</f>
        <v/>
      </c>
      <c r="CV190" s="48">
        <f>IF(AND(CU190=1,ISNUMBER(M190),ISNUMBER(I190)),M190-I190,"")</f>
        <v/>
      </c>
      <c r="CW190" s="48">
        <f>IF(ISNUMBER(I190),TODAY()-I190,"")</f>
        <v/>
      </c>
      <c r="CX190" s="48">
        <f>IF(ISNUMBER(I190),DATE(YEAR(I190),MONTH(I190),1),"")</f>
        <v/>
      </c>
      <c r="CY190" s="48">
        <f>IFERROR(DATEDIF(AK190,TODAY(),"y"),"")</f>
        <v/>
      </c>
      <c r="CZ190" s="48">
        <f>IF(CY190="","",IF(CY190&lt;28,"18-27",IF(CY190&lt;38,"28-37",IF(CY190&lt;48,"38-47",IF(CY190&lt;58,"48-57",IF(CY190&lt;68,"58-67",IF(CY190&lt;78,"68-77","78+")))))) </f>
        <v/>
      </c>
      <c r="DA190" s="48">
        <f>IF(AND(BQ190&lt;&gt;"",BR190=""),N(BS190),0)+IF(AND(BW190&lt;&gt;"",BX190=""),N(BY190),0)+IF(AND(CC190&lt;&gt;"",CD190=""),N(CE190),0)+IF(AND(CI190&lt;&gt;"",CJ190=""),N(CK190),0)+IF(AND(CO190&lt;&gt;"",CP190=""),N(CQ190),0)</f>
        <v/>
      </c>
      <c r="DB190" s="48">
        <f>ROUND(IF(BQ190&lt;&gt;"",N(BS190)*MAX(0,((IF(BR190="",TODAY(),BR190))-BQ190)/7),0)+IF(BW190&lt;&gt;"",N(BY190)*MAX(0,((IF(BX190="",TODAY(),BX190))-BW190)/7),0)+IF(CC190&lt;&gt;"",N(CE190)*MAX(0,((IF(CD190="",TODAY(),CD190))-CC190)/7),0)+IF(CI190&lt;&gt;"",N(CK190)*MAX(0,((IF(CJ190="",TODAY(),CJ190))-CI190)/7),0)+IF(CO190&lt;&gt;"",N(CQ190)*MAX(0,((IF(CP190="",TODAY(),CP190))-CO190)/7),0),1)</f>
        <v/>
      </c>
      <c r="DC190" s="48">
        <f>IF(OR(TRIM(X190)="",TRIM(X190)="NA;",TRIM(X190)="NA"),0,1)</f>
        <v/>
      </c>
      <c r="DD190" s="48">
        <f>IF(OR(TRIM(Y190)="",TRIM(Y190)="NA;",TRIM(Y190)="NA"),0,1)</f>
        <v/>
      </c>
      <c r="DE190" s="48">
        <f>IF(OR(TRIM(Z190)="",TRIM(Z190)="NA;",TRIM(Z190)="NA"),0,1)</f>
        <v/>
      </c>
      <c r="DF190" s="48">
        <f>IF(OR(TRIM(AA190)="",TRIM(AA190)="NA;",TRIM(AA190)="NA"),0,1)</f>
        <v/>
      </c>
      <c r="DG190" s="48">
        <f>IF(OR(TRIM(AB190)="",TRIM(AB190)="NA;",TRIM(AB190)="NA"),0,1)</f>
        <v/>
      </c>
      <c r="DH190" s="48">
        <f>IF(OR(TRIM(AC190)="",TRIM(AC190)="NA;",TRIM(AC190)="NA"),0,1)</f>
        <v/>
      </c>
      <c r="DI190" s="48">
        <f>IF(OR(TRIM(AD190)="",TRIM(AD190)="NA;",TRIM(AD190)="NA"),0,1)</f>
        <v/>
      </c>
      <c r="DJ190" s="48">
        <f>TRIM(IF(DC190=1,"Mon ","")&amp;IF(DD190=1,"Tue ","")&amp;IF(DE190=1,"Wed ","")&amp;IF(DF190=1,"Thu ","")&amp;IF(DG190=1,"Fri ","")&amp;IF(DH190=1,"Sat ","")&amp;IF(DI190=1,"Sun ",""))</f>
        <v/>
      </c>
    </row>
    <row r="191">
      <c r="A191" s="48" t="inlineStr">
        <is>
          <t>S-N-00039</t>
        </is>
      </c>
      <c r="B191" s="48" t="inlineStr">
        <is>
          <t>Peter Garcia</t>
        </is>
      </c>
      <c r="C191" s="48" t="inlineStr">
        <is>
          <t>peter.garcia89@example.com</t>
        </is>
      </c>
      <c r="D191" s="48" t="inlineStr">
        <is>
          <t>+61 439 117 345</t>
        </is>
      </c>
      <c r="E191" s="48" t="inlineStr">
        <is>
          <t>Iryna Hassan</t>
        </is>
      </c>
      <c r="F191" s="48" t="inlineStr">
        <is>
          <t>+61 468 219 294</t>
        </is>
      </c>
      <c r="G191" s="48" t="inlineStr">
        <is>
          <t>Sibling</t>
        </is>
      </c>
      <c r="H191" s="48" t="inlineStr">
        <is>
          <t>Student</t>
        </is>
      </c>
      <c r="I191" s="49" t="n">
        <v>45921</v>
      </c>
      <c r="J191" s="48" t="inlineStr">
        <is>
          <t>ADM-ACT-MAT-CE</t>
        </is>
      </c>
      <c r="K191" s="48">
        <f>IFERROR(VLOOKUP(J191,'(A) Introduction'!$B$35:$C$45,2,FALSE),"")</f>
        <v/>
      </c>
      <c r="L191" s="48" t="inlineStr">
        <is>
          <t>No</t>
        </is>
      </c>
      <c r="M191" s="49" t="n">
        <v>45959</v>
      </c>
      <c r="N191" s="48" t="inlineStr"/>
      <c r="O191" s="48" t="inlineStr">
        <is>
          <t>NA</t>
        </is>
      </c>
      <c r="P191" s="48">
        <f>IF($H191="Tutor",((BQ191&lt;&gt;"")*(BR191=""))+((BW191&lt;&gt;"")*(BX191=""))+((CC191&lt;&gt;"")*(CD191=""))+((CI191&lt;&gt;"")*(CJ191=""))+((CO191&lt;&gt;"")*(CP191="")),SUMPRODUCT(--($BO$3:$BO$202=$A191),--($BR$3:$BR$202=""))+SUMPRODUCT(--($BU$3:$BU$202=$A191),--($BX$3:$BX$202=""))+SUMPRODUCT(--($CA$3:$CA$202=$A191),--($CD$3:$CD$202=""))+SUMPRODUCT(--($CG$3:$CG$202=$A191),--($CJ$3:$CJ$202=""))+SUMPRODUCT(--($CM$3:$CM$202=$A191),--($CP$3:$CP$202="")))</f>
        <v/>
      </c>
      <c r="Q191" s="48">
        <f>IF($H191="Tutor",(BQ191&lt;&gt;"")+(BW191&lt;&gt;"")+(CC191&lt;&gt;"")+(CI191&lt;&gt;"")+(CO191&lt;&gt;""),SUMPRODUCT(--($BO$3:$BO$202=$A191))+SUMPRODUCT(--($BU$3:$BU$202=$A191))+SUMPRODUCT(--($CA$3:$CA$202=$A191))+SUMPRODUCT(--($CG$3:$CG$202=$A191))+SUMPRODUCT(--($CM$3:$CM$202=$A191)))</f>
        <v/>
      </c>
      <c r="R191" s="48">
        <f>IF($H191="Tutor",TRIM(IF(AND(BQ191&lt;&gt;"",BR191=""),BP191&amp;"; ","")&amp;IF(AND(BW191&lt;&gt;"",BX191=""),BV191&amp;"; ","")&amp;IF(AND(CC191&lt;&gt;"",CD191=""),CB191&amp;"; ","")&amp;IF(AND(CI191&lt;&gt;"",CJ191=""),CH191&amp;"; ","")&amp;IF(AND(CO191&lt;&gt;"",CP191=""),CN191&amp;"; ","")),IFERROR(INDEX($A$3:$B$202,(SUMPRODUCT(($BO$3:$BO$202=$A191)*($BR$3:$BR$202="")*ROW($BO$3:$BO$202))+SUMPRODUCT(($BU$3:$BU$202=$A191)*($BX$3:$BX$202="")*ROW($BU$3:$BU$202))+SUMPRODUCT(($CA$3:$CA$202=$A191)*($CD$3:$CD$202="")*ROW($CA$3:$CA$202))+SUMPRODUCT(($CG$3:$CG$202=$A191)*($CJ$3:$CJ$202="")*ROW($CG$3:$CG$202))+SUMPRODUCT(($CM$3:$CM$202=$A191)*($CP$3:$CP$202="")*ROW($CM$3:$CM$202)))-2,2),""))</f>
        <v/>
      </c>
      <c r="S191" s="48" t="inlineStr">
        <is>
          <t>Provided</t>
        </is>
      </c>
      <c r="T191" s="48" t="inlineStr"/>
      <c r="U191" s="48" t="inlineStr"/>
      <c r="V191" s="49" t="n">
        <v>45879</v>
      </c>
      <c r="W191" s="48" t="inlineStr">
        <is>
          <t>ACST (UTC+9:30)</t>
        </is>
      </c>
      <c r="X191" s="48" t="inlineStr">
        <is>
          <t>6am-9am;9am-12pm;</t>
        </is>
      </c>
      <c r="Y191" s="48" t="inlineStr">
        <is>
          <t>NA;</t>
        </is>
      </c>
      <c r="Z191" s="48" t="inlineStr">
        <is>
          <t>6pm-9pm;</t>
        </is>
      </c>
      <c r="AA191" s="48" t="inlineStr">
        <is>
          <t>12pm-3pm;6pm-9pm;</t>
        </is>
      </c>
      <c r="AB191" s="48" t="inlineStr">
        <is>
          <t>9am-12pm;12pm-3pm;3pm-6pm;</t>
        </is>
      </c>
      <c r="AC191" s="48" t="inlineStr">
        <is>
          <t>12pm-3pm;6pm-9pm;</t>
        </is>
      </c>
      <c r="AD191" s="48" t="inlineStr">
        <is>
          <t>3pm-6pm;</t>
        </is>
      </c>
      <c r="AE191" s="48" t="inlineStr">
        <is>
          <t>Online</t>
        </is>
      </c>
      <c r="AF191" s="48" t="inlineStr">
        <is>
          <t>Multiple devices</t>
        </is>
      </c>
      <c r="AG191" s="48" t="inlineStr">
        <is>
          <t>Australia</t>
        </is>
      </c>
      <c r="AH191" s="48" t="inlineStr">
        <is>
          <t>New South Wales</t>
        </is>
      </c>
      <c r="AI191" s="48" t="inlineStr">
        <is>
          <t>Parramatta</t>
        </is>
      </c>
      <c r="AJ191" s="48" t="inlineStr">
        <is>
          <t>2150</t>
        </is>
      </c>
      <c r="AK191" s="49" t="n">
        <v>32280</v>
      </c>
      <c r="AL191" s="48" t="inlineStr">
        <is>
          <t>Female</t>
        </is>
      </c>
      <c r="AM191" s="48" t="inlineStr">
        <is>
          <t>No</t>
        </is>
      </c>
      <c r="AN191" s="48" t="inlineStr">
        <is>
          <t>B2</t>
        </is>
      </c>
      <c r="AO191" s="48" t="inlineStr">
        <is>
          <t>Outstanding</t>
        </is>
      </c>
      <c r="AP191" s="48" t="inlineStr">
        <is>
          <t>Ukraine</t>
        </is>
      </c>
      <c r="AQ191" s="48" t="inlineStr">
        <is>
          <t>NA</t>
        </is>
      </c>
      <c r="AR191" s="48" t="inlineStr">
        <is>
          <t>Burmese (C1)</t>
        </is>
      </c>
      <c r="AS191" s="48" t="inlineStr">
        <is>
          <t>Christian</t>
        </is>
      </c>
      <c r="AT191" s="48" t="inlineStr">
        <is>
          <t>Trades &amp; Construction</t>
        </is>
      </c>
      <c r="AU191" s="48" t="inlineStr">
        <is>
          <t>Student</t>
        </is>
      </c>
      <c r="AV191" s="48" t="inlineStr">
        <is>
          <t>Nursing</t>
        </is>
      </c>
      <c r="AW191" s="48" t="inlineStr">
        <is>
          <t>Art; Photography; Travel</t>
        </is>
      </c>
      <c r="AX191" s="48" t="inlineStr">
        <is>
          <t>Asylum Seeker</t>
        </is>
      </c>
      <c r="AY191" s="48" t="inlineStr">
        <is>
          <t>Yes</t>
        </is>
      </c>
      <c r="AZ191" s="48" t="inlineStr">
        <is>
          <t>No</t>
        </is>
      </c>
      <c r="BA191" s="48" t="inlineStr">
        <is>
          <t>NA</t>
        </is>
      </c>
      <c r="BB191" s="48" t="inlineStr">
        <is>
          <t>NA</t>
        </is>
      </c>
      <c r="BC191" s="48" t="inlineStr">
        <is>
          <t>NA</t>
        </is>
      </c>
      <c r="BD191" s="48" t="inlineStr">
        <is>
          <t>NA</t>
        </is>
      </c>
      <c r="BE191" s="48" t="inlineStr"/>
      <c r="BF191" s="48" t="inlineStr"/>
      <c r="BG191" s="48" t="inlineStr">
        <is>
          <t>NA</t>
        </is>
      </c>
      <c r="BH191" s="48" t="inlineStr">
        <is>
          <t>NA - Student</t>
        </is>
      </c>
      <c r="BI191" s="48" t="inlineStr">
        <is>
          <t>Refugee Council of Australia</t>
        </is>
      </c>
      <c r="BJ191" s="48" t="inlineStr">
        <is>
          <t>MCCRORIE John</t>
        </is>
      </c>
      <c r="BK191" s="48" t="inlineStr">
        <is>
          <t>HERVIR Oliver</t>
        </is>
      </c>
      <c r="BL191" s="48" t="inlineStr">
        <is>
          <t>Synthetic test record.</t>
        </is>
      </c>
      <c r="BM191" s="48" t="inlineStr"/>
      <c r="BN191" s="48">
        <f>TRIM(IF(AND($H191="Student",$J191="ADM-ACT-MAT-CNE"),"Invalid: Student cannot be CNE. ","")&amp;IF(AND($H191="Student",ISNUMBER($O191)),"Check: capacity set for a Student. ","")&amp;IF(AND(LEFT($J191,11)="ADM-ACT-MAT",$P191=0),"Check: matched status but 0 active pairings. ","")&amp;IF(AND($H191="Tutor",ISNUMBER($O191),$P191&gt;$O191),"Check: pairings exceed capacity. ","")&amp;IF(AND($BH191="Everyone",NOT(AND($BD191="Yes",$BG191="Yes"))),"Check: approved to tutor children but WWCC not provided/confirmed. ","")&amp;IF(AND($P191&gt;0,NOT(AND(OR(LEFT($AY191,3)="Yes",LEFT($AY191,2)="NA"),OR(LEFT($AZ191,3)="Yes",LEFT($AZ191,2)="NA")))),"Matched but vetting incomplete (interview/reference). ","")&amp;IF(COUNTIF($B$3:$B$600,$B191)&gt;1,"Duplicate participant name. ",""))</f>
        <v/>
      </c>
      <c r="BO191" s="48" t="inlineStr"/>
      <c r="BP191" s="48" t="inlineStr"/>
      <c r="BQ191" s="48" t="inlineStr"/>
      <c r="BR191" s="48" t="inlineStr"/>
      <c r="BS191" s="48" t="inlineStr"/>
      <c r="BT191" s="48" t="inlineStr"/>
      <c r="BU191" s="48" t="inlineStr"/>
      <c r="BV191" s="48" t="inlineStr"/>
      <c r="BW191" s="48" t="inlineStr"/>
      <c r="BX191" s="48" t="inlineStr"/>
      <c r="BY191" s="48" t="inlineStr"/>
      <c r="BZ191" s="48" t="inlineStr"/>
      <c r="CA191" s="48" t="inlineStr"/>
      <c r="CB191" s="48" t="inlineStr"/>
      <c r="CC191" s="48" t="inlineStr"/>
      <c r="CD191" s="48" t="inlineStr"/>
      <c r="CE191" s="48" t="inlineStr"/>
      <c r="CF191" s="48" t="inlineStr"/>
      <c r="CG191" s="48" t="inlineStr"/>
      <c r="CH191" s="48" t="inlineStr"/>
      <c r="CI191" s="48" t="inlineStr"/>
      <c r="CJ191" s="48" t="inlineStr"/>
      <c r="CK191" s="48" t="inlineStr"/>
      <c r="CL191" s="48" t="inlineStr"/>
      <c r="CM191" s="48" t="inlineStr"/>
      <c r="CN191" s="48" t="inlineStr"/>
      <c r="CO191" s="48" t="inlineStr"/>
      <c r="CP191" s="48" t="inlineStr"/>
      <c r="CQ191" s="48" t="inlineStr"/>
      <c r="CR191" s="48" t="inlineStr"/>
      <c r="CS191" s="48">
        <f>IF(LEFT($J191,3)="ERR",0,1)</f>
        <v/>
      </c>
      <c r="CT191" s="48">
        <f>IF(LEFT($J191,3)="ADM",1,0)</f>
        <v/>
      </c>
      <c r="CU191" s="48">
        <f>IF(OR($J191="ADM-ACT-MAT-CNE",$J191="ADM-ACT-MAT-CE",$J191="ADM-INACT-M&amp;T"),1,0)</f>
        <v/>
      </c>
      <c r="CV191" s="48">
        <f>IF(AND(CU191=1,ISNUMBER(M191),ISNUMBER(I191)),M191-I191,"")</f>
        <v/>
      </c>
      <c r="CW191" s="48">
        <f>IF(ISNUMBER(I191),TODAY()-I191,"")</f>
        <v/>
      </c>
      <c r="CX191" s="48">
        <f>IF(ISNUMBER(I191),DATE(YEAR(I191),MONTH(I191),1),"")</f>
        <v/>
      </c>
      <c r="CY191" s="48">
        <f>IFERROR(DATEDIF(AK191,TODAY(),"y"),"")</f>
        <v/>
      </c>
      <c r="CZ191" s="48">
        <f>IF(CY191="","",IF(CY191&lt;28,"18-27",IF(CY191&lt;38,"28-37",IF(CY191&lt;48,"38-47",IF(CY191&lt;58,"48-57",IF(CY191&lt;68,"58-67",IF(CY191&lt;78,"68-77","78+")))))) </f>
        <v/>
      </c>
      <c r="DA191" s="48">
        <f>IF(AND(BQ191&lt;&gt;"",BR191=""),N(BS191),0)+IF(AND(BW191&lt;&gt;"",BX191=""),N(BY191),0)+IF(AND(CC191&lt;&gt;"",CD191=""),N(CE191),0)+IF(AND(CI191&lt;&gt;"",CJ191=""),N(CK191),0)+IF(AND(CO191&lt;&gt;"",CP191=""),N(CQ191),0)</f>
        <v/>
      </c>
      <c r="DB191" s="48">
        <f>ROUND(IF(BQ191&lt;&gt;"",N(BS191)*MAX(0,((IF(BR191="",TODAY(),BR191))-BQ191)/7),0)+IF(BW191&lt;&gt;"",N(BY191)*MAX(0,((IF(BX191="",TODAY(),BX191))-BW191)/7),0)+IF(CC191&lt;&gt;"",N(CE191)*MAX(0,((IF(CD191="",TODAY(),CD191))-CC191)/7),0)+IF(CI191&lt;&gt;"",N(CK191)*MAX(0,((IF(CJ191="",TODAY(),CJ191))-CI191)/7),0)+IF(CO191&lt;&gt;"",N(CQ191)*MAX(0,((IF(CP191="",TODAY(),CP191))-CO191)/7),0),1)</f>
        <v/>
      </c>
      <c r="DC191" s="48">
        <f>IF(OR(TRIM(X191)="",TRIM(X191)="NA;",TRIM(X191)="NA"),0,1)</f>
        <v/>
      </c>
      <c r="DD191" s="48">
        <f>IF(OR(TRIM(Y191)="",TRIM(Y191)="NA;",TRIM(Y191)="NA"),0,1)</f>
        <v/>
      </c>
      <c r="DE191" s="48">
        <f>IF(OR(TRIM(Z191)="",TRIM(Z191)="NA;",TRIM(Z191)="NA"),0,1)</f>
        <v/>
      </c>
      <c r="DF191" s="48">
        <f>IF(OR(TRIM(AA191)="",TRIM(AA191)="NA;",TRIM(AA191)="NA"),0,1)</f>
        <v/>
      </c>
      <c r="DG191" s="48">
        <f>IF(OR(TRIM(AB191)="",TRIM(AB191)="NA;",TRIM(AB191)="NA"),0,1)</f>
        <v/>
      </c>
      <c r="DH191" s="48">
        <f>IF(OR(TRIM(AC191)="",TRIM(AC191)="NA;",TRIM(AC191)="NA"),0,1)</f>
        <v/>
      </c>
      <c r="DI191" s="48">
        <f>IF(OR(TRIM(AD191)="",TRIM(AD191)="NA;",TRIM(AD191)="NA"),0,1)</f>
        <v/>
      </c>
      <c r="DJ191" s="48">
        <f>TRIM(IF(DC191=1,"Mon ","")&amp;IF(DD191=1,"Tue ","")&amp;IF(DE191=1,"Wed ","")&amp;IF(DF191=1,"Thu ","")&amp;IF(DG191=1,"Fri ","")&amp;IF(DH191=1,"Sat ","")&amp;IF(DI191=1,"Sun ",""))</f>
        <v/>
      </c>
    </row>
    <row r="192">
      <c r="A192" s="48" t="inlineStr">
        <is>
          <t>S-N-00040</t>
        </is>
      </c>
      <c r="B192" s="48" t="inlineStr">
        <is>
          <t>Dmytro Bourne</t>
        </is>
      </c>
      <c r="C192" s="48" t="inlineStr">
        <is>
          <t>dmytro.bourne90@example.com</t>
        </is>
      </c>
      <c r="D192" s="48" t="inlineStr">
        <is>
          <t>+61 451 823 231</t>
        </is>
      </c>
      <c r="E192" s="48" t="inlineStr">
        <is>
          <t>Rania Ng</t>
        </is>
      </c>
      <c r="F192" s="48" t="inlineStr">
        <is>
          <t>+61 481 545 828</t>
        </is>
      </c>
      <c r="G192" s="48" t="inlineStr">
        <is>
          <t>Friend</t>
        </is>
      </c>
      <c r="H192" s="48" t="inlineStr">
        <is>
          <t>Student</t>
        </is>
      </c>
      <c r="I192" s="49" t="n">
        <v>45921</v>
      </c>
      <c r="J192" s="48" t="inlineStr">
        <is>
          <t>ADM-INACT-M&amp;T</t>
        </is>
      </c>
      <c r="K192" s="48">
        <f>IFERROR(VLOOKUP(J192,'(A) Introduction'!$B$35:$C$45,2,FALSE),"")</f>
        <v/>
      </c>
      <c r="L192" s="48" t="inlineStr">
        <is>
          <t>No</t>
        </is>
      </c>
      <c r="M192" s="49" t="n">
        <v>45941</v>
      </c>
      <c r="N192" s="49" t="n">
        <v>46051</v>
      </c>
      <c r="O192" s="48" t="inlineStr">
        <is>
          <t>NA</t>
        </is>
      </c>
      <c r="P192" s="48">
        <f>IF($H192="Tutor",((BQ192&lt;&gt;"")*(BR192=""))+((BW192&lt;&gt;"")*(BX192=""))+((CC192&lt;&gt;"")*(CD192=""))+((CI192&lt;&gt;"")*(CJ192=""))+((CO192&lt;&gt;"")*(CP192="")),SUMPRODUCT(--($BO$3:$BO$202=$A192),--($BR$3:$BR$202=""))+SUMPRODUCT(--($BU$3:$BU$202=$A192),--($BX$3:$BX$202=""))+SUMPRODUCT(--($CA$3:$CA$202=$A192),--($CD$3:$CD$202=""))+SUMPRODUCT(--($CG$3:$CG$202=$A192),--($CJ$3:$CJ$202=""))+SUMPRODUCT(--($CM$3:$CM$202=$A192),--($CP$3:$CP$202="")))</f>
        <v/>
      </c>
      <c r="Q192" s="48">
        <f>IF($H192="Tutor",(BQ192&lt;&gt;"")+(BW192&lt;&gt;"")+(CC192&lt;&gt;"")+(CI192&lt;&gt;"")+(CO192&lt;&gt;""),SUMPRODUCT(--($BO$3:$BO$202=$A192))+SUMPRODUCT(--($BU$3:$BU$202=$A192))+SUMPRODUCT(--($CA$3:$CA$202=$A192))+SUMPRODUCT(--($CG$3:$CG$202=$A192))+SUMPRODUCT(--($CM$3:$CM$202=$A192)))</f>
        <v/>
      </c>
      <c r="R192" s="48">
        <f>IF($H192="Tutor",TRIM(IF(AND(BQ192&lt;&gt;"",BR192=""),BP192&amp;"; ","")&amp;IF(AND(BW192&lt;&gt;"",BX192=""),BV192&amp;"; ","")&amp;IF(AND(CC192&lt;&gt;"",CD192=""),CB192&amp;"; ","")&amp;IF(AND(CI192&lt;&gt;"",CJ192=""),CH192&amp;"; ","")&amp;IF(AND(CO192&lt;&gt;"",CP192=""),CN192&amp;"; ","")),IFERROR(INDEX($A$3:$B$202,(SUMPRODUCT(($BO$3:$BO$202=$A192)*($BR$3:$BR$202="")*ROW($BO$3:$BO$202))+SUMPRODUCT(($BU$3:$BU$202=$A192)*($BX$3:$BX$202="")*ROW($BU$3:$BU$202))+SUMPRODUCT(($CA$3:$CA$202=$A192)*($CD$3:$CD$202="")*ROW($CA$3:$CA$202))+SUMPRODUCT(($CG$3:$CG$202=$A192)*($CJ$3:$CJ$202="")*ROW($CG$3:$CG$202))+SUMPRODUCT(($CM$3:$CM$202=$A192)*($CP$3:$CP$202="")*ROW($CM$3:$CM$202)))-2,2),""))</f>
        <v/>
      </c>
      <c r="S192" s="48" t="inlineStr">
        <is>
          <t>NA</t>
        </is>
      </c>
      <c r="T192" s="48" t="inlineStr"/>
      <c r="U192" s="48" t="inlineStr"/>
      <c r="V192" s="49" t="n">
        <v>45517</v>
      </c>
      <c r="W192" s="48" t="inlineStr">
        <is>
          <t>AEST (UTC+10)</t>
        </is>
      </c>
      <c r="X192" s="48" t="inlineStr">
        <is>
          <t>6pm-9pm;</t>
        </is>
      </c>
      <c r="Y192" s="48" t="inlineStr">
        <is>
          <t>6am-9am;9am-12pm;</t>
        </is>
      </c>
      <c r="Z192" s="48" t="inlineStr">
        <is>
          <t>3pm-6pm;</t>
        </is>
      </c>
      <c r="AA192" s="48" t="inlineStr">
        <is>
          <t>6pm-9pm;</t>
        </is>
      </c>
      <c r="AB192" s="48" t="inlineStr">
        <is>
          <t>9am-12pm;12pm-3pm;3pm-6pm;</t>
        </is>
      </c>
      <c r="AC192" s="48" t="inlineStr">
        <is>
          <t>6pm-9pm;</t>
        </is>
      </c>
      <c r="AD192" s="48" t="inlineStr">
        <is>
          <t>12pm-3pm;6pm-9pm;</t>
        </is>
      </c>
      <c r="AE192" s="48" t="inlineStr">
        <is>
          <t>Online</t>
        </is>
      </c>
      <c r="AF192" s="48" t="inlineStr">
        <is>
          <t>Tablet</t>
        </is>
      </c>
      <c r="AG192" s="48" t="inlineStr">
        <is>
          <t>Australia</t>
        </is>
      </c>
      <c r="AH192" s="48" t="inlineStr">
        <is>
          <t>Queensland</t>
        </is>
      </c>
      <c r="AI192" s="48" t="inlineStr">
        <is>
          <t>Logan</t>
        </is>
      </c>
      <c r="AJ192" s="48" t="inlineStr">
        <is>
          <t>4114</t>
        </is>
      </c>
      <c r="AK192" s="49" t="n">
        <v>35682</v>
      </c>
      <c r="AL192" s="48" t="inlineStr">
        <is>
          <t>Female</t>
        </is>
      </c>
      <c r="AM192" s="48" t="inlineStr">
        <is>
          <t>No</t>
        </is>
      </c>
      <c r="AN192" s="48" t="inlineStr">
        <is>
          <t>B1</t>
        </is>
      </c>
      <c r="AO192" s="48" t="inlineStr">
        <is>
          <t>Outstanding</t>
        </is>
      </c>
      <c r="AP192" s="48" t="inlineStr">
        <is>
          <t>Ukraine; South Sudan</t>
        </is>
      </c>
      <c r="AQ192" s="48" t="inlineStr">
        <is>
          <t>NA</t>
        </is>
      </c>
      <c r="AR192" s="48" t="inlineStr">
        <is>
          <t>Dari (B2)</t>
        </is>
      </c>
      <c r="AS192" s="48" t="inlineStr">
        <is>
          <t>NA</t>
        </is>
      </c>
      <c r="AT192" s="48" t="inlineStr">
        <is>
          <t>Science, Tech, Engineering and Math</t>
        </is>
      </c>
      <c r="AU192" s="48" t="inlineStr">
        <is>
          <t>Retail</t>
        </is>
      </c>
      <c r="AV192" s="48" t="inlineStr">
        <is>
          <t>Teacher</t>
        </is>
      </c>
      <c r="AW192" s="48" t="inlineStr">
        <is>
          <t>Cooking; Reading; Music</t>
        </is>
      </c>
      <c r="AX192" s="48" t="inlineStr">
        <is>
          <t>Refugee</t>
        </is>
      </c>
      <c r="AY192" s="48" t="inlineStr">
        <is>
          <t>No</t>
        </is>
      </c>
      <c r="AZ192" s="48" t="inlineStr">
        <is>
          <t>NA - Partner Organisation Verified</t>
        </is>
      </c>
      <c r="BA192" s="48" t="inlineStr">
        <is>
          <t>NA</t>
        </is>
      </c>
      <c r="BB192" s="48" t="inlineStr">
        <is>
          <t>NA</t>
        </is>
      </c>
      <c r="BC192" s="48" t="inlineStr">
        <is>
          <t>NA</t>
        </is>
      </c>
      <c r="BD192" s="48" t="inlineStr">
        <is>
          <t>NA</t>
        </is>
      </c>
      <c r="BE192" s="48" t="inlineStr"/>
      <c r="BF192" s="48" t="inlineStr"/>
      <c r="BG192" s="48" t="inlineStr">
        <is>
          <t>NA</t>
        </is>
      </c>
      <c r="BH192" s="48" t="inlineStr">
        <is>
          <t>NA - Student</t>
        </is>
      </c>
      <c r="BI192" s="48" t="inlineStr">
        <is>
          <t>Jesuit Refugee Service</t>
        </is>
      </c>
      <c r="BJ192" s="48" t="inlineStr">
        <is>
          <t>THET Moh Moh</t>
        </is>
      </c>
      <c r="BK192" s="48" t="inlineStr">
        <is>
          <t>ZULMAN Levi</t>
        </is>
      </c>
      <c r="BL192" s="48" t="inlineStr">
        <is>
          <t>Synthetic test record.</t>
        </is>
      </c>
      <c r="BM192" s="48" t="inlineStr"/>
      <c r="BN192" s="48">
        <f>TRIM(IF(AND($H192="Student",$J192="ADM-ACT-MAT-CNE"),"Invalid: Student cannot be CNE. ","")&amp;IF(AND($H192="Student",ISNUMBER($O192)),"Check: capacity set for a Student. ","")&amp;IF(AND(LEFT($J192,11)="ADM-ACT-MAT",$P192=0),"Check: matched status but 0 active pairings. ","")&amp;IF(AND($H192="Tutor",ISNUMBER($O192),$P192&gt;$O192),"Check: pairings exceed capacity. ","")&amp;IF(AND($BH192="Everyone",NOT(AND($BD192="Yes",$BG192="Yes"))),"Check: approved to tutor children but WWCC not provided/confirmed. ","")&amp;IF(AND($P192&gt;0,NOT(AND(OR(LEFT($AY192,3)="Yes",LEFT($AY192,2)="NA"),OR(LEFT($AZ192,3)="Yes",LEFT($AZ192,2)="NA")))),"Matched but vetting incomplete (interview/reference). ","")&amp;IF(COUNTIF($B$3:$B$600,$B192)&gt;1,"Duplicate participant name. ",""))</f>
        <v/>
      </c>
      <c r="BO192" s="48" t="inlineStr"/>
      <c r="BP192" s="48" t="inlineStr"/>
      <c r="BQ192" s="48" t="inlineStr"/>
      <c r="BR192" s="48" t="inlineStr"/>
      <c r="BS192" s="48" t="inlineStr"/>
      <c r="BT192" s="48" t="inlineStr"/>
      <c r="BU192" s="48" t="inlineStr"/>
      <c r="BV192" s="48" t="inlineStr"/>
      <c r="BW192" s="48" t="inlineStr"/>
      <c r="BX192" s="48" t="inlineStr"/>
      <c r="BY192" s="48" t="inlineStr"/>
      <c r="BZ192" s="48" t="inlineStr"/>
      <c r="CA192" s="48" t="inlineStr"/>
      <c r="CB192" s="48" t="inlineStr"/>
      <c r="CC192" s="48" t="inlineStr"/>
      <c r="CD192" s="48" t="inlineStr"/>
      <c r="CE192" s="48" t="inlineStr"/>
      <c r="CF192" s="48" t="inlineStr"/>
      <c r="CG192" s="48" t="inlineStr"/>
      <c r="CH192" s="48" t="inlineStr"/>
      <c r="CI192" s="48" t="inlineStr"/>
      <c r="CJ192" s="48" t="inlineStr"/>
      <c r="CK192" s="48" t="inlineStr"/>
      <c r="CL192" s="48" t="inlineStr"/>
      <c r="CM192" s="48" t="inlineStr"/>
      <c r="CN192" s="48" t="inlineStr"/>
      <c r="CO192" s="48" t="inlineStr"/>
      <c r="CP192" s="48" t="inlineStr"/>
      <c r="CQ192" s="48" t="inlineStr"/>
      <c r="CR192" s="48" t="inlineStr"/>
      <c r="CS192" s="48">
        <f>IF(LEFT($J192,3)="ERR",0,1)</f>
        <v/>
      </c>
      <c r="CT192" s="48">
        <f>IF(LEFT($J192,3)="ADM",1,0)</f>
        <v/>
      </c>
      <c r="CU192" s="48">
        <f>IF(OR($J192="ADM-ACT-MAT-CNE",$J192="ADM-ACT-MAT-CE",$J192="ADM-INACT-M&amp;T"),1,0)</f>
        <v/>
      </c>
      <c r="CV192" s="48">
        <f>IF(AND(CU192=1,ISNUMBER(M192),ISNUMBER(I192)),M192-I192,"")</f>
        <v/>
      </c>
      <c r="CW192" s="48">
        <f>IF(ISNUMBER(I192),TODAY()-I192,"")</f>
        <v/>
      </c>
      <c r="CX192" s="48">
        <f>IF(ISNUMBER(I192),DATE(YEAR(I192),MONTH(I192),1),"")</f>
        <v/>
      </c>
      <c r="CY192" s="48">
        <f>IFERROR(DATEDIF(AK192,TODAY(),"y"),"")</f>
        <v/>
      </c>
      <c r="CZ192" s="48">
        <f>IF(CY192="","",IF(CY192&lt;28,"18-27",IF(CY192&lt;38,"28-37",IF(CY192&lt;48,"38-47",IF(CY192&lt;58,"48-57",IF(CY192&lt;68,"58-67",IF(CY192&lt;78,"68-77","78+")))))) </f>
        <v/>
      </c>
      <c r="DA192" s="48">
        <f>IF(AND(BQ192&lt;&gt;"",BR192=""),N(BS192),0)+IF(AND(BW192&lt;&gt;"",BX192=""),N(BY192),0)+IF(AND(CC192&lt;&gt;"",CD192=""),N(CE192),0)+IF(AND(CI192&lt;&gt;"",CJ192=""),N(CK192),0)+IF(AND(CO192&lt;&gt;"",CP192=""),N(CQ192),0)</f>
        <v/>
      </c>
      <c r="DB192" s="48">
        <f>ROUND(IF(BQ192&lt;&gt;"",N(BS192)*MAX(0,((IF(BR192="",TODAY(),BR192))-BQ192)/7),0)+IF(BW192&lt;&gt;"",N(BY192)*MAX(0,((IF(BX192="",TODAY(),BX192))-BW192)/7),0)+IF(CC192&lt;&gt;"",N(CE192)*MAX(0,((IF(CD192="",TODAY(),CD192))-CC192)/7),0)+IF(CI192&lt;&gt;"",N(CK192)*MAX(0,((IF(CJ192="",TODAY(),CJ192))-CI192)/7),0)+IF(CO192&lt;&gt;"",N(CQ192)*MAX(0,((IF(CP192="",TODAY(),CP192))-CO192)/7),0),1)</f>
        <v/>
      </c>
      <c r="DC192" s="48">
        <f>IF(OR(TRIM(X192)="",TRIM(X192)="NA;",TRIM(X192)="NA"),0,1)</f>
        <v/>
      </c>
      <c r="DD192" s="48">
        <f>IF(OR(TRIM(Y192)="",TRIM(Y192)="NA;",TRIM(Y192)="NA"),0,1)</f>
        <v/>
      </c>
      <c r="DE192" s="48">
        <f>IF(OR(TRIM(Z192)="",TRIM(Z192)="NA;",TRIM(Z192)="NA"),0,1)</f>
        <v/>
      </c>
      <c r="DF192" s="48">
        <f>IF(OR(TRIM(AA192)="",TRIM(AA192)="NA;",TRIM(AA192)="NA"),0,1)</f>
        <v/>
      </c>
      <c r="DG192" s="48">
        <f>IF(OR(TRIM(AB192)="",TRIM(AB192)="NA;",TRIM(AB192)="NA"),0,1)</f>
        <v/>
      </c>
      <c r="DH192" s="48">
        <f>IF(OR(TRIM(AC192)="",TRIM(AC192)="NA;",TRIM(AC192)="NA"),0,1)</f>
        <v/>
      </c>
      <c r="DI192" s="48">
        <f>IF(OR(TRIM(AD192)="",TRIM(AD192)="NA;",TRIM(AD192)="NA"),0,1)</f>
        <v/>
      </c>
      <c r="DJ192" s="48">
        <f>TRIM(IF(DC192=1,"Mon ","")&amp;IF(DD192=1,"Tue ","")&amp;IF(DE192=1,"Wed ","")&amp;IF(DF192=1,"Thu ","")&amp;IF(DG192=1,"Fri ","")&amp;IF(DH192=1,"Sat ","")&amp;IF(DI192=1,"Sun ",""))</f>
        <v/>
      </c>
    </row>
    <row r="193">
      <c r="A193" s="48" t="inlineStr">
        <is>
          <t>S-N-00041</t>
        </is>
      </c>
      <c r="B193" s="48" t="inlineStr">
        <is>
          <t>Luke Brown</t>
        </is>
      </c>
      <c r="C193" s="48" t="inlineStr">
        <is>
          <t>luke.brown91@example.com</t>
        </is>
      </c>
      <c r="D193" s="48" t="inlineStr">
        <is>
          <t>+61 493 641 061</t>
        </is>
      </c>
      <c r="E193" s="48" t="inlineStr">
        <is>
          <t>Daniel Brown</t>
        </is>
      </c>
      <c r="F193" s="48" t="inlineStr">
        <is>
          <t>+61 454 662 927</t>
        </is>
      </c>
      <c r="G193" s="48" t="inlineStr">
        <is>
          <t>Spouse</t>
        </is>
      </c>
      <c r="H193" s="48" t="inlineStr">
        <is>
          <t>Student</t>
        </is>
      </c>
      <c r="I193" s="49" t="n">
        <v>45924</v>
      </c>
      <c r="J193" s="48" t="inlineStr">
        <is>
          <t>ADM-ACT-MAT-CE</t>
        </is>
      </c>
      <c r="K193" s="48">
        <f>IFERROR(VLOOKUP(J193,'(A) Introduction'!$B$35:$C$45,2,FALSE),"")</f>
        <v/>
      </c>
      <c r="L193" s="48" t="inlineStr">
        <is>
          <t>No</t>
        </is>
      </c>
      <c r="M193" s="49" t="n">
        <v>46013</v>
      </c>
      <c r="N193" s="48" t="inlineStr"/>
      <c r="O193" s="48" t="inlineStr">
        <is>
          <t>NA</t>
        </is>
      </c>
      <c r="P193" s="48">
        <f>IF($H193="Tutor",((BQ193&lt;&gt;"")*(BR193=""))+((BW193&lt;&gt;"")*(BX193=""))+((CC193&lt;&gt;"")*(CD193=""))+((CI193&lt;&gt;"")*(CJ193=""))+((CO193&lt;&gt;"")*(CP193="")),SUMPRODUCT(--($BO$3:$BO$202=$A193),--($BR$3:$BR$202=""))+SUMPRODUCT(--($BU$3:$BU$202=$A193),--($BX$3:$BX$202=""))+SUMPRODUCT(--($CA$3:$CA$202=$A193),--($CD$3:$CD$202=""))+SUMPRODUCT(--($CG$3:$CG$202=$A193),--($CJ$3:$CJ$202=""))+SUMPRODUCT(--($CM$3:$CM$202=$A193),--($CP$3:$CP$202="")))</f>
        <v/>
      </c>
      <c r="Q193" s="48">
        <f>IF($H193="Tutor",(BQ193&lt;&gt;"")+(BW193&lt;&gt;"")+(CC193&lt;&gt;"")+(CI193&lt;&gt;"")+(CO193&lt;&gt;""),SUMPRODUCT(--($BO$3:$BO$202=$A193))+SUMPRODUCT(--($BU$3:$BU$202=$A193))+SUMPRODUCT(--($CA$3:$CA$202=$A193))+SUMPRODUCT(--($CG$3:$CG$202=$A193))+SUMPRODUCT(--($CM$3:$CM$202=$A193)))</f>
        <v/>
      </c>
      <c r="R193" s="48">
        <f>IF($H193="Tutor",TRIM(IF(AND(BQ193&lt;&gt;"",BR193=""),BP193&amp;"; ","")&amp;IF(AND(BW193&lt;&gt;"",BX193=""),BV193&amp;"; ","")&amp;IF(AND(CC193&lt;&gt;"",CD193=""),CB193&amp;"; ","")&amp;IF(AND(CI193&lt;&gt;"",CJ193=""),CH193&amp;"; ","")&amp;IF(AND(CO193&lt;&gt;"",CP193=""),CN193&amp;"; ","")),IFERROR(INDEX($A$3:$B$202,(SUMPRODUCT(($BO$3:$BO$202=$A193)*($BR$3:$BR$202="")*ROW($BO$3:$BO$202))+SUMPRODUCT(($BU$3:$BU$202=$A193)*($BX$3:$BX$202="")*ROW($BU$3:$BU$202))+SUMPRODUCT(($CA$3:$CA$202=$A193)*($CD$3:$CD$202="")*ROW($CA$3:$CA$202))+SUMPRODUCT(($CG$3:$CG$202=$A193)*($CJ$3:$CJ$202="")*ROW($CG$3:$CG$202))+SUMPRODUCT(($CM$3:$CM$202=$A193)*($CP$3:$CP$202="")*ROW($CM$3:$CM$202)))-2,2),""))</f>
        <v/>
      </c>
      <c r="S193" s="48" t="inlineStr">
        <is>
          <t>Provided</t>
        </is>
      </c>
      <c r="T193" s="48" t="inlineStr"/>
      <c r="U193" s="48" t="inlineStr"/>
      <c r="V193" s="49" t="n">
        <v>45719</v>
      </c>
      <c r="W193" s="48" t="inlineStr">
        <is>
          <t>AEST (UTC+10)</t>
        </is>
      </c>
      <c r="X193" s="48" t="inlineStr">
        <is>
          <t>6pm-9pm;</t>
        </is>
      </c>
      <c r="Y193" s="48" t="inlineStr">
        <is>
          <t>9am-12pm;</t>
        </is>
      </c>
      <c r="Z193" s="48" t="inlineStr">
        <is>
          <t>12pm-3pm;</t>
        </is>
      </c>
      <c r="AA193" s="48" t="inlineStr">
        <is>
          <t>9am-12pm;</t>
        </is>
      </c>
      <c r="AB193" s="48" t="inlineStr">
        <is>
          <t>3pm-6pm;</t>
        </is>
      </c>
      <c r="AC193" s="48" t="inlineStr">
        <is>
          <t>12pm-3pm;6pm-9pm;</t>
        </is>
      </c>
      <c r="AD193" s="48" t="inlineStr">
        <is>
          <t>12pm-3pm;6pm-9pm;</t>
        </is>
      </c>
      <c r="AE193" s="48" t="inlineStr">
        <is>
          <t>In-Person</t>
        </is>
      </c>
      <c r="AF193" s="48" t="inlineStr">
        <is>
          <t>Computer</t>
        </is>
      </c>
      <c r="AG193" s="48" t="inlineStr">
        <is>
          <t>Australia</t>
        </is>
      </c>
      <c r="AH193" s="48" t="inlineStr">
        <is>
          <t>Queensland</t>
        </is>
      </c>
      <c r="AI193" s="48" t="inlineStr">
        <is>
          <t>Logan</t>
        </is>
      </c>
      <c r="AJ193" s="48" t="inlineStr">
        <is>
          <t>4114</t>
        </is>
      </c>
      <c r="AK193" s="49" t="n">
        <v>33033</v>
      </c>
      <c r="AL193" s="48" t="inlineStr">
        <is>
          <t>Female</t>
        </is>
      </c>
      <c r="AM193" s="48" t="inlineStr">
        <is>
          <t>Yes</t>
        </is>
      </c>
      <c r="AN193" s="48" t="inlineStr">
        <is>
          <t>B1</t>
        </is>
      </c>
      <c r="AO193" s="48" t="inlineStr">
        <is>
          <t>High</t>
        </is>
      </c>
      <c r="AP193" s="48" t="inlineStr">
        <is>
          <t>Sudan</t>
        </is>
      </c>
      <c r="AQ193" s="48" t="inlineStr">
        <is>
          <t>NA</t>
        </is>
      </c>
      <c r="AR193" s="48" t="inlineStr">
        <is>
          <t>Pashto (B2)</t>
        </is>
      </c>
      <c r="AS193" s="48" t="inlineStr">
        <is>
          <t>Christian (Orthodox)</t>
        </is>
      </c>
      <c r="AT193" s="48" t="inlineStr">
        <is>
          <t>Labour, Administrative &amp; Clerical</t>
        </is>
      </c>
      <c r="AU193" s="48" t="inlineStr">
        <is>
          <t>Student</t>
        </is>
      </c>
      <c r="AV193" s="48" t="inlineStr">
        <is>
          <t>Engineering</t>
        </is>
      </c>
      <c r="AW193" s="48" t="inlineStr">
        <is>
          <t>Travel; Sport; Movies</t>
        </is>
      </c>
      <c r="AX193" s="48" t="inlineStr">
        <is>
          <t>Refugee</t>
        </is>
      </c>
      <c r="AY193" s="48" t="inlineStr">
        <is>
          <t>Yes</t>
        </is>
      </c>
      <c r="AZ193" s="48" t="inlineStr">
        <is>
          <t>Yes</t>
        </is>
      </c>
      <c r="BA193" s="48" t="inlineStr">
        <is>
          <t>NA</t>
        </is>
      </c>
      <c r="BB193" s="48" t="inlineStr">
        <is>
          <t>NA</t>
        </is>
      </c>
      <c r="BC193" s="48" t="inlineStr">
        <is>
          <t>NA</t>
        </is>
      </c>
      <c r="BD193" s="48" t="inlineStr">
        <is>
          <t>NA</t>
        </is>
      </c>
      <c r="BE193" s="48" t="inlineStr"/>
      <c r="BF193" s="48" t="inlineStr"/>
      <c r="BG193" s="48" t="inlineStr">
        <is>
          <t>NA</t>
        </is>
      </c>
      <c r="BH193" s="48" t="inlineStr">
        <is>
          <t>NA - Student</t>
        </is>
      </c>
      <c r="BI193" s="48" t="inlineStr">
        <is>
          <t>Notice Board</t>
        </is>
      </c>
      <c r="BJ193" s="48" t="inlineStr">
        <is>
          <t>NUICH Curtis</t>
        </is>
      </c>
      <c r="BK193" s="48" t="inlineStr">
        <is>
          <t>NUICH Curtis</t>
        </is>
      </c>
      <c r="BL193" s="48" t="inlineStr">
        <is>
          <t>Synthetic test record.</t>
        </is>
      </c>
      <c r="BM193" s="48" t="inlineStr"/>
      <c r="BN193" s="48">
        <f>TRIM(IF(AND($H193="Student",$J193="ADM-ACT-MAT-CNE"),"Invalid: Student cannot be CNE. ","")&amp;IF(AND($H193="Student",ISNUMBER($O193)),"Check: capacity set for a Student. ","")&amp;IF(AND(LEFT($J193,11)="ADM-ACT-MAT",$P193=0),"Check: matched status but 0 active pairings. ","")&amp;IF(AND($H193="Tutor",ISNUMBER($O193),$P193&gt;$O193),"Check: pairings exceed capacity. ","")&amp;IF(AND($BH193="Everyone",NOT(AND($BD193="Yes",$BG193="Yes"))),"Check: approved to tutor children but WWCC not provided/confirmed. ","")&amp;IF(AND($P193&gt;0,NOT(AND(OR(LEFT($AY193,3)="Yes",LEFT($AY193,2)="NA"),OR(LEFT($AZ193,3)="Yes",LEFT($AZ193,2)="NA")))),"Matched but vetting incomplete (interview/reference). ","")&amp;IF(COUNTIF($B$3:$B$600,$B193)&gt;1,"Duplicate participant name. ",""))</f>
        <v/>
      </c>
      <c r="BO193" s="48" t="inlineStr"/>
      <c r="BP193" s="48" t="inlineStr"/>
      <c r="BQ193" s="48" t="inlineStr"/>
      <c r="BR193" s="48" t="inlineStr"/>
      <c r="BS193" s="48" t="inlineStr"/>
      <c r="BT193" s="48" t="inlineStr"/>
      <c r="BU193" s="48" t="inlineStr"/>
      <c r="BV193" s="48" t="inlineStr"/>
      <c r="BW193" s="48" t="inlineStr"/>
      <c r="BX193" s="48" t="inlineStr"/>
      <c r="BY193" s="48" t="inlineStr"/>
      <c r="BZ193" s="48" t="inlineStr"/>
      <c r="CA193" s="48" t="inlineStr"/>
      <c r="CB193" s="48" t="inlineStr"/>
      <c r="CC193" s="48" t="inlineStr"/>
      <c r="CD193" s="48" t="inlineStr"/>
      <c r="CE193" s="48" t="inlineStr"/>
      <c r="CF193" s="48" t="inlineStr"/>
      <c r="CG193" s="48" t="inlineStr"/>
      <c r="CH193" s="48" t="inlineStr"/>
      <c r="CI193" s="48" t="inlineStr"/>
      <c r="CJ193" s="48" t="inlineStr"/>
      <c r="CK193" s="48" t="inlineStr"/>
      <c r="CL193" s="48" t="inlineStr"/>
      <c r="CM193" s="48" t="inlineStr"/>
      <c r="CN193" s="48" t="inlineStr"/>
      <c r="CO193" s="48" t="inlineStr"/>
      <c r="CP193" s="48" t="inlineStr"/>
      <c r="CQ193" s="48" t="inlineStr"/>
      <c r="CR193" s="48" t="inlineStr"/>
      <c r="CS193" s="48">
        <f>IF(LEFT($J193,3)="ERR",0,1)</f>
        <v/>
      </c>
      <c r="CT193" s="48">
        <f>IF(LEFT($J193,3)="ADM",1,0)</f>
        <v/>
      </c>
      <c r="CU193" s="48">
        <f>IF(OR($J193="ADM-ACT-MAT-CNE",$J193="ADM-ACT-MAT-CE",$J193="ADM-INACT-M&amp;T"),1,0)</f>
        <v/>
      </c>
      <c r="CV193" s="48">
        <f>IF(AND(CU193=1,ISNUMBER(M193),ISNUMBER(I193)),M193-I193,"")</f>
        <v/>
      </c>
      <c r="CW193" s="48">
        <f>IF(ISNUMBER(I193),TODAY()-I193,"")</f>
        <v/>
      </c>
      <c r="CX193" s="48">
        <f>IF(ISNUMBER(I193),DATE(YEAR(I193),MONTH(I193),1),"")</f>
        <v/>
      </c>
      <c r="CY193" s="48">
        <f>IFERROR(DATEDIF(AK193,TODAY(),"y"),"")</f>
        <v/>
      </c>
      <c r="CZ193" s="48">
        <f>IF(CY193="","",IF(CY193&lt;28,"18-27",IF(CY193&lt;38,"28-37",IF(CY193&lt;48,"38-47",IF(CY193&lt;58,"48-57",IF(CY193&lt;68,"58-67",IF(CY193&lt;78,"68-77","78+")))))) </f>
        <v/>
      </c>
      <c r="DA193" s="48">
        <f>IF(AND(BQ193&lt;&gt;"",BR193=""),N(BS193),0)+IF(AND(BW193&lt;&gt;"",BX193=""),N(BY193),0)+IF(AND(CC193&lt;&gt;"",CD193=""),N(CE193),0)+IF(AND(CI193&lt;&gt;"",CJ193=""),N(CK193),0)+IF(AND(CO193&lt;&gt;"",CP193=""),N(CQ193),0)</f>
        <v/>
      </c>
      <c r="DB193" s="48">
        <f>ROUND(IF(BQ193&lt;&gt;"",N(BS193)*MAX(0,((IF(BR193="",TODAY(),BR193))-BQ193)/7),0)+IF(BW193&lt;&gt;"",N(BY193)*MAX(0,((IF(BX193="",TODAY(),BX193))-BW193)/7),0)+IF(CC193&lt;&gt;"",N(CE193)*MAX(0,((IF(CD193="",TODAY(),CD193))-CC193)/7),0)+IF(CI193&lt;&gt;"",N(CK193)*MAX(0,((IF(CJ193="",TODAY(),CJ193))-CI193)/7),0)+IF(CO193&lt;&gt;"",N(CQ193)*MAX(0,((IF(CP193="",TODAY(),CP193))-CO193)/7),0),1)</f>
        <v/>
      </c>
      <c r="DC193" s="48">
        <f>IF(OR(TRIM(X193)="",TRIM(X193)="NA;",TRIM(X193)="NA"),0,1)</f>
        <v/>
      </c>
      <c r="DD193" s="48">
        <f>IF(OR(TRIM(Y193)="",TRIM(Y193)="NA;",TRIM(Y193)="NA"),0,1)</f>
        <v/>
      </c>
      <c r="DE193" s="48">
        <f>IF(OR(TRIM(Z193)="",TRIM(Z193)="NA;",TRIM(Z193)="NA"),0,1)</f>
        <v/>
      </c>
      <c r="DF193" s="48">
        <f>IF(OR(TRIM(AA193)="",TRIM(AA193)="NA;",TRIM(AA193)="NA"),0,1)</f>
        <v/>
      </c>
      <c r="DG193" s="48">
        <f>IF(OR(TRIM(AB193)="",TRIM(AB193)="NA;",TRIM(AB193)="NA"),0,1)</f>
        <v/>
      </c>
      <c r="DH193" s="48">
        <f>IF(OR(TRIM(AC193)="",TRIM(AC193)="NA;",TRIM(AC193)="NA"),0,1)</f>
        <v/>
      </c>
      <c r="DI193" s="48">
        <f>IF(OR(TRIM(AD193)="",TRIM(AD193)="NA;",TRIM(AD193)="NA"),0,1)</f>
        <v/>
      </c>
      <c r="DJ193" s="48">
        <f>TRIM(IF(DC193=1,"Mon ","")&amp;IF(DD193=1,"Tue ","")&amp;IF(DE193=1,"Wed ","")&amp;IF(DF193=1,"Thu ","")&amp;IF(DG193=1,"Fri ","")&amp;IF(DH193=1,"Sat ","")&amp;IF(DI193=1,"Sun ",""))</f>
        <v/>
      </c>
    </row>
    <row r="194">
      <c r="A194" s="48" t="inlineStr">
        <is>
          <t>S-N-00042</t>
        </is>
      </c>
      <c r="B194" s="48" t="inlineStr">
        <is>
          <t>Elena Silva</t>
        </is>
      </c>
      <c r="C194" s="48" t="inlineStr">
        <is>
          <t>elena.silva92@example.com</t>
        </is>
      </c>
      <c r="D194" s="48" t="inlineStr">
        <is>
          <t>+61 417 029 264</t>
        </is>
      </c>
      <c r="E194" s="48" t="inlineStr">
        <is>
          <t>Sarah Khan</t>
        </is>
      </c>
      <c r="F194" s="48" t="inlineStr">
        <is>
          <t>+61 498 826 320</t>
        </is>
      </c>
      <c r="G194" s="48" t="inlineStr">
        <is>
          <t>Sibling</t>
        </is>
      </c>
      <c r="H194" s="48" t="inlineStr">
        <is>
          <t>Student</t>
        </is>
      </c>
      <c r="I194" s="49" t="n">
        <v>45932</v>
      </c>
      <c r="J194" s="48" t="inlineStr">
        <is>
          <t>ADM-ACT-MAT-CE</t>
        </is>
      </c>
      <c r="K194" s="48">
        <f>IFERROR(VLOOKUP(J194,'(A) Introduction'!$B$35:$C$45,2,FALSE),"")</f>
        <v/>
      </c>
      <c r="L194" s="48" t="inlineStr">
        <is>
          <t>No</t>
        </is>
      </c>
      <c r="M194" s="49" t="n">
        <v>46004</v>
      </c>
      <c r="N194" s="48" t="inlineStr"/>
      <c r="O194" s="48" t="inlineStr">
        <is>
          <t>NA</t>
        </is>
      </c>
      <c r="P194" s="48">
        <f>IF($H194="Tutor",((BQ194&lt;&gt;"")*(BR194=""))+((BW194&lt;&gt;"")*(BX194=""))+((CC194&lt;&gt;"")*(CD194=""))+((CI194&lt;&gt;"")*(CJ194=""))+((CO194&lt;&gt;"")*(CP194="")),SUMPRODUCT(--($BO$3:$BO$202=$A194),--($BR$3:$BR$202=""))+SUMPRODUCT(--($BU$3:$BU$202=$A194),--($BX$3:$BX$202=""))+SUMPRODUCT(--($CA$3:$CA$202=$A194),--($CD$3:$CD$202=""))+SUMPRODUCT(--($CG$3:$CG$202=$A194),--($CJ$3:$CJ$202=""))+SUMPRODUCT(--($CM$3:$CM$202=$A194),--($CP$3:$CP$202="")))</f>
        <v/>
      </c>
      <c r="Q194" s="48">
        <f>IF($H194="Tutor",(BQ194&lt;&gt;"")+(BW194&lt;&gt;"")+(CC194&lt;&gt;"")+(CI194&lt;&gt;"")+(CO194&lt;&gt;""),SUMPRODUCT(--($BO$3:$BO$202=$A194))+SUMPRODUCT(--($BU$3:$BU$202=$A194))+SUMPRODUCT(--($CA$3:$CA$202=$A194))+SUMPRODUCT(--($CG$3:$CG$202=$A194))+SUMPRODUCT(--($CM$3:$CM$202=$A194)))</f>
        <v/>
      </c>
      <c r="R194" s="48">
        <f>IF($H194="Tutor",TRIM(IF(AND(BQ194&lt;&gt;"",BR194=""),BP194&amp;"; ","")&amp;IF(AND(BW194&lt;&gt;"",BX194=""),BV194&amp;"; ","")&amp;IF(AND(CC194&lt;&gt;"",CD194=""),CB194&amp;"; ","")&amp;IF(AND(CI194&lt;&gt;"",CJ194=""),CH194&amp;"; ","")&amp;IF(AND(CO194&lt;&gt;"",CP194=""),CN194&amp;"; ","")),IFERROR(INDEX($A$3:$B$202,(SUMPRODUCT(($BO$3:$BO$202=$A194)*($BR$3:$BR$202="")*ROW($BO$3:$BO$202))+SUMPRODUCT(($BU$3:$BU$202=$A194)*($BX$3:$BX$202="")*ROW($BU$3:$BU$202))+SUMPRODUCT(($CA$3:$CA$202=$A194)*($CD$3:$CD$202="")*ROW($CA$3:$CA$202))+SUMPRODUCT(($CG$3:$CG$202=$A194)*($CJ$3:$CJ$202="")*ROW($CG$3:$CG$202))+SUMPRODUCT(($CM$3:$CM$202=$A194)*($CP$3:$CP$202="")*ROW($CM$3:$CM$202)))-2,2),""))</f>
        <v/>
      </c>
      <c r="S194" s="48" t="inlineStr">
        <is>
          <t>NA</t>
        </is>
      </c>
      <c r="T194" s="48" t="inlineStr"/>
      <c r="U194" s="48" t="inlineStr"/>
      <c r="V194" s="49" t="n">
        <v>45877</v>
      </c>
      <c r="W194" s="48" t="inlineStr">
        <is>
          <t>ACST (UTC+9:30)</t>
        </is>
      </c>
      <c r="X194" s="48" t="inlineStr">
        <is>
          <t>9am-12pm;</t>
        </is>
      </c>
      <c r="Y194" s="48" t="inlineStr">
        <is>
          <t>NA;</t>
        </is>
      </c>
      <c r="Z194" s="48" t="inlineStr">
        <is>
          <t>6pm-9pm;</t>
        </is>
      </c>
      <c r="AA194" s="48" t="inlineStr">
        <is>
          <t>NA;</t>
        </is>
      </c>
      <c r="AB194" s="48" t="inlineStr">
        <is>
          <t>NA;</t>
        </is>
      </c>
      <c r="AC194" s="48" t="inlineStr">
        <is>
          <t>6pm-9pm;</t>
        </is>
      </c>
      <c r="AD194" s="48" t="inlineStr">
        <is>
          <t>6am-9am;9am-12pm;</t>
        </is>
      </c>
      <c r="AE194" s="48" t="inlineStr">
        <is>
          <t>Either</t>
        </is>
      </c>
      <c r="AF194" s="48" t="inlineStr">
        <is>
          <t>Tablet</t>
        </is>
      </c>
      <c r="AG194" s="48" t="inlineStr">
        <is>
          <t>Australia</t>
        </is>
      </c>
      <c r="AH194" s="48" t="inlineStr">
        <is>
          <t>New South Wales</t>
        </is>
      </c>
      <c r="AI194" s="48" t="inlineStr">
        <is>
          <t>Doonside</t>
        </is>
      </c>
      <c r="AJ194" s="48" t="inlineStr">
        <is>
          <t>2767</t>
        </is>
      </c>
      <c r="AK194" s="49" t="n">
        <v>36854</v>
      </c>
      <c r="AL194" s="48" t="inlineStr">
        <is>
          <t>Female</t>
        </is>
      </c>
      <c r="AM194" s="48" t="inlineStr">
        <is>
          <t>Yes</t>
        </is>
      </c>
      <c r="AN194" s="48" t="inlineStr">
        <is>
          <t>B1</t>
        </is>
      </c>
      <c r="AO194" s="48" t="inlineStr">
        <is>
          <t>Low</t>
        </is>
      </c>
      <c r="AP194" s="48" t="inlineStr">
        <is>
          <t>Pakistan</t>
        </is>
      </c>
      <c r="AQ194" s="48" t="inlineStr">
        <is>
          <t>NA</t>
        </is>
      </c>
      <c r="AR194" s="48" t="inlineStr">
        <is>
          <t>Spanish (C1)</t>
        </is>
      </c>
      <c r="AS194" s="48" t="inlineStr">
        <is>
          <t>Christian (Orthodox)</t>
        </is>
      </c>
      <c r="AT194" s="48" t="inlineStr">
        <is>
          <t>Business &amp; Finance</t>
        </is>
      </c>
      <c r="AU194" s="48" t="inlineStr">
        <is>
          <t>Aged Care Worker</t>
        </is>
      </c>
      <c r="AV194" s="48" t="inlineStr">
        <is>
          <t>Child Care</t>
        </is>
      </c>
      <c r="AW194" s="48" t="inlineStr">
        <is>
          <t>Football; Cooking; Family</t>
        </is>
      </c>
      <c r="AX194" s="48" t="inlineStr">
        <is>
          <t>Refugee</t>
        </is>
      </c>
      <c r="AY194" s="48" t="inlineStr">
        <is>
          <t>No</t>
        </is>
      </c>
      <c r="AZ194" s="48" t="inlineStr">
        <is>
          <t>No</t>
        </is>
      </c>
      <c r="BA194" s="48" t="inlineStr">
        <is>
          <t>NA</t>
        </is>
      </c>
      <c r="BB194" s="48" t="inlineStr">
        <is>
          <t>NA</t>
        </is>
      </c>
      <c r="BC194" s="48" t="inlineStr">
        <is>
          <t>NA</t>
        </is>
      </c>
      <c r="BD194" s="48" t="inlineStr">
        <is>
          <t>NA</t>
        </is>
      </c>
      <c r="BE194" s="48" t="inlineStr"/>
      <c r="BF194" s="48" t="inlineStr"/>
      <c r="BG194" s="48" t="inlineStr">
        <is>
          <t>NA</t>
        </is>
      </c>
      <c r="BH194" s="48" t="inlineStr">
        <is>
          <t>NA - Student</t>
        </is>
      </c>
      <c r="BI194" s="48" t="inlineStr">
        <is>
          <t>Supporting Asylum Seekers Sydney</t>
        </is>
      </c>
      <c r="BJ194" s="48" t="inlineStr">
        <is>
          <t>CROCK Mary</t>
        </is>
      </c>
      <c r="BK194" s="48" t="inlineStr">
        <is>
          <t>HERVIR Oliver</t>
        </is>
      </c>
      <c r="BL194" s="48" t="inlineStr">
        <is>
          <t>Synthetic test record.</t>
        </is>
      </c>
      <c r="BM194" s="48" t="inlineStr"/>
      <c r="BN194" s="48">
        <f>TRIM(IF(AND($H194="Student",$J194="ADM-ACT-MAT-CNE"),"Invalid: Student cannot be CNE. ","")&amp;IF(AND($H194="Student",ISNUMBER($O194)),"Check: capacity set for a Student. ","")&amp;IF(AND(LEFT($J194,11)="ADM-ACT-MAT",$P194=0),"Check: matched status but 0 active pairings. ","")&amp;IF(AND($H194="Tutor",ISNUMBER($O194),$P194&gt;$O194),"Check: pairings exceed capacity. ","")&amp;IF(AND($BH194="Everyone",NOT(AND($BD194="Yes",$BG194="Yes"))),"Check: approved to tutor children but WWCC not provided/confirmed. ","")&amp;IF(AND($P194&gt;0,NOT(AND(OR(LEFT($AY194,3)="Yes",LEFT($AY194,2)="NA"),OR(LEFT($AZ194,3)="Yes",LEFT($AZ194,2)="NA")))),"Matched but vetting incomplete (interview/reference). ","")&amp;IF(COUNTIF($B$3:$B$600,$B194)&gt;1,"Duplicate participant name. ",""))</f>
        <v/>
      </c>
      <c r="BO194" s="48" t="inlineStr"/>
      <c r="BP194" s="48" t="inlineStr"/>
      <c r="BQ194" s="48" t="inlineStr"/>
      <c r="BR194" s="48" t="inlineStr"/>
      <c r="BS194" s="48" t="inlineStr"/>
      <c r="BT194" s="48" t="inlineStr"/>
      <c r="BU194" s="48" t="inlineStr"/>
      <c r="BV194" s="48" t="inlineStr"/>
      <c r="BW194" s="48" t="inlineStr"/>
      <c r="BX194" s="48" t="inlineStr"/>
      <c r="BY194" s="48" t="inlineStr"/>
      <c r="BZ194" s="48" t="inlineStr"/>
      <c r="CA194" s="48" t="inlineStr"/>
      <c r="CB194" s="48" t="inlineStr"/>
      <c r="CC194" s="48" t="inlineStr"/>
      <c r="CD194" s="48" t="inlineStr"/>
      <c r="CE194" s="48" t="inlineStr"/>
      <c r="CF194" s="48" t="inlineStr"/>
      <c r="CG194" s="48" t="inlineStr"/>
      <c r="CH194" s="48" t="inlineStr"/>
      <c r="CI194" s="48" t="inlineStr"/>
      <c r="CJ194" s="48" t="inlineStr"/>
      <c r="CK194" s="48" t="inlineStr"/>
      <c r="CL194" s="48" t="inlineStr"/>
      <c r="CM194" s="48" t="inlineStr"/>
      <c r="CN194" s="48" t="inlineStr"/>
      <c r="CO194" s="48" t="inlineStr"/>
      <c r="CP194" s="48" t="inlineStr"/>
      <c r="CQ194" s="48" t="inlineStr"/>
      <c r="CR194" s="48" t="inlineStr"/>
      <c r="CS194" s="48">
        <f>IF(LEFT($J194,3)="ERR",0,1)</f>
        <v/>
      </c>
      <c r="CT194" s="48">
        <f>IF(LEFT($J194,3)="ADM",1,0)</f>
        <v/>
      </c>
      <c r="CU194" s="48">
        <f>IF(OR($J194="ADM-ACT-MAT-CNE",$J194="ADM-ACT-MAT-CE",$J194="ADM-INACT-M&amp;T"),1,0)</f>
        <v/>
      </c>
      <c r="CV194" s="48">
        <f>IF(AND(CU194=1,ISNUMBER(M194),ISNUMBER(I194)),M194-I194,"")</f>
        <v/>
      </c>
      <c r="CW194" s="48">
        <f>IF(ISNUMBER(I194),TODAY()-I194,"")</f>
        <v/>
      </c>
      <c r="CX194" s="48">
        <f>IF(ISNUMBER(I194),DATE(YEAR(I194),MONTH(I194),1),"")</f>
        <v/>
      </c>
      <c r="CY194" s="48">
        <f>IFERROR(DATEDIF(AK194,TODAY(),"y"),"")</f>
        <v/>
      </c>
      <c r="CZ194" s="48">
        <f>IF(CY194="","",IF(CY194&lt;28,"18-27",IF(CY194&lt;38,"28-37",IF(CY194&lt;48,"38-47",IF(CY194&lt;58,"48-57",IF(CY194&lt;68,"58-67",IF(CY194&lt;78,"68-77","78+")))))) </f>
        <v/>
      </c>
      <c r="DA194" s="48">
        <f>IF(AND(BQ194&lt;&gt;"",BR194=""),N(BS194),0)+IF(AND(BW194&lt;&gt;"",BX194=""),N(BY194),0)+IF(AND(CC194&lt;&gt;"",CD194=""),N(CE194),0)+IF(AND(CI194&lt;&gt;"",CJ194=""),N(CK194),0)+IF(AND(CO194&lt;&gt;"",CP194=""),N(CQ194),0)</f>
        <v/>
      </c>
      <c r="DB194" s="48">
        <f>ROUND(IF(BQ194&lt;&gt;"",N(BS194)*MAX(0,((IF(BR194="",TODAY(),BR194))-BQ194)/7),0)+IF(BW194&lt;&gt;"",N(BY194)*MAX(0,((IF(BX194="",TODAY(),BX194))-BW194)/7),0)+IF(CC194&lt;&gt;"",N(CE194)*MAX(0,((IF(CD194="",TODAY(),CD194))-CC194)/7),0)+IF(CI194&lt;&gt;"",N(CK194)*MAX(0,((IF(CJ194="",TODAY(),CJ194))-CI194)/7),0)+IF(CO194&lt;&gt;"",N(CQ194)*MAX(0,((IF(CP194="",TODAY(),CP194))-CO194)/7),0),1)</f>
        <v/>
      </c>
      <c r="DC194" s="48">
        <f>IF(OR(TRIM(X194)="",TRIM(X194)="NA;",TRIM(X194)="NA"),0,1)</f>
        <v/>
      </c>
      <c r="DD194" s="48">
        <f>IF(OR(TRIM(Y194)="",TRIM(Y194)="NA;",TRIM(Y194)="NA"),0,1)</f>
        <v/>
      </c>
      <c r="DE194" s="48">
        <f>IF(OR(TRIM(Z194)="",TRIM(Z194)="NA;",TRIM(Z194)="NA"),0,1)</f>
        <v/>
      </c>
      <c r="DF194" s="48">
        <f>IF(OR(TRIM(AA194)="",TRIM(AA194)="NA;",TRIM(AA194)="NA"),0,1)</f>
        <v/>
      </c>
      <c r="DG194" s="48">
        <f>IF(OR(TRIM(AB194)="",TRIM(AB194)="NA;",TRIM(AB194)="NA"),0,1)</f>
        <v/>
      </c>
      <c r="DH194" s="48">
        <f>IF(OR(TRIM(AC194)="",TRIM(AC194)="NA;",TRIM(AC194)="NA"),0,1)</f>
        <v/>
      </c>
      <c r="DI194" s="48">
        <f>IF(OR(TRIM(AD194)="",TRIM(AD194)="NA;",TRIM(AD194)="NA"),0,1)</f>
        <v/>
      </c>
      <c r="DJ194" s="48">
        <f>TRIM(IF(DC194=1,"Mon ","")&amp;IF(DD194=1,"Tue ","")&amp;IF(DE194=1,"Wed ","")&amp;IF(DF194=1,"Thu ","")&amp;IF(DG194=1,"Fri ","")&amp;IF(DH194=1,"Sat ","")&amp;IF(DI194=1,"Sun ",""))</f>
        <v/>
      </c>
    </row>
    <row r="195">
      <c r="A195" s="48" t="inlineStr">
        <is>
          <t>S-N-00043</t>
        </is>
      </c>
      <c r="B195" s="48" t="inlineStr">
        <is>
          <t>Peter Slaytor</t>
        </is>
      </c>
      <c r="C195" s="48" t="inlineStr">
        <is>
          <t>peter.slaytor93@example.com</t>
        </is>
      </c>
      <c r="D195" s="48" t="inlineStr">
        <is>
          <t>+61 454 223 147</t>
        </is>
      </c>
      <c r="E195" s="48" t="inlineStr">
        <is>
          <t>Omar Stanley</t>
        </is>
      </c>
      <c r="F195" s="48" t="inlineStr">
        <is>
          <t>+61 470 393 316</t>
        </is>
      </c>
      <c r="G195" s="48" t="inlineStr">
        <is>
          <t>Caseworker</t>
        </is>
      </c>
      <c r="H195" s="48" t="inlineStr">
        <is>
          <t>Student</t>
        </is>
      </c>
      <c r="I195" s="49" t="n">
        <v>45934</v>
      </c>
      <c r="J195" s="48" t="inlineStr">
        <is>
          <t>ADM-ACT-MAT-CE</t>
        </is>
      </c>
      <c r="K195" s="48">
        <f>IFERROR(VLOOKUP(J195,'(A) Introduction'!$B$35:$C$45,2,FALSE),"")</f>
        <v/>
      </c>
      <c r="L195" s="48" t="inlineStr">
        <is>
          <t>No</t>
        </is>
      </c>
      <c r="M195" s="49" t="n">
        <v>45968</v>
      </c>
      <c r="N195" s="48" t="inlineStr"/>
      <c r="O195" s="48" t="inlineStr">
        <is>
          <t>NA</t>
        </is>
      </c>
      <c r="P195" s="48">
        <f>IF($H195="Tutor",((BQ195&lt;&gt;"")*(BR195=""))+((BW195&lt;&gt;"")*(BX195=""))+((CC195&lt;&gt;"")*(CD195=""))+((CI195&lt;&gt;"")*(CJ195=""))+((CO195&lt;&gt;"")*(CP195="")),SUMPRODUCT(--($BO$3:$BO$202=$A195),--($BR$3:$BR$202=""))+SUMPRODUCT(--($BU$3:$BU$202=$A195),--($BX$3:$BX$202=""))+SUMPRODUCT(--($CA$3:$CA$202=$A195),--($CD$3:$CD$202=""))+SUMPRODUCT(--($CG$3:$CG$202=$A195),--($CJ$3:$CJ$202=""))+SUMPRODUCT(--($CM$3:$CM$202=$A195),--($CP$3:$CP$202="")))</f>
        <v/>
      </c>
      <c r="Q195" s="48">
        <f>IF($H195="Tutor",(BQ195&lt;&gt;"")+(BW195&lt;&gt;"")+(CC195&lt;&gt;"")+(CI195&lt;&gt;"")+(CO195&lt;&gt;""),SUMPRODUCT(--($BO$3:$BO$202=$A195))+SUMPRODUCT(--($BU$3:$BU$202=$A195))+SUMPRODUCT(--($CA$3:$CA$202=$A195))+SUMPRODUCT(--($CG$3:$CG$202=$A195))+SUMPRODUCT(--($CM$3:$CM$202=$A195)))</f>
        <v/>
      </c>
      <c r="R195" s="48">
        <f>IF($H195="Tutor",TRIM(IF(AND(BQ195&lt;&gt;"",BR195=""),BP195&amp;"; ","")&amp;IF(AND(BW195&lt;&gt;"",BX195=""),BV195&amp;"; ","")&amp;IF(AND(CC195&lt;&gt;"",CD195=""),CB195&amp;"; ","")&amp;IF(AND(CI195&lt;&gt;"",CJ195=""),CH195&amp;"; ","")&amp;IF(AND(CO195&lt;&gt;"",CP195=""),CN195&amp;"; ","")),IFERROR(INDEX($A$3:$B$202,(SUMPRODUCT(($BO$3:$BO$202=$A195)*($BR$3:$BR$202="")*ROW($BO$3:$BO$202))+SUMPRODUCT(($BU$3:$BU$202=$A195)*($BX$3:$BX$202="")*ROW($BU$3:$BU$202))+SUMPRODUCT(($CA$3:$CA$202=$A195)*($CD$3:$CD$202="")*ROW($CA$3:$CA$202))+SUMPRODUCT(($CG$3:$CG$202=$A195)*($CJ$3:$CJ$202="")*ROW($CG$3:$CG$202))+SUMPRODUCT(($CM$3:$CM$202=$A195)*($CP$3:$CP$202="")*ROW($CM$3:$CM$202)))-2,2),""))</f>
        <v/>
      </c>
      <c r="S195" s="48" t="inlineStr">
        <is>
          <t>Provided</t>
        </is>
      </c>
      <c r="T195" s="48" t="inlineStr"/>
      <c r="U195" s="48" t="inlineStr"/>
      <c r="V195" s="49" t="n">
        <v>45965</v>
      </c>
      <c r="W195" s="48" t="inlineStr">
        <is>
          <t>AEST (UTC+10)</t>
        </is>
      </c>
      <c r="X195" s="48" t="inlineStr">
        <is>
          <t>3pm-6pm;</t>
        </is>
      </c>
      <c r="Y195" s="48" t="inlineStr">
        <is>
          <t>6pm-9pm;</t>
        </is>
      </c>
      <c r="Z195" s="48" t="inlineStr">
        <is>
          <t>12pm-3pm;6pm-9pm;</t>
        </is>
      </c>
      <c r="AA195" s="48" t="inlineStr">
        <is>
          <t>3pm-6pm;</t>
        </is>
      </c>
      <c r="AB195" s="48" t="inlineStr">
        <is>
          <t>NA;</t>
        </is>
      </c>
      <c r="AC195" s="48" t="inlineStr">
        <is>
          <t>6pm-9pm;</t>
        </is>
      </c>
      <c r="AD195" s="48" t="inlineStr">
        <is>
          <t>9am-12pm;12pm-3pm;3pm-6pm;</t>
        </is>
      </c>
      <c r="AE195" s="48" t="inlineStr">
        <is>
          <t>In-Person</t>
        </is>
      </c>
      <c r="AF195" s="48" t="inlineStr">
        <is>
          <t>Computer</t>
        </is>
      </c>
      <c r="AG195" s="48" t="inlineStr">
        <is>
          <t>Australia</t>
        </is>
      </c>
      <c r="AH195" s="48" t="inlineStr">
        <is>
          <t>New South Wales</t>
        </is>
      </c>
      <c r="AI195" s="48" t="inlineStr">
        <is>
          <t>Eastlakes</t>
        </is>
      </c>
      <c r="AJ195" s="48" t="inlineStr">
        <is>
          <t>2018</t>
        </is>
      </c>
      <c r="AK195" s="49" t="n">
        <v>27832</v>
      </c>
      <c r="AL195" s="48" t="inlineStr">
        <is>
          <t>Other</t>
        </is>
      </c>
      <c r="AM195" s="48" t="inlineStr">
        <is>
          <t>Yes</t>
        </is>
      </c>
      <c r="AN195" s="48" t="inlineStr">
        <is>
          <t>B2</t>
        </is>
      </c>
      <c r="AO195" s="48" t="inlineStr">
        <is>
          <t>Moderate</t>
        </is>
      </c>
      <c r="AP195" s="48" t="inlineStr">
        <is>
          <t>Myanmar</t>
        </is>
      </c>
      <c r="AQ195" s="48" t="inlineStr">
        <is>
          <t>NA</t>
        </is>
      </c>
      <c r="AR195" s="48" t="inlineStr">
        <is>
          <t>Spanish (C1)</t>
        </is>
      </c>
      <c r="AS195" s="48" t="inlineStr">
        <is>
          <t>Buddhist</t>
        </is>
      </c>
      <c r="AT195" s="48" t="inlineStr">
        <is>
          <t>Law &amp; Legal Services</t>
        </is>
      </c>
      <c r="AU195" s="48" t="inlineStr">
        <is>
          <t>Community Worker</t>
        </is>
      </c>
      <c r="AV195" s="48" t="inlineStr">
        <is>
          <t>Counselling</t>
        </is>
      </c>
      <c r="AW195" s="48" t="inlineStr">
        <is>
          <t>Language learning; Self-development</t>
        </is>
      </c>
      <c r="AX195" s="48" t="inlineStr">
        <is>
          <t>Refugee</t>
        </is>
      </c>
      <c r="AY195" s="48" t="inlineStr">
        <is>
          <t>No</t>
        </is>
      </c>
      <c r="AZ195" s="48" t="inlineStr">
        <is>
          <t>Yes</t>
        </is>
      </c>
      <c r="BA195" s="48" t="inlineStr">
        <is>
          <t>NA</t>
        </is>
      </c>
      <c r="BB195" s="48" t="inlineStr">
        <is>
          <t>NA</t>
        </is>
      </c>
      <c r="BC195" s="48" t="inlineStr">
        <is>
          <t>NA</t>
        </is>
      </c>
      <c r="BD195" s="48" t="inlineStr">
        <is>
          <t>NA</t>
        </is>
      </c>
      <c r="BE195" s="48" t="inlineStr"/>
      <c r="BF195" s="48" t="inlineStr"/>
      <c r="BG195" s="48" t="inlineStr">
        <is>
          <t>NA</t>
        </is>
      </c>
      <c r="BH195" s="48" t="inlineStr">
        <is>
          <t>NA - Student</t>
        </is>
      </c>
      <c r="BI195" s="48" t="inlineStr">
        <is>
          <t>Asylum Seeker Resource Centre</t>
        </is>
      </c>
      <c r="BJ195" s="48" t="inlineStr">
        <is>
          <t>ZULMAN Levi</t>
        </is>
      </c>
      <c r="BK195" s="48" t="inlineStr">
        <is>
          <t>THET Moh Moh</t>
        </is>
      </c>
      <c r="BL195" s="48" t="inlineStr">
        <is>
          <t>Synthetic test record.</t>
        </is>
      </c>
      <c r="BM195" s="48" t="inlineStr"/>
      <c r="BN195" s="48">
        <f>TRIM(IF(AND($H195="Student",$J195="ADM-ACT-MAT-CNE"),"Invalid: Student cannot be CNE. ","")&amp;IF(AND($H195="Student",ISNUMBER($O195)),"Check: capacity set for a Student. ","")&amp;IF(AND(LEFT($J195,11)="ADM-ACT-MAT",$P195=0),"Check: matched status but 0 active pairings. ","")&amp;IF(AND($H195="Tutor",ISNUMBER($O195),$P195&gt;$O195),"Check: pairings exceed capacity. ","")&amp;IF(AND($BH195="Everyone",NOT(AND($BD195="Yes",$BG195="Yes"))),"Check: approved to tutor children but WWCC not provided/confirmed. ","")&amp;IF(AND($P195&gt;0,NOT(AND(OR(LEFT($AY195,3)="Yes",LEFT($AY195,2)="NA"),OR(LEFT($AZ195,3)="Yes",LEFT($AZ195,2)="NA")))),"Matched but vetting incomplete (interview/reference). ","")&amp;IF(COUNTIF($B$3:$B$600,$B195)&gt;1,"Duplicate participant name. ",""))</f>
        <v/>
      </c>
      <c r="BO195" s="48" t="inlineStr"/>
      <c r="BP195" s="48" t="inlineStr"/>
      <c r="BQ195" s="48" t="inlineStr"/>
      <c r="BR195" s="48" t="inlineStr"/>
      <c r="BS195" s="48" t="inlineStr"/>
      <c r="BT195" s="48" t="inlineStr"/>
      <c r="BU195" s="48" t="inlineStr"/>
      <c r="BV195" s="48" t="inlineStr"/>
      <c r="BW195" s="48" t="inlineStr"/>
      <c r="BX195" s="48" t="inlineStr"/>
      <c r="BY195" s="48" t="inlineStr"/>
      <c r="BZ195" s="48" t="inlineStr"/>
      <c r="CA195" s="48" t="inlineStr"/>
      <c r="CB195" s="48" t="inlineStr"/>
      <c r="CC195" s="48" t="inlineStr"/>
      <c r="CD195" s="48" t="inlineStr"/>
      <c r="CE195" s="48" t="inlineStr"/>
      <c r="CF195" s="48" t="inlineStr"/>
      <c r="CG195" s="48" t="inlineStr"/>
      <c r="CH195" s="48" t="inlineStr"/>
      <c r="CI195" s="48" t="inlineStr"/>
      <c r="CJ195" s="48" t="inlineStr"/>
      <c r="CK195" s="48" t="inlineStr"/>
      <c r="CL195" s="48" t="inlineStr"/>
      <c r="CM195" s="48" t="inlineStr"/>
      <c r="CN195" s="48" t="inlineStr"/>
      <c r="CO195" s="48" t="inlineStr"/>
      <c r="CP195" s="48" t="inlineStr"/>
      <c r="CQ195" s="48" t="inlineStr"/>
      <c r="CR195" s="48" t="inlineStr"/>
      <c r="CS195" s="48">
        <f>IF(LEFT($J195,3)="ERR",0,1)</f>
        <v/>
      </c>
      <c r="CT195" s="48">
        <f>IF(LEFT($J195,3)="ADM",1,0)</f>
        <v/>
      </c>
      <c r="CU195" s="48">
        <f>IF(OR($J195="ADM-ACT-MAT-CNE",$J195="ADM-ACT-MAT-CE",$J195="ADM-INACT-M&amp;T"),1,0)</f>
        <v/>
      </c>
      <c r="CV195" s="48">
        <f>IF(AND(CU195=1,ISNUMBER(M195),ISNUMBER(I195)),M195-I195,"")</f>
        <v/>
      </c>
      <c r="CW195" s="48">
        <f>IF(ISNUMBER(I195),TODAY()-I195,"")</f>
        <v/>
      </c>
      <c r="CX195" s="48">
        <f>IF(ISNUMBER(I195),DATE(YEAR(I195),MONTH(I195),1),"")</f>
        <v/>
      </c>
      <c r="CY195" s="48">
        <f>IFERROR(DATEDIF(AK195,TODAY(),"y"),"")</f>
        <v/>
      </c>
      <c r="CZ195" s="48">
        <f>IF(CY195="","",IF(CY195&lt;28,"18-27",IF(CY195&lt;38,"28-37",IF(CY195&lt;48,"38-47",IF(CY195&lt;58,"48-57",IF(CY195&lt;68,"58-67",IF(CY195&lt;78,"68-77","78+")))))) </f>
        <v/>
      </c>
      <c r="DA195" s="48">
        <f>IF(AND(BQ195&lt;&gt;"",BR195=""),N(BS195),0)+IF(AND(BW195&lt;&gt;"",BX195=""),N(BY195),0)+IF(AND(CC195&lt;&gt;"",CD195=""),N(CE195),0)+IF(AND(CI195&lt;&gt;"",CJ195=""),N(CK195),0)+IF(AND(CO195&lt;&gt;"",CP195=""),N(CQ195),0)</f>
        <v/>
      </c>
      <c r="DB195" s="48">
        <f>ROUND(IF(BQ195&lt;&gt;"",N(BS195)*MAX(0,((IF(BR195="",TODAY(),BR195))-BQ195)/7),0)+IF(BW195&lt;&gt;"",N(BY195)*MAX(0,((IF(BX195="",TODAY(),BX195))-BW195)/7),0)+IF(CC195&lt;&gt;"",N(CE195)*MAX(0,((IF(CD195="",TODAY(),CD195))-CC195)/7),0)+IF(CI195&lt;&gt;"",N(CK195)*MAX(0,((IF(CJ195="",TODAY(),CJ195))-CI195)/7),0)+IF(CO195&lt;&gt;"",N(CQ195)*MAX(0,((IF(CP195="",TODAY(),CP195))-CO195)/7),0),1)</f>
        <v/>
      </c>
      <c r="DC195" s="48">
        <f>IF(OR(TRIM(X195)="",TRIM(X195)="NA;",TRIM(X195)="NA"),0,1)</f>
        <v/>
      </c>
      <c r="DD195" s="48">
        <f>IF(OR(TRIM(Y195)="",TRIM(Y195)="NA;",TRIM(Y195)="NA"),0,1)</f>
        <v/>
      </c>
      <c r="DE195" s="48">
        <f>IF(OR(TRIM(Z195)="",TRIM(Z195)="NA;",TRIM(Z195)="NA"),0,1)</f>
        <v/>
      </c>
      <c r="DF195" s="48">
        <f>IF(OR(TRIM(AA195)="",TRIM(AA195)="NA;",TRIM(AA195)="NA"),0,1)</f>
        <v/>
      </c>
      <c r="DG195" s="48">
        <f>IF(OR(TRIM(AB195)="",TRIM(AB195)="NA;",TRIM(AB195)="NA"),0,1)</f>
        <v/>
      </c>
      <c r="DH195" s="48">
        <f>IF(OR(TRIM(AC195)="",TRIM(AC195)="NA;",TRIM(AC195)="NA"),0,1)</f>
        <v/>
      </c>
      <c r="DI195" s="48">
        <f>IF(OR(TRIM(AD195)="",TRIM(AD195)="NA;",TRIM(AD195)="NA"),0,1)</f>
        <v/>
      </c>
      <c r="DJ195" s="48">
        <f>TRIM(IF(DC195=1,"Mon ","")&amp;IF(DD195=1,"Tue ","")&amp;IF(DE195=1,"Wed ","")&amp;IF(DF195=1,"Thu ","")&amp;IF(DG195=1,"Fri ","")&amp;IF(DH195=1,"Sat ","")&amp;IF(DI195=1,"Sun ",""))</f>
        <v/>
      </c>
    </row>
    <row r="196">
      <c r="A196" s="48" t="inlineStr">
        <is>
          <t>S-N-00044</t>
        </is>
      </c>
      <c r="B196" s="48" t="inlineStr">
        <is>
          <t>Laura Morris</t>
        </is>
      </c>
      <c r="C196" s="48" t="inlineStr">
        <is>
          <t>laura.morris94@example.com</t>
        </is>
      </c>
      <c r="D196" s="48" t="inlineStr">
        <is>
          <t>+61 468 887 242</t>
        </is>
      </c>
      <c r="E196" s="48" t="inlineStr">
        <is>
          <t>Sara Levi</t>
        </is>
      </c>
      <c r="F196" s="48" t="inlineStr">
        <is>
          <t>+61 477 746 832</t>
        </is>
      </c>
      <c r="G196" s="48" t="inlineStr">
        <is>
          <t>Friend</t>
        </is>
      </c>
      <c r="H196" s="48" t="inlineStr">
        <is>
          <t>Student</t>
        </is>
      </c>
      <c r="I196" s="49" t="n">
        <v>45951</v>
      </c>
      <c r="J196" s="48" t="inlineStr">
        <is>
          <t>ADM-ACT-MAT-CE</t>
        </is>
      </c>
      <c r="K196" s="48">
        <f>IFERROR(VLOOKUP(J196,'(A) Introduction'!$B$35:$C$45,2,FALSE),"")</f>
        <v/>
      </c>
      <c r="L196" s="48" t="inlineStr">
        <is>
          <t>No</t>
        </is>
      </c>
      <c r="M196" s="49" t="n">
        <v>45994</v>
      </c>
      <c r="N196" s="48" t="inlineStr"/>
      <c r="O196" s="48" t="inlineStr">
        <is>
          <t>NA</t>
        </is>
      </c>
      <c r="P196" s="48">
        <f>IF($H196="Tutor",((BQ196&lt;&gt;"")*(BR196=""))+((BW196&lt;&gt;"")*(BX196=""))+((CC196&lt;&gt;"")*(CD196=""))+((CI196&lt;&gt;"")*(CJ196=""))+((CO196&lt;&gt;"")*(CP196="")),SUMPRODUCT(--($BO$3:$BO$202=$A196),--($BR$3:$BR$202=""))+SUMPRODUCT(--($BU$3:$BU$202=$A196),--($BX$3:$BX$202=""))+SUMPRODUCT(--($CA$3:$CA$202=$A196),--($CD$3:$CD$202=""))+SUMPRODUCT(--($CG$3:$CG$202=$A196),--($CJ$3:$CJ$202=""))+SUMPRODUCT(--($CM$3:$CM$202=$A196),--($CP$3:$CP$202="")))</f>
        <v/>
      </c>
      <c r="Q196" s="48">
        <f>IF($H196="Tutor",(BQ196&lt;&gt;"")+(BW196&lt;&gt;"")+(CC196&lt;&gt;"")+(CI196&lt;&gt;"")+(CO196&lt;&gt;""),SUMPRODUCT(--($BO$3:$BO$202=$A196))+SUMPRODUCT(--($BU$3:$BU$202=$A196))+SUMPRODUCT(--($CA$3:$CA$202=$A196))+SUMPRODUCT(--($CG$3:$CG$202=$A196))+SUMPRODUCT(--($CM$3:$CM$202=$A196)))</f>
        <v/>
      </c>
      <c r="R196" s="48">
        <f>IF($H196="Tutor",TRIM(IF(AND(BQ196&lt;&gt;"",BR196=""),BP196&amp;"; ","")&amp;IF(AND(BW196&lt;&gt;"",BX196=""),BV196&amp;"; ","")&amp;IF(AND(CC196&lt;&gt;"",CD196=""),CB196&amp;"; ","")&amp;IF(AND(CI196&lt;&gt;"",CJ196=""),CH196&amp;"; ","")&amp;IF(AND(CO196&lt;&gt;"",CP196=""),CN196&amp;"; ","")),IFERROR(INDEX($A$3:$B$202,(SUMPRODUCT(($BO$3:$BO$202=$A196)*($BR$3:$BR$202="")*ROW($BO$3:$BO$202))+SUMPRODUCT(($BU$3:$BU$202=$A196)*($BX$3:$BX$202="")*ROW($BU$3:$BU$202))+SUMPRODUCT(($CA$3:$CA$202=$A196)*($CD$3:$CD$202="")*ROW($CA$3:$CA$202))+SUMPRODUCT(($CG$3:$CG$202=$A196)*($CJ$3:$CJ$202="")*ROW($CG$3:$CG$202))+SUMPRODUCT(($CM$3:$CM$202=$A196)*($CP$3:$CP$202="")*ROW($CM$3:$CM$202)))-2,2),""))</f>
        <v/>
      </c>
      <c r="S196" s="48" t="inlineStr">
        <is>
          <t>Not Provided</t>
        </is>
      </c>
      <c r="T196" s="48" t="inlineStr"/>
      <c r="U196" s="48" t="inlineStr"/>
      <c r="V196" s="49" t="n">
        <v>45800</v>
      </c>
      <c r="W196" s="48" t="inlineStr">
        <is>
          <t>AEST (UTC+10)</t>
        </is>
      </c>
      <c r="X196" s="48" t="inlineStr">
        <is>
          <t>12pm-3pm;6pm-9pm;</t>
        </is>
      </c>
      <c r="Y196" s="48" t="inlineStr">
        <is>
          <t>3pm-6pm;</t>
        </is>
      </c>
      <c r="Z196" s="48" t="inlineStr">
        <is>
          <t>3pm-6pm;</t>
        </is>
      </c>
      <c r="AA196" s="48" t="inlineStr">
        <is>
          <t>6pm-9pm;</t>
        </is>
      </c>
      <c r="AB196" s="48" t="inlineStr">
        <is>
          <t>12pm-3pm;</t>
        </is>
      </c>
      <c r="AC196" s="48" t="inlineStr">
        <is>
          <t>3pm-6pm;</t>
        </is>
      </c>
      <c r="AD196" s="48" t="inlineStr">
        <is>
          <t>12pm-3pm;</t>
        </is>
      </c>
      <c r="AE196" s="48" t="inlineStr">
        <is>
          <t>Online</t>
        </is>
      </c>
      <c r="AF196" s="48" t="inlineStr">
        <is>
          <t>Multiple devices</t>
        </is>
      </c>
      <c r="AG196" s="48" t="inlineStr">
        <is>
          <t>Australia</t>
        </is>
      </c>
      <c r="AH196" s="48" t="inlineStr">
        <is>
          <t>New South Wales</t>
        </is>
      </c>
      <c r="AI196" s="48" t="inlineStr">
        <is>
          <t>Canterbury</t>
        </is>
      </c>
      <c r="AJ196" s="48" t="inlineStr">
        <is>
          <t>2193</t>
        </is>
      </c>
      <c r="AK196" s="49" t="n">
        <v>32991</v>
      </c>
      <c r="AL196" s="48" t="inlineStr">
        <is>
          <t>Male</t>
        </is>
      </c>
      <c r="AM196" s="48" t="inlineStr">
        <is>
          <t>Yes</t>
        </is>
      </c>
      <c r="AN196" s="48" t="inlineStr">
        <is>
          <t>A1</t>
        </is>
      </c>
      <c r="AO196" s="48" t="inlineStr">
        <is>
          <t>High</t>
        </is>
      </c>
      <c r="AP196" s="48" t="inlineStr">
        <is>
          <t>Syria</t>
        </is>
      </c>
      <c r="AQ196" s="48" t="inlineStr">
        <is>
          <t>NA</t>
        </is>
      </c>
      <c r="AR196" s="48" t="inlineStr">
        <is>
          <t>Burmese (C1)</t>
        </is>
      </c>
      <c r="AS196" s="48" t="inlineStr">
        <is>
          <t>NA</t>
        </is>
      </c>
      <c r="AT196" s="48" t="inlineStr">
        <is>
          <t>Trades &amp; Construction</t>
        </is>
      </c>
      <c r="AU196" s="48" t="inlineStr">
        <is>
          <t>Cleaner</t>
        </is>
      </c>
      <c r="AV196" s="48" t="inlineStr">
        <is>
          <t>Counselling</t>
        </is>
      </c>
      <c r="AW196" s="48" t="inlineStr">
        <is>
          <t>Language learning; Self-development</t>
        </is>
      </c>
      <c r="AX196" s="48" t="inlineStr">
        <is>
          <t>Asylum Seeker</t>
        </is>
      </c>
      <c r="AY196" s="48" t="inlineStr">
        <is>
          <t>Yes</t>
        </is>
      </c>
      <c r="AZ196" s="48" t="inlineStr">
        <is>
          <t>Yes</t>
        </is>
      </c>
      <c r="BA196" s="48" t="inlineStr">
        <is>
          <t>NA</t>
        </is>
      </c>
      <c r="BB196" s="48" t="inlineStr">
        <is>
          <t>NA</t>
        </is>
      </c>
      <c r="BC196" s="48" t="inlineStr">
        <is>
          <t>NA</t>
        </is>
      </c>
      <c r="BD196" s="48" t="inlineStr">
        <is>
          <t>NA</t>
        </is>
      </c>
      <c r="BE196" s="48" t="inlineStr"/>
      <c r="BF196" s="48" t="inlineStr"/>
      <c r="BG196" s="48" t="inlineStr">
        <is>
          <t>NA</t>
        </is>
      </c>
      <c r="BH196" s="48" t="inlineStr">
        <is>
          <t>NA - Student</t>
        </is>
      </c>
      <c r="BI196" s="48" t="inlineStr">
        <is>
          <t>National Justice Project</t>
        </is>
      </c>
      <c r="BJ196" s="48" t="inlineStr">
        <is>
          <t>SHANAHAN Jack</t>
        </is>
      </c>
      <c r="BK196" s="48" t="inlineStr">
        <is>
          <t>CROCK Mary</t>
        </is>
      </c>
      <c r="BL196" s="48" t="inlineStr">
        <is>
          <t>Synthetic test record.</t>
        </is>
      </c>
      <c r="BM196" s="48" t="inlineStr"/>
      <c r="BN196" s="48">
        <f>TRIM(IF(AND($H196="Student",$J196="ADM-ACT-MAT-CNE"),"Invalid: Student cannot be CNE. ","")&amp;IF(AND($H196="Student",ISNUMBER($O196)),"Check: capacity set for a Student. ","")&amp;IF(AND(LEFT($J196,11)="ADM-ACT-MAT",$P196=0),"Check: matched status but 0 active pairings. ","")&amp;IF(AND($H196="Tutor",ISNUMBER($O196),$P196&gt;$O196),"Check: pairings exceed capacity. ","")&amp;IF(AND($BH196="Everyone",NOT(AND($BD196="Yes",$BG196="Yes"))),"Check: approved to tutor children but WWCC not provided/confirmed. ","")&amp;IF(AND($P196&gt;0,NOT(AND(OR(LEFT($AY196,3)="Yes",LEFT($AY196,2)="NA"),OR(LEFT($AZ196,3)="Yes",LEFT($AZ196,2)="NA")))),"Matched but vetting incomplete (interview/reference). ","")&amp;IF(COUNTIF($B$3:$B$600,$B196)&gt;1,"Duplicate participant name. ",""))</f>
        <v/>
      </c>
      <c r="BO196" s="48" t="inlineStr"/>
      <c r="BP196" s="48" t="inlineStr"/>
      <c r="BQ196" s="48" t="inlineStr"/>
      <c r="BR196" s="48" t="inlineStr"/>
      <c r="BS196" s="48" t="inlineStr"/>
      <c r="BT196" s="48" t="inlineStr"/>
      <c r="BU196" s="48" t="inlineStr"/>
      <c r="BV196" s="48" t="inlineStr"/>
      <c r="BW196" s="48" t="inlineStr"/>
      <c r="BX196" s="48" t="inlineStr"/>
      <c r="BY196" s="48" t="inlineStr"/>
      <c r="BZ196" s="48" t="inlineStr"/>
      <c r="CA196" s="48" t="inlineStr"/>
      <c r="CB196" s="48" t="inlineStr"/>
      <c r="CC196" s="48" t="inlineStr"/>
      <c r="CD196" s="48" t="inlineStr"/>
      <c r="CE196" s="48" t="inlineStr"/>
      <c r="CF196" s="48" t="inlineStr"/>
      <c r="CG196" s="48" t="inlineStr"/>
      <c r="CH196" s="48" t="inlineStr"/>
      <c r="CI196" s="48" t="inlineStr"/>
      <c r="CJ196" s="48" t="inlineStr"/>
      <c r="CK196" s="48" t="inlineStr"/>
      <c r="CL196" s="48" t="inlineStr"/>
      <c r="CM196" s="48" t="inlineStr"/>
      <c r="CN196" s="48" t="inlineStr"/>
      <c r="CO196" s="48" t="inlineStr"/>
      <c r="CP196" s="48" t="inlineStr"/>
      <c r="CQ196" s="48" t="inlineStr"/>
      <c r="CR196" s="48" t="inlineStr"/>
      <c r="CS196" s="48">
        <f>IF(LEFT($J196,3)="ERR",0,1)</f>
        <v/>
      </c>
      <c r="CT196" s="48">
        <f>IF(LEFT($J196,3)="ADM",1,0)</f>
        <v/>
      </c>
      <c r="CU196" s="48">
        <f>IF(OR($J196="ADM-ACT-MAT-CNE",$J196="ADM-ACT-MAT-CE",$J196="ADM-INACT-M&amp;T"),1,0)</f>
        <v/>
      </c>
      <c r="CV196" s="48">
        <f>IF(AND(CU196=1,ISNUMBER(M196),ISNUMBER(I196)),M196-I196,"")</f>
        <v/>
      </c>
      <c r="CW196" s="48">
        <f>IF(ISNUMBER(I196),TODAY()-I196,"")</f>
        <v/>
      </c>
      <c r="CX196" s="48">
        <f>IF(ISNUMBER(I196),DATE(YEAR(I196),MONTH(I196),1),"")</f>
        <v/>
      </c>
      <c r="CY196" s="48">
        <f>IFERROR(DATEDIF(AK196,TODAY(),"y"),"")</f>
        <v/>
      </c>
      <c r="CZ196" s="48">
        <f>IF(CY196="","",IF(CY196&lt;28,"18-27",IF(CY196&lt;38,"28-37",IF(CY196&lt;48,"38-47",IF(CY196&lt;58,"48-57",IF(CY196&lt;68,"58-67",IF(CY196&lt;78,"68-77","78+")))))) </f>
        <v/>
      </c>
      <c r="DA196" s="48">
        <f>IF(AND(BQ196&lt;&gt;"",BR196=""),N(BS196),0)+IF(AND(BW196&lt;&gt;"",BX196=""),N(BY196),0)+IF(AND(CC196&lt;&gt;"",CD196=""),N(CE196),0)+IF(AND(CI196&lt;&gt;"",CJ196=""),N(CK196),0)+IF(AND(CO196&lt;&gt;"",CP196=""),N(CQ196),0)</f>
        <v/>
      </c>
      <c r="DB196" s="48">
        <f>ROUND(IF(BQ196&lt;&gt;"",N(BS196)*MAX(0,((IF(BR196="",TODAY(),BR196))-BQ196)/7),0)+IF(BW196&lt;&gt;"",N(BY196)*MAX(0,((IF(BX196="",TODAY(),BX196))-BW196)/7),0)+IF(CC196&lt;&gt;"",N(CE196)*MAX(0,((IF(CD196="",TODAY(),CD196))-CC196)/7),0)+IF(CI196&lt;&gt;"",N(CK196)*MAX(0,((IF(CJ196="",TODAY(),CJ196))-CI196)/7),0)+IF(CO196&lt;&gt;"",N(CQ196)*MAX(0,((IF(CP196="",TODAY(),CP196))-CO196)/7),0),1)</f>
        <v/>
      </c>
      <c r="DC196" s="48">
        <f>IF(OR(TRIM(X196)="",TRIM(X196)="NA;",TRIM(X196)="NA"),0,1)</f>
        <v/>
      </c>
      <c r="DD196" s="48">
        <f>IF(OR(TRIM(Y196)="",TRIM(Y196)="NA;",TRIM(Y196)="NA"),0,1)</f>
        <v/>
      </c>
      <c r="DE196" s="48">
        <f>IF(OR(TRIM(Z196)="",TRIM(Z196)="NA;",TRIM(Z196)="NA"),0,1)</f>
        <v/>
      </c>
      <c r="DF196" s="48">
        <f>IF(OR(TRIM(AA196)="",TRIM(AA196)="NA;",TRIM(AA196)="NA"),0,1)</f>
        <v/>
      </c>
      <c r="DG196" s="48">
        <f>IF(OR(TRIM(AB196)="",TRIM(AB196)="NA;",TRIM(AB196)="NA"),0,1)</f>
        <v/>
      </c>
      <c r="DH196" s="48">
        <f>IF(OR(TRIM(AC196)="",TRIM(AC196)="NA;",TRIM(AC196)="NA"),0,1)</f>
        <v/>
      </c>
      <c r="DI196" s="48">
        <f>IF(OR(TRIM(AD196)="",TRIM(AD196)="NA;",TRIM(AD196)="NA"),0,1)</f>
        <v/>
      </c>
      <c r="DJ196" s="48">
        <f>TRIM(IF(DC196=1,"Mon ","")&amp;IF(DD196=1,"Tue ","")&amp;IF(DE196=1,"Wed ","")&amp;IF(DF196=1,"Thu ","")&amp;IF(DG196=1,"Fri ","")&amp;IF(DH196=1,"Sat ","")&amp;IF(DI196=1,"Sun ",""))</f>
        <v/>
      </c>
    </row>
    <row r="197">
      <c r="A197" s="48" t="inlineStr">
        <is>
          <t>S-N-00045</t>
        </is>
      </c>
      <c r="B197" s="48" t="inlineStr">
        <is>
          <t>Sam Marks</t>
        </is>
      </c>
      <c r="C197" s="48" t="inlineStr">
        <is>
          <t>sam.marks95@example.com</t>
        </is>
      </c>
      <c r="D197" s="48" t="inlineStr">
        <is>
          <t>+61 488 028 780</t>
        </is>
      </c>
      <c r="E197" s="48" t="inlineStr">
        <is>
          <t>Hala Slaytor</t>
        </is>
      </c>
      <c r="F197" s="48" t="inlineStr">
        <is>
          <t>+61 473 229 021</t>
        </is>
      </c>
      <c r="G197" s="48" t="inlineStr">
        <is>
          <t>Spouse</t>
        </is>
      </c>
      <c r="H197" s="48" t="inlineStr">
        <is>
          <t>Student</t>
        </is>
      </c>
      <c r="I197" s="49" t="n">
        <v>45953</v>
      </c>
      <c r="J197" s="48" t="inlineStr">
        <is>
          <t>NADM-UNP</t>
        </is>
      </c>
      <c r="K197" s="48">
        <f>IFERROR(VLOOKUP(J197,'(A) Introduction'!$B$35:$C$45,2,FALSE),"")</f>
        <v/>
      </c>
      <c r="L197" s="48" t="inlineStr">
        <is>
          <t>No</t>
        </is>
      </c>
      <c r="M197" s="48" t="inlineStr"/>
      <c r="N197" s="48" t="inlineStr"/>
      <c r="O197" s="48" t="inlineStr">
        <is>
          <t>NA</t>
        </is>
      </c>
      <c r="P197" s="48">
        <f>IF($H197="Tutor",((BQ197&lt;&gt;"")*(BR197=""))+((BW197&lt;&gt;"")*(BX197=""))+((CC197&lt;&gt;"")*(CD197=""))+((CI197&lt;&gt;"")*(CJ197=""))+((CO197&lt;&gt;"")*(CP197="")),SUMPRODUCT(--($BO$3:$BO$202=$A197),--($BR$3:$BR$202=""))+SUMPRODUCT(--($BU$3:$BU$202=$A197),--($BX$3:$BX$202=""))+SUMPRODUCT(--($CA$3:$CA$202=$A197),--($CD$3:$CD$202=""))+SUMPRODUCT(--($CG$3:$CG$202=$A197),--($CJ$3:$CJ$202=""))+SUMPRODUCT(--($CM$3:$CM$202=$A197),--($CP$3:$CP$202="")))</f>
        <v/>
      </c>
      <c r="Q197" s="48">
        <f>IF($H197="Tutor",(BQ197&lt;&gt;"")+(BW197&lt;&gt;"")+(CC197&lt;&gt;"")+(CI197&lt;&gt;"")+(CO197&lt;&gt;""),SUMPRODUCT(--($BO$3:$BO$202=$A197))+SUMPRODUCT(--($BU$3:$BU$202=$A197))+SUMPRODUCT(--($CA$3:$CA$202=$A197))+SUMPRODUCT(--($CG$3:$CG$202=$A197))+SUMPRODUCT(--($CM$3:$CM$202=$A197)))</f>
        <v/>
      </c>
      <c r="R197" s="48">
        <f>IF($H197="Tutor",TRIM(IF(AND(BQ197&lt;&gt;"",BR197=""),BP197&amp;"; ","")&amp;IF(AND(BW197&lt;&gt;"",BX197=""),BV197&amp;"; ","")&amp;IF(AND(CC197&lt;&gt;"",CD197=""),CB197&amp;"; ","")&amp;IF(AND(CI197&lt;&gt;"",CJ197=""),CH197&amp;"; ","")&amp;IF(AND(CO197&lt;&gt;"",CP197=""),CN197&amp;"; ","")),IFERROR(INDEX($A$3:$B$202,(SUMPRODUCT(($BO$3:$BO$202=$A197)*($BR$3:$BR$202="")*ROW($BO$3:$BO$202))+SUMPRODUCT(($BU$3:$BU$202=$A197)*($BX$3:$BX$202="")*ROW($BU$3:$BU$202))+SUMPRODUCT(($CA$3:$CA$202=$A197)*($CD$3:$CD$202="")*ROW($CA$3:$CA$202))+SUMPRODUCT(($CG$3:$CG$202=$A197)*($CJ$3:$CJ$202="")*ROW($CG$3:$CG$202))+SUMPRODUCT(($CM$3:$CM$202=$A197)*($CP$3:$CP$202="")*ROW($CM$3:$CM$202)))-2,2),""))</f>
        <v/>
      </c>
      <c r="S197" s="48" t="inlineStr">
        <is>
          <t>NA</t>
        </is>
      </c>
      <c r="T197" s="48" t="inlineStr"/>
      <c r="U197" s="48" t="inlineStr"/>
      <c r="V197" s="48" t="inlineStr"/>
      <c r="W197" s="48" t="inlineStr">
        <is>
          <t>ACDT (UTC+10:30)</t>
        </is>
      </c>
      <c r="X197" s="48" t="inlineStr">
        <is>
          <t>9am-12pm;</t>
        </is>
      </c>
      <c r="Y197" s="48" t="inlineStr">
        <is>
          <t>6pm-9pm;</t>
        </is>
      </c>
      <c r="Z197" s="48" t="inlineStr">
        <is>
          <t>9am-12pm;</t>
        </is>
      </c>
      <c r="AA197" s="48" t="inlineStr">
        <is>
          <t>NA;</t>
        </is>
      </c>
      <c r="AB197" s="48" t="inlineStr">
        <is>
          <t>12pm-3pm;6pm-9pm;</t>
        </is>
      </c>
      <c r="AC197" s="48" t="inlineStr">
        <is>
          <t>12pm-3pm;</t>
        </is>
      </c>
      <c r="AD197" s="48" t="inlineStr">
        <is>
          <t>3pm-6pm;</t>
        </is>
      </c>
      <c r="AE197" s="48" t="inlineStr">
        <is>
          <t>In-Person</t>
        </is>
      </c>
      <c r="AF197" s="48" t="inlineStr">
        <is>
          <t>Computer</t>
        </is>
      </c>
      <c r="AG197" s="48" t="inlineStr">
        <is>
          <t>Australia</t>
        </is>
      </c>
      <c r="AH197" s="48" t="inlineStr">
        <is>
          <t>New South Wales</t>
        </is>
      </c>
      <c r="AI197" s="48" t="inlineStr">
        <is>
          <t>Blacktown</t>
        </is>
      </c>
      <c r="AJ197" s="48" t="inlineStr">
        <is>
          <t>2148</t>
        </is>
      </c>
      <c r="AK197" s="49" t="n">
        <v>24462</v>
      </c>
      <c r="AL197" s="48" t="inlineStr">
        <is>
          <t>Female</t>
        </is>
      </c>
      <c r="AM197" s="48" t="inlineStr">
        <is>
          <t>No</t>
        </is>
      </c>
      <c r="AN197" s="48" t="inlineStr">
        <is>
          <t>A2</t>
        </is>
      </c>
      <c r="AO197" s="48" t="inlineStr">
        <is>
          <t>Outstanding</t>
        </is>
      </c>
      <c r="AP197" s="48" t="inlineStr">
        <is>
          <t>Ukraine</t>
        </is>
      </c>
      <c r="AQ197" s="48" t="inlineStr">
        <is>
          <t>NA</t>
        </is>
      </c>
      <c r="AR197" s="48" t="inlineStr">
        <is>
          <t>Spanish (C1)</t>
        </is>
      </c>
      <c r="AS197" s="48" t="inlineStr">
        <is>
          <t>None</t>
        </is>
      </c>
      <c r="AT197" s="48" t="inlineStr">
        <is>
          <t>Childcare &amp; Aged Care</t>
        </is>
      </c>
      <c r="AU197" s="48" t="inlineStr">
        <is>
          <t>Aged Care Worker</t>
        </is>
      </c>
      <c r="AV197" s="48" t="inlineStr">
        <is>
          <t>Counselling</t>
        </is>
      </c>
      <c r="AW197" s="48" t="inlineStr">
        <is>
          <t>Language learning; Self-development</t>
        </is>
      </c>
      <c r="AX197" s="48" t="inlineStr">
        <is>
          <t>Asylum Seeker</t>
        </is>
      </c>
      <c r="AY197" s="48" t="inlineStr">
        <is>
          <t>Yes</t>
        </is>
      </c>
      <c r="AZ197" s="48" t="inlineStr">
        <is>
          <t>Yes</t>
        </is>
      </c>
      <c r="BA197" s="48" t="inlineStr">
        <is>
          <t>NA</t>
        </is>
      </c>
      <c r="BB197" s="48" t="inlineStr">
        <is>
          <t>NA</t>
        </is>
      </c>
      <c r="BC197" s="48" t="inlineStr">
        <is>
          <t>NA</t>
        </is>
      </c>
      <c r="BD197" s="48" t="inlineStr">
        <is>
          <t>NA</t>
        </is>
      </c>
      <c r="BE197" s="48" t="inlineStr"/>
      <c r="BF197" s="48" t="inlineStr"/>
      <c r="BG197" s="48" t="inlineStr">
        <is>
          <t>NA</t>
        </is>
      </c>
      <c r="BH197" s="48" t="inlineStr">
        <is>
          <t>NA - Student</t>
        </is>
      </c>
      <c r="BI197" s="48" t="inlineStr">
        <is>
          <t>Settlement Services International</t>
        </is>
      </c>
      <c r="BJ197" s="48" t="inlineStr">
        <is>
          <t>MCCLELLAND Reeve</t>
        </is>
      </c>
      <c r="BK197" s="48" t="inlineStr">
        <is>
          <t>HALLORAN Isobel</t>
        </is>
      </c>
      <c r="BL197" s="48" t="inlineStr">
        <is>
          <t>Synthetic test record.</t>
        </is>
      </c>
      <c r="BM197" s="48" t="inlineStr"/>
      <c r="BN197" s="48">
        <f>TRIM(IF(AND($H197="Student",$J197="ADM-ACT-MAT-CNE"),"Invalid: Student cannot be CNE. ","")&amp;IF(AND($H197="Student",ISNUMBER($O197)),"Check: capacity set for a Student. ","")&amp;IF(AND(LEFT($J197,11)="ADM-ACT-MAT",$P197=0),"Check: matched status but 0 active pairings. ","")&amp;IF(AND($H197="Tutor",ISNUMBER($O197),$P197&gt;$O197),"Check: pairings exceed capacity. ","")&amp;IF(AND($BH197="Everyone",NOT(AND($BD197="Yes",$BG197="Yes"))),"Check: approved to tutor children but WWCC not provided/confirmed. ","")&amp;IF(AND($P197&gt;0,NOT(AND(OR(LEFT($AY197,3)="Yes",LEFT($AY197,2)="NA"),OR(LEFT($AZ197,3)="Yes",LEFT($AZ197,2)="NA")))),"Matched but vetting incomplete (interview/reference). ","")&amp;IF(COUNTIF($B$3:$B$600,$B197)&gt;1,"Duplicate participant name. ",""))</f>
        <v/>
      </c>
      <c r="BO197" s="48" t="inlineStr"/>
      <c r="BP197" s="48" t="inlineStr"/>
      <c r="BQ197" s="48" t="inlineStr"/>
      <c r="BR197" s="48" t="inlineStr"/>
      <c r="BS197" s="48" t="inlineStr"/>
      <c r="BT197" s="48" t="inlineStr"/>
      <c r="BU197" s="48" t="inlineStr"/>
      <c r="BV197" s="48" t="inlineStr"/>
      <c r="BW197" s="48" t="inlineStr"/>
      <c r="BX197" s="48" t="inlineStr"/>
      <c r="BY197" s="48" t="inlineStr"/>
      <c r="BZ197" s="48" t="inlineStr"/>
      <c r="CA197" s="48" t="inlineStr"/>
      <c r="CB197" s="48" t="inlineStr"/>
      <c r="CC197" s="48" t="inlineStr"/>
      <c r="CD197" s="48" t="inlineStr"/>
      <c r="CE197" s="48" t="inlineStr"/>
      <c r="CF197" s="48" t="inlineStr"/>
      <c r="CG197" s="48" t="inlineStr"/>
      <c r="CH197" s="48" t="inlineStr"/>
      <c r="CI197" s="48" t="inlineStr"/>
      <c r="CJ197" s="48" t="inlineStr"/>
      <c r="CK197" s="48" t="inlineStr"/>
      <c r="CL197" s="48" t="inlineStr"/>
      <c r="CM197" s="48" t="inlineStr"/>
      <c r="CN197" s="48" t="inlineStr"/>
      <c r="CO197" s="48" t="inlineStr"/>
      <c r="CP197" s="48" t="inlineStr"/>
      <c r="CQ197" s="48" t="inlineStr"/>
      <c r="CR197" s="48" t="inlineStr"/>
      <c r="CS197" s="48">
        <f>IF(LEFT($J197,3)="ERR",0,1)</f>
        <v/>
      </c>
      <c r="CT197" s="48">
        <f>IF(LEFT($J197,3)="ADM",1,0)</f>
        <v/>
      </c>
      <c r="CU197" s="48">
        <f>IF(OR($J197="ADM-ACT-MAT-CNE",$J197="ADM-ACT-MAT-CE",$J197="ADM-INACT-M&amp;T"),1,0)</f>
        <v/>
      </c>
      <c r="CV197" s="48">
        <f>IF(AND(CU197=1,ISNUMBER(M197),ISNUMBER(I197)),M197-I197,"")</f>
        <v/>
      </c>
      <c r="CW197" s="48">
        <f>IF(ISNUMBER(I197),TODAY()-I197,"")</f>
        <v/>
      </c>
      <c r="CX197" s="48">
        <f>IF(ISNUMBER(I197),DATE(YEAR(I197),MONTH(I197),1),"")</f>
        <v/>
      </c>
      <c r="CY197" s="48">
        <f>IFERROR(DATEDIF(AK197,TODAY(),"y"),"")</f>
        <v/>
      </c>
      <c r="CZ197" s="48">
        <f>IF(CY197="","",IF(CY197&lt;28,"18-27",IF(CY197&lt;38,"28-37",IF(CY197&lt;48,"38-47",IF(CY197&lt;58,"48-57",IF(CY197&lt;68,"58-67",IF(CY197&lt;78,"68-77","78+")))))) </f>
        <v/>
      </c>
      <c r="DA197" s="48">
        <f>IF(AND(BQ197&lt;&gt;"",BR197=""),N(BS197),0)+IF(AND(BW197&lt;&gt;"",BX197=""),N(BY197),0)+IF(AND(CC197&lt;&gt;"",CD197=""),N(CE197),0)+IF(AND(CI197&lt;&gt;"",CJ197=""),N(CK197),0)+IF(AND(CO197&lt;&gt;"",CP197=""),N(CQ197),0)</f>
        <v/>
      </c>
      <c r="DB197" s="48">
        <f>ROUND(IF(BQ197&lt;&gt;"",N(BS197)*MAX(0,((IF(BR197="",TODAY(),BR197))-BQ197)/7),0)+IF(BW197&lt;&gt;"",N(BY197)*MAX(0,((IF(BX197="",TODAY(),BX197))-BW197)/7),0)+IF(CC197&lt;&gt;"",N(CE197)*MAX(0,((IF(CD197="",TODAY(),CD197))-CC197)/7),0)+IF(CI197&lt;&gt;"",N(CK197)*MAX(0,((IF(CJ197="",TODAY(),CJ197))-CI197)/7),0)+IF(CO197&lt;&gt;"",N(CQ197)*MAX(0,((IF(CP197="",TODAY(),CP197))-CO197)/7),0),1)</f>
        <v/>
      </c>
      <c r="DC197" s="48">
        <f>IF(OR(TRIM(X197)="",TRIM(X197)="NA;",TRIM(X197)="NA"),0,1)</f>
        <v/>
      </c>
      <c r="DD197" s="48">
        <f>IF(OR(TRIM(Y197)="",TRIM(Y197)="NA;",TRIM(Y197)="NA"),0,1)</f>
        <v/>
      </c>
      <c r="DE197" s="48">
        <f>IF(OR(TRIM(Z197)="",TRIM(Z197)="NA;",TRIM(Z197)="NA"),0,1)</f>
        <v/>
      </c>
      <c r="DF197" s="48">
        <f>IF(OR(TRIM(AA197)="",TRIM(AA197)="NA;",TRIM(AA197)="NA"),0,1)</f>
        <v/>
      </c>
      <c r="DG197" s="48">
        <f>IF(OR(TRIM(AB197)="",TRIM(AB197)="NA;",TRIM(AB197)="NA"),0,1)</f>
        <v/>
      </c>
      <c r="DH197" s="48">
        <f>IF(OR(TRIM(AC197)="",TRIM(AC197)="NA;",TRIM(AC197)="NA"),0,1)</f>
        <v/>
      </c>
      <c r="DI197" s="48">
        <f>IF(OR(TRIM(AD197)="",TRIM(AD197)="NA;",TRIM(AD197)="NA"),0,1)</f>
        <v/>
      </c>
      <c r="DJ197" s="48">
        <f>TRIM(IF(DC197=1,"Mon ","")&amp;IF(DD197=1,"Tue ","")&amp;IF(DE197=1,"Wed ","")&amp;IF(DF197=1,"Thu ","")&amp;IF(DG197=1,"Fri ","")&amp;IF(DH197=1,"Sat ","")&amp;IF(DI197=1,"Sun ",""))</f>
        <v/>
      </c>
    </row>
    <row r="198">
      <c r="A198" s="48" t="inlineStr">
        <is>
          <t>S-N-00046</t>
        </is>
      </c>
      <c r="B198" s="48" t="inlineStr">
        <is>
          <t>Daniel Baker</t>
        </is>
      </c>
      <c r="C198" s="48" t="inlineStr">
        <is>
          <t>daniel.baker96@example.com</t>
        </is>
      </c>
      <c r="D198" s="48" t="inlineStr">
        <is>
          <t>+61 411 997 473</t>
        </is>
      </c>
      <c r="E198" s="48" t="inlineStr">
        <is>
          <t>Carlos Green</t>
        </is>
      </c>
      <c r="F198" s="48" t="inlineStr">
        <is>
          <t>+61 427 843 289</t>
        </is>
      </c>
      <c r="G198" s="48" t="inlineStr">
        <is>
          <t>Caseworker</t>
        </is>
      </c>
      <c r="H198" s="48" t="inlineStr">
        <is>
          <t>Student</t>
        </is>
      </c>
      <c r="I198" s="49" t="n">
        <v>45965</v>
      </c>
      <c r="J198" s="48" t="inlineStr">
        <is>
          <t>ADM-ACT-MAT-CE</t>
        </is>
      </c>
      <c r="K198" s="48">
        <f>IFERROR(VLOOKUP(J198,'(A) Introduction'!$B$35:$C$45,2,FALSE),"")</f>
        <v/>
      </c>
      <c r="L198" s="48" t="inlineStr">
        <is>
          <t>No</t>
        </is>
      </c>
      <c r="M198" s="49" t="n">
        <v>46027</v>
      </c>
      <c r="N198" s="48" t="inlineStr"/>
      <c r="O198" s="48" t="inlineStr">
        <is>
          <t>NA</t>
        </is>
      </c>
      <c r="P198" s="48">
        <f>IF($H198="Tutor",((BQ198&lt;&gt;"")*(BR198=""))+((BW198&lt;&gt;"")*(BX198=""))+((CC198&lt;&gt;"")*(CD198=""))+((CI198&lt;&gt;"")*(CJ198=""))+((CO198&lt;&gt;"")*(CP198="")),SUMPRODUCT(--($BO$3:$BO$202=$A198),--($BR$3:$BR$202=""))+SUMPRODUCT(--($BU$3:$BU$202=$A198),--($BX$3:$BX$202=""))+SUMPRODUCT(--($CA$3:$CA$202=$A198),--($CD$3:$CD$202=""))+SUMPRODUCT(--($CG$3:$CG$202=$A198),--($CJ$3:$CJ$202=""))+SUMPRODUCT(--($CM$3:$CM$202=$A198),--($CP$3:$CP$202="")))</f>
        <v/>
      </c>
      <c r="Q198" s="48">
        <f>IF($H198="Tutor",(BQ198&lt;&gt;"")+(BW198&lt;&gt;"")+(CC198&lt;&gt;"")+(CI198&lt;&gt;"")+(CO198&lt;&gt;""),SUMPRODUCT(--($BO$3:$BO$202=$A198))+SUMPRODUCT(--($BU$3:$BU$202=$A198))+SUMPRODUCT(--($CA$3:$CA$202=$A198))+SUMPRODUCT(--($CG$3:$CG$202=$A198))+SUMPRODUCT(--($CM$3:$CM$202=$A198)))</f>
        <v/>
      </c>
      <c r="R198" s="48">
        <f>IF($H198="Tutor",TRIM(IF(AND(BQ198&lt;&gt;"",BR198=""),BP198&amp;"; ","")&amp;IF(AND(BW198&lt;&gt;"",BX198=""),BV198&amp;"; ","")&amp;IF(AND(CC198&lt;&gt;"",CD198=""),CB198&amp;"; ","")&amp;IF(AND(CI198&lt;&gt;"",CJ198=""),CH198&amp;"; ","")&amp;IF(AND(CO198&lt;&gt;"",CP198=""),CN198&amp;"; ","")),IFERROR(INDEX($A$3:$B$202,(SUMPRODUCT(($BO$3:$BO$202=$A198)*($BR$3:$BR$202="")*ROW($BO$3:$BO$202))+SUMPRODUCT(($BU$3:$BU$202=$A198)*($BX$3:$BX$202="")*ROW($BU$3:$BU$202))+SUMPRODUCT(($CA$3:$CA$202=$A198)*($CD$3:$CD$202="")*ROW($CA$3:$CA$202))+SUMPRODUCT(($CG$3:$CG$202=$A198)*($CJ$3:$CJ$202="")*ROW($CG$3:$CG$202))+SUMPRODUCT(($CM$3:$CM$202=$A198)*($CP$3:$CP$202="")*ROW($CM$3:$CM$202)))-2,2),""))</f>
        <v/>
      </c>
      <c r="S198" s="48" t="inlineStr">
        <is>
          <t>Not Provided</t>
        </is>
      </c>
      <c r="T198" s="48" t="inlineStr"/>
      <c r="U198" s="48" t="inlineStr"/>
      <c r="V198" s="49" t="n">
        <v>45718</v>
      </c>
      <c r="W198" s="48" t="inlineStr">
        <is>
          <t>ACDT (UTC+10:30)</t>
        </is>
      </c>
      <c r="X198" s="48" t="inlineStr">
        <is>
          <t>9am-12pm;</t>
        </is>
      </c>
      <c r="Y198" s="48" t="inlineStr">
        <is>
          <t>NA;</t>
        </is>
      </c>
      <c r="Z198" s="48" t="inlineStr">
        <is>
          <t>12pm-3pm;6pm-9pm;</t>
        </is>
      </c>
      <c r="AA198" s="48" t="inlineStr">
        <is>
          <t>12pm-3pm;6pm-9pm;</t>
        </is>
      </c>
      <c r="AB198" s="48" t="inlineStr">
        <is>
          <t>3pm-6pm;</t>
        </is>
      </c>
      <c r="AC198" s="48" t="inlineStr">
        <is>
          <t>9am-12pm;</t>
        </is>
      </c>
      <c r="AD198" s="48" t="inlineStr">
        <is>
          <t>6pm-9pm;</t>
        </is>
      </c>
      <c r="AE198" s="48" t="inlineStr">
        <is>
          <t>In-Person</t>
        </is>
      </c>
      <c r="AF198" s="48" t="inlineStr">
        <is>
          <t>Phone</t>
        </is>
      </c>
      <c r="AG198" s="48" t="inlineStr">
        <is>
          <t>Australia</t>
        </is>
      </c>
      <c r="AH198" s="48" t="inlineStr">
        <is>
          <t>New South Wales</t>
        </is>
      </c>
      <c r="AI198" s="48" t="inlineStr">
        <is>
          <t>Eastlakes</t>
        </is>
      </c>
      <c r="AJ198" s="48" t="inlineStr">
        <is>
          <t>2018</t>
        </is>
      </c>
      <c r="AK198" s="49" t="n">
        <v>38166</v>
      </c>
      <c r="AL198" s="48" t="inlineStr">
        <is>
          <t>Other</t>
        </is>
      </c>
      <c r="AM198" s="48" t="inlineStr">
        <is>
          <t>No</t>
        </is>
      </c>
      <c r="AN198" s="48" t="inlineStr">
        <is>
          <t>A1</t>
        </is>
      </c>
      <c r="AO198" s="48" t="inlineStr">
        <is>
          <t>Outstanding</t>
        </is>
      </c>
      <c r="AP198" s="48" t="inlineStr">
        <is>
          <t>Venezuela</t>
        </is>
      </c>
      <c r="AQ198" s="48" t="inlineStr">
        <is>
          <t>NA</t>
        </is>
      </c>
      <c r="AR198" s="48" t="inlineStr">
        <is>
          <t>Burmese (C1)</t>
        </is>
      </c>
      <c r="AS198" s="48" t="inlineStr">
        <is>
          <t>Christian</t>
        </is>
      </c>
      <c r="AT198" s="48" t="inlineStr">
        <is>
          <t>Education &amp; Academia</t>
        </is>
      </c>
      <c r="AU198" s="48" t="inlineStr">
        <is>
          <t>Student</t>
        </is>
      </c>
      <c r="AV198" s="48" t="inlineStr">
        <is>
          <t>Teacher</t>
        </is>
      </c>
      <c r="AW198" s="48" t="inlineStr">
        <is>
          <t>Gardening; Cooking; Walking</t>
        </is>
      </c>
      <c r="AX198" s="48" t="inlineStr">
        <is>
          <t>Asylum Seeker</t>
        </is>
      </c>
      <c r="AY198" s="48" t="inlineStr">
        <is>
          <t>NA - Partner Organisation Verified</t>
        </is>
      </c>
      <c r="AZ198" s="48" t="inlineStr">
        <is>
          <t>NA - Partner Organisation Verified</t>
        </is>
      </c>
      <c r="BA198" s="48" t="inlineStr">
        <is>
          <t>NA</t>
        </is>
      </c>
      <c r="BB198" s="48" t="inlineStr">
        <is>
          <t>NA</t>
        </is>
      </c>
      <c r="BC198" s="48" t="inlineStr">
        <is>
          <t>NA</t>
        </is>
      </c>
      <c r="BD198" s="48" t="inlineStr">
        <is>
          <t>NA</t>
        </is>
      </c>
      <c r="BE198" s="48" t="inlineStr"/>
      <c r="BF198" s="48" t="inlineStr"/>
      <c r="BG198" s="48" t="inlineStr">
        <is>
          <t>NA</t>
        </is>
      </c>
      <c r="BH198" s="48" t="inlineStr">
        <is>
          <t>NA - Student</t>
        </is>
      </c>
      <c r="BI198" s="48" t="inlineStr">
        <is>
          <t>Refugee Education Australia</t>
        </is>
      </c>
      <c r="BJ198" s="48" t="inlineStr">
        <is>
          <t>HALLORAN Isobel</t>
        </is>
      </c>
      <c r="BK198" s="48" t="inlineStr">
        <is>
          <t>MCCRORIE John</t>
        </is>
      </c>
      <c r="BL198" s="48" t="inlineStr">
        <is>
          <t>Synthetic test record.</t>
        </is>
      </c>
      <c r="BM198" s="48" t="inlineStr"/>
      <c r="BN198" s="48">
        <f>TRIM(IF(AND($H198="Student",$J198="ADM-ACT-MAT-CNE"),"Invalid: Student cannot be CNE. ","")&amp;IF(AND($H198="Student",ISNUMBER($O198)),"Check: capacity set for a Student. ","")&amp;IF(AND(LEFT($J198,11)="ADM-ACT-MAT",$P198=0),"Check: matched status but 0 active pairings. ","")&amp;IF(AND($H198="Tutor",ISNUMBER($O198),$P198&gt;$O198),"Check: pairings exceed capacity. ","")&amp;IF(AND($BH198="Everyone",NOT(AND($BD198="Yes",$BG198="Yes"))),"Check: approved to tutor children but WWCC not provided/confirmed. ","")&amp;IF(AND($P198&gt;0,NOT(AND(OR(LEFT($AY198,3)="Yes",LEFT($AY198,2)="NA"),OR(LEFT($AZ198,3)="Yes",LEFT($AZ198,2)="NA")))),"Matched but vetting incomplete (interview/reference). ","")&amp;IF(COUNTIF($B$3:$B$600,$B198)&gt;1,"Duplicate participant name. ",""))</f>
        <v/>
      </c>
      <c r="BO198" s="48" t="inlineStr"/>
      <c r="BP198" s="48" t="inlineStr"/>
      <c r="BQ198" s="48" t="inlineStr"/>
      <c r="BR198" s="48" t="inlineStr"/>
      <c r="BS198" s="48" t="inlineStr"/>
      <c r="BT198" s="48" t="inlineStr"/>
      <c r="BU198" s="48" t="inlineStr"/>
      <c r="BV198" s="48" t="inlineStr"/>
      <c r="BW198" s="48" t="inlineStr"/>
      <c r="BX198" s="48" t="inlineStr"/>
      <c r="BY198" s="48" t="inlineStr"/>
      <c r="BZ198" s="48" t="inlineStr"/>
      <c r="CA198" s="48" t="inlineStr"/>
      <c r="CB198" s="48" t="inlineStr"/>
      <c r="CC198" s="48" t="inlineStr"/>
      <c r="CD198" s="48" t="inlineStr"/>
      <c r="CE198" s="48" t="inlineStr"/>
      <c r="CF198" s="48" t="inlineStr"/>
      <c r="CG198" s="48" t="inlineStr"/>
      <c r="CH198" s="48" t="inlineStr"/>
      <c r="CI198" s="48" t="inlineStr"/>
      <c r="CJ198" s="48" t="inlineStr"/>
      <c r="CK198" s="48" t="inlineStr"/>
      <c r="CL198" s="48" t="inlineStr"/>
      <c r="CM198" s="48" t="inlineStr"/>
      <c r="CN198" s="48" t="inlineStr"/>
      <c r="CO198" s="48" t="inlineStr"/>
      <c r="CP198" s="48" t="inlineStr"/>
      <c r="CQ198" s="48" t="inlineStr"/>
      <c r="CR198" s="48" t="inlineStr"/>
      <c r="CS198" s="48">
        <f>IF(LEFT($J198,3)="ERR",0,1)</f>
        <v/>
      </c>
      <c r="CT198" s="48">
        <f>IF(LEFT($J198,3)="ADM",1,0)</f>
        <v/>
      </c>
      <c r="CU198" s="48">
        <f>IF(OR($J198="ADM-ACT-MAT-CNE",$J198="ADM-ACT-MAT-CE",$J198="ADM-INACT-M&amp;T"),1,0)</f>
        <v/>
      </c>
      <c r="CV198" s="48">
        <f>IF(AND(CU198=1,ISNUMBER(M198),ISNUMBER(I198)),M198-I198,"")</f>
        <v/>
      </c>
      <c r="CW198" s="48">
        <f>IF(ISNUMBER(I198),TODAY()-I198,"")</f>
        <v/>
      </c>
      <c r="CX198" s="48">
        <f>IF(ISNUMBER(I198),DATE(YEAR(I198),MONTH(I198),1),"")</f>
        <v/>
      </c>
      <c r="CY198" s="48">
        <f>IFERROR(DATEDIF(AK198,TODAY(),"y"),"")</f>
        <v/>
      </c>
      <c r="CZ198" s="48">
        <f>IF(CY198="","",IF(CY198&lt;28,"18-27",IF(CY198&lt;38,"28-37",IF(CY198&lt;48,"38-47",IF(CY198&lt;58,"48-57",IF(CY198&lt;68,"58-67",IF(CY198&lt;78,"68-77","78+")))))) </f>
        <v/>
      </c>
      <c r="DA198" s="48">
        <f>IF(AND(BQ198&lt;&gt;"",BR198=""),N(BS198),0)+IF(AND(BW198&lt;&gt;"",BX198=""),N(BY198),0)+IF(AND(CC198&lt;&gt;"",CD198=""),N(CE198),0)+IF(AND(CI198&lt;&gt;"",CJ198=""),N(CK198),0)+IF(AND(CO198&lt;&gt;"",CP198=""),N(CQ198),0)</f>
        <v/>
      </c>
      <c r="DB198" s="48">
        <f>ROUND(IF(BQ198&lt;&gt;"",N(BS198)*MAX(0,((IF(BR198="",TODAY(),BR198))-BQ198)/7),0)+IF(BW198&lt;&gt;"",N(BY198)*MAX(0,((IF(BX198="",TODAY(),BX198))-BW198)/7),0)+IF(CC198&lt;&gt;"",N(CE198)*MAX(0,((IF(CD198="",TODAY(),CD198))-CC198)/7),0)+IF(CI198&lt;&gt;"",N(CK198)*MAX(0,((IF(CJ198="",TODAY(),CJ198))-CI198)/7),0)+IF(CO198&lt;&gt;"",N(CQ198)*MAX(0,((IF(CP198="",TODAY(),CP198))-CO198)/7),0),1)</f>
        <v/>
      </c>
      <c r="DC198" s="48">
        <f>IF(OR(TRIM(X198)="",TRIM(X198)="NA;",TRIM(X198)="NA"),0,1)</f>
        <v/>
      </c>
      <c r="DD198" s="48">
        <f>IF(OR(TRIM(Y198)="",TRIM(Y198)="NA;",TRIM(Y198)="NA"),0,1)</f>
        <v/>
      </c>
      <c r="DE198" s="48">
        <f>IF(OR(TRIM(Z198)="",TRIM(Z198)="NA;",TRIM(Z198)="NA"),0,1)</f>
        <v/>
      </c>
      <c r="DF198" s="48">
        <f>IF(OR(TRIM(AA198)="",TRIM(AA198)="NA;",TRIM(AA198)="NA"),0,1)</f>
        <v/>
      </c>
      <c r="DG198" s="48">
        <f>IF(OR(TRIM(AB198)="",TRIM(AB198)="NA;",TRIM(AB198)="NA"),0,1)</f>
        <v/>
      </c>
      <c r="DH198" s="48">
        <f>IF(OR(TRIM(AC198)="",TRIM(AC198)="NA;",TRIM(AC198)="NA"),0,1)</f>
        <v/>
      </c>
      <c r="DI198" s="48">
        <f>IF(OR(TRIM(AD198)="",TRIM(AD198)="NA;",TRIM(AD198)="NA"),0,1)</f>
        <v/>
      </c>
      <c r="DJ198" s="48">
        <f>TRIM(IF(DC198=1,"Mon ","")&amp;IF(DD198=1,"Tue ","")&amp;IF(DE198=1,"Wed ","")&amp;IF(DF198=1,"Thu ","")&amp;IF(DG198=1,"Fri ","")&amp;IF(DH198=1,"Sat ","")&amp;IF(DI198=1,"Sun ",""))</f>
        <v/>
      </c>
    </row>
    <row r="199">
      <c r="A199" s="48" t="inlineStr">
        <is>
          <t>S-N-00047</t>
        </is>
      </c>
      <c r="B199" s="48" t="inlineStr">
        <is>
          <t>Mark Yusuf</t>
        </is>
      </c>
      <c r="C199" s="48" t="inlineStr">
        <is>
          <t>mark.yusuf97@example.com</t>
        </is>
      </c>
      <c r="D199" s="48" t="inlineStr">
        <is>
          <t>+61 423 418 811</t>
        </is>
      </c>
      <c r="E199" s="48" t="inlineStr">
        <is>
          <t>Sarah Mosquera</t>
        </is>
      </c>
      <c r="F199" s="48" t="inlineStr">
        <is>
          <t>+61 400 259 516</t>
        </is>
      </c>
      <c r="G199" s="48" t="inlineStr">
        <is>
          <t>Friend</t>
        </is>
      </c>
      <c r="H199" s="48" t="inlineStr">
        <is>
          <t>Student</t>
        </is>
      </c>
      <c r="I199" s="49" t="n">
        <v>45967</v>
      </c>
      <c r="J199" s="48" t="inlineStr">
        <is>
          <t>ADM-ACT-MAT-CE</t>
        </is>
      </c>
      <c r="K199" s="48">
        <f>IFERROR(VLOOKUP(J199,'(A) Introduction'!$B$35:$C$45,2,FALSE),"")</f>
        <v/>
      </c>
      <c r="L199" s="48" t="inlineStr">
        <is>
          <t>No</t>
        </is>
      </c>
      <c r="M199" s="49" t="n">
        <v>46055</v>
      </c>
      <c r="N199" s="48" t="inlineStr"/>
      <c r="O199" s="48" t="inlineStr">
        <is>
          <t>NA</t>
        </is>
      </c>
      <c r="P199" s="48">
        <f>IF($H199="Tutor",((BQ199&lt;&gt;"")*(BR199=""))+((BW199&lt;&gt;"")*(BX199=""))+((CC199&lt;&gt;"")*(CD199=""))+((CI199&lt;&gt;"")*(CJ199=""))+((CO199&lt;&gt;"")*(CP199="")),SUMPRODUCT(--($BO$3:$BO$202=$A199),--($BR$3:$BR$202=""))+SUMPRODUCT(--($BU$3:$BU$202=$A199),--($BX$3:$BX$202=""))+SUMPRODUCT(--($CA$3:$CA$202=$A199),--($CD$3:$CD$202=""))+SUMPRODUCT(--($CG$3:$CG$202=$A199),--($CJ$3:$CJ$202=""))+SUMPRODUCT(--($CM$3:$CM$202=$A199),--($CP$3:$CP$202="")))</f>
        <v/>
      </c>
      <c r="Q199" s="48">
        <f>IF($H199="Tutor",(BQ199&lt;&gt;"")+(BW199&lt;&gt;"")+(CC199&lt;&gt;"")+(CI199&lt;&gt;"")+(CO199&lt;&gt;""),SUMPRODUCT(--($BO$3:$BO$202=$A199))+SUMPRODUCT(--($BU$3:$BU$202=$A199))+SUMPRODUCT(--($CA$3:$CA$202=$A199))+SUMPRODUCT(--($CG$3:$CG$202=$A199))+SUMPRODUCT(--($CM$3:$CM$202=$A199)))</f>
        <v/>
      </c>
      <c r="R199" s="48">
        <f>IF($H199="Tutor",TRIM(IF(AND(BQ199&lt;&gt;"",BR199=""),BP199&amp;"; ","")&amp;IF(AND(BW199&lt;&gt;"",BX199=""),BV199&amp;"; ","")&amp;IF(AND(CC199&lt;&gt;"",CD199=""),CB199&amp;"; ","")&amp;IF(AND(CI199&lt;&gt;"",CJ199=""),CH199&amp;"; ","")&amp;IF(AND(CO199&lt;&gt;"",CP199=""),CN199&amp;"; ","")),IFERROR(INDEX($A$3:$B$202,(SUMPRODUCT(($BO$3:$BO$202=$A199)*($BR$3:$BR$202="")*ROW($BO$3:$BO$202))+SUMPRODUCT(($BU$3:$BU$202=$A199)*($BX$3:$BX$202="")*ROW($BU$3:$BU$202))+SUMPRODUCT(($CA$3:$CA$202=$A199)*($CD$3:$CD$202="")*ROW($CA$3:$CA$202))+SUMPRODUCT(($CG$3:$CG$202=$A199)*($CJ$3:$CJ$202="")*ROW($CG$3:$CG$202))+SUMPRODUCT(($CM$3:$CM$202=$A199)*($CP$3:$CP$202="")*ROW($CM$3:$CM$202)))-2,2),""))</f>
        <v/>
      </c>
      <c r="S199" s="48" t="inlineStr">
        <is>
          <t>Provided</t>
        </is>
      </c>
      <c r="T199" s="48" t="inlineStr"/>
      <c r="U199" s="48" t="inlineStr"/>
      <c r="V199" s="49" t="n">
        <v>45837</v>
      </c>
      <c r="W199" s="48" t="inlineStr">
        <is>
          <t>AEST (UTC+10)</t>
        </is>
      </c>
      <c r="X199" s="48" t="inlineStr">
        <is>
          <t>3pm-6pm;</t>
        </is>
      </c>
      <c r="Y199" s="48" t="inlineStr">
        <is>
          <t>12pm-3pm;</t>
        </is>
      </c>
      <c r="Z199" s="48" t="inlineStr">
        <is>
          <t>6pm-9pm;</t>
        </is>
      </c>
      <c r="AA199" s="48" t="inlineStr">
        <is>
          <t>12pm-3pm;</t>
        </is>
      </c>
      <c r="AB199" s="48" t="inlineStr">
        <is>
          <t>6am-9am;9am-12pm;</t>
        </is>
      </c>
      <c r="AC199" s="48" t="inlineStr">
        <is>
          <t>6pm-9pm;</t>
        </is>
      </c>
      <c r="AD199" s="48" t="inlineStr">
        <is>
          <t>6pm-9pm;</t>
        </is>
      </c>
      <c r="AE199" s="48" t="inlineStr">
        <is>
          <t>Online</t>
        </is>
      </c>
      <c r="AF199" s="48" t="inlineStr">
        <is>
          <t>Multiple devices</t>
        </is>
      </c>
      <c r="AG199" s="48" t="inlineStr">
        <is>
          <t>Australia</t>
        </is>
      </c>
      <c r="AH199" s="48" t="inlineStr">
        <is>
          <t>New South Wales</t>
        </is>
      </c>
      <c r="AI199" s="48" t="inlineStr">
        <is>
          <t>Bankstown</t>
        </is>
      </c>
      <c r="AJ199" s="48" t="inlineStr">
        <is>
          <t>2200</t>
        </is>
      </c>
      <c r="AK199" s="49" t="n">
        <v>24829</v>
      </c>
      <c r="AL199" s="48" t="inlineStr">
        <is>
          <t>Male</t>
        </is>
      </c>
      <c r="AM199" s="48" t="inlineStr">
        <is>
          <t>Yes</t>
        </is>
      </c>
      <c r="AN199" s="48" t="inlineStr">
        <is>
          <t>A2</t>
        </is>
      </c>
      <c r="AO199" s="48" t="inlineStr">
        <is>
          <t>Outstanding</t>
        </is>
      </c>
      <c r="AP199" s="48" t="inlineStr">
        <is>
          <t>Colombia</t>
        </is>
      </c>
      <c r="AQ199" s="48" t="inlineStr">
        <is>
          <t>NA</t>
        </is>
      </c>
      <c r="AR199" s="48" t="inlineStr">
        <is>
          <t>Dari (B2)</t>
        </is>
      </c>
      <c r="AS199" s="48" t="inlineStr">
        <is>
          <t>Christian</t>
        </is>
      </c>
      <c r="AT199" s="48" t="inlineStr">
        <is>
          <t>Business &amp; Finance</t>
        </is>
      </c>
      <c r="AU199" s="48" t="inlineStr">
        <is>
          <t>Retail</t>
        </is>
      </c>
      <c r="AV199" s="48" t="inlineStr">
        <is>
          <t>Engineering</t>
        </is>
      </c>
      <c r="AW199" s="48" t="inlineStr">
        <is>
          <t>Cooking; Reading; Music</t>
        </is>
      </c>
      <c r="AX199" s="48" t="inlineStr">
        <is>
          <t>Asylum Seeker</t>
        </is>
      </c>
      <c r="AY199" s="48" t="inlineStr">
        <is>
          <t>Yes</t>
        </is>
      </c>
      <c r="AZ199" s="48" t="inlineStr">
        <is>
          <t>NA - Partner Organisation Verified</t>
        </is>
      </c>
      <c r="BA199" s="48" t="inlineStr">
        <is>
          <t>NA</t>
        </is>
      </c>
      <c r="BB199" s="48" t="inlineStr">
        <is>
          <t>NA</t>
        </is>
      </c>
      <c r="BC199" s="48" t="inlineStr">
        <is>
          <t>NA</t>
        </is>
      </c>
      <c r="BD199" s="48" t="inlineStr">
        <is>
          <t>NA</t>
        </is>
      </c>
      <c r="BE199" s="48" t="inlineStr"/>
      <c r="BF199" s="48" t="inlineStr"/>
      <c r="BG199" s="48" t="inlineStr">
        <is>
          <t>NA</t>
        </is>
      </c>
      <c r="BH199" s="48" t="inlineStr">
        <is>
          <t>NA - Student</t>
        </is>
      </c>
      <c r="BI199" s="48" t="inlineStr">
        <is>
          <t>Refugee Council of Australia</t>
        </is>
      </c>
      <c r="BJ199" s="48" t="inlineStr">
        <is>
          <t>SINGH Veera</t>
        </is>
      </c>
      <c r="BK199" s="48" t="inlineStr">
        <is>
          <t>THET Moh Moh</t>
        </is>
      </c>
      <c r="BL199" s="48" t="inlineStr">
        <is>
          <t>Synthetic test record.</t>
        </is>
      </c>
      <c r="BM199" s="48" t="inlineStr"/>
      <c r="BN199" s="48">
        <f>TRIM(IF(AND($H199="Student",$J199="ADM-ACT-MAT-CNE"),"Invalid: Student cannot be CNE. ","")&amp;IF(AND($H199="Student",ISNUMBER($O199)),"Check: capacity set for a Student. ","")&amp;IF(AND(LEFT($J199,11)="ADM-ACT-MAT",$P199=0),"Check: matched status but 0 active pairings. ","")&amp;IF(AND($H199="Tutor",ISNUMBER($O199),$P199&gt;$O199),"Check: pairings exceed capacity. ","")&amp;IF(AND($BH199="Everyone",NOT(AND($BD199="Yes",$BG199="Yes"))),"Check: approved to tutor children but WWCC not provided/confirmed. ","")&amp;IF(AND($P199&gt;0,NOT(AND(OR(LEFT($AY199,3)="Yes",LEFT($AY199,2)="NA"),OR(LEFT($AZ199,3)="Yes",LEFT($AZ199,2)="NA")))),"Matched but vetting incomplete (interview/reference). ","")&amp;IF(COUNTIF($B$3:$B$600,$B199)&gt;1,"Duplicate participant name. ",""))</f>
        <v/>
      </c>
      <c r="BO199" s="48" t="inlineStr"/>
      <c r="BP199" s="48" t="inlineStr"/>
      <c r="BQ199" s="48" t="inlineStr"/>
      <c r="BR199" s="48" t="inlineStr"/>
      <c r="BS199" s="48" t="inlineStr"/>
      <c r="BT199" s="48" t="inlineStr"/>
      <c r="BU199" s="48" t="inlineStr"/>
      <c r="BV199" s="48" t="inlineStr"/>
      <c r="BW199" s="48" t="inlineStr"/>
      <c r="BX199" s="48" t="inlineStr"/>
      <c r="BY199" s="48" t="inlineStr"/>
      <c r="BZ199" s="48" t="inlineStr"/>
      <c r="CA199" s="48" t="inlineStr"/>
      <c r="CB199" s="48" t="inlineStr"/>
      <c r="CC199" s="48" t="inlineStr"/>
      <c r="CD199" s="48" t="inlineStr"/>
      <c r="CE199" s="48" t="inlineStr"/>
      <c r="CF199" s="48" t="inlineStr"/>
      <c r="CG199" s="48" t="inlineStr"/>
      <c r="CH199" s="48" t="inlineStr"/>
      <c r="CI199" s="48" t="inlineStr"/>
      <c r="CJ199" s="48" t="inlineStr"/>
      <c r="CK199" s="48" t="inlineStr"/>
      <c r="CL199" s="48" t="inlineStr"/>
      <c r="CM199" s="48" t="inlineStr"/>
      <c r="CN199" s="48" t="inlineStr"/>
      <c r="CO199" s="48" t="inlineStr"/>
      <c r="CP199" s="48" t="inlineStr"/>
      <c r="CQ199" s="48" t="inlineStr"/>
      <c r="CR199" s="48" t="inlineStr"/>
      <c r="CS199" s="48">
        <f>IF(LEFT($J199,3)="ERR",0,1)</f>
        <v/>
      </c>
      <c r="CT199" s="48">
        <f>IF(LEFT($J199,3)="ADM",1,0)</f>
        <v/>
      </c>
      <c r="CU199" s="48">
        <f>IF(OR($J199="ADM-ACT-MAT-CNE",$J199="ADM-ACT-MAT-CE",$J199="ADM-INACT-M&amp;T"),1,0)</f>
        <v/>
      </c>
      <c r="CV199" s="48">
        <f>IF(AND(CU199=1,ISNUMBER(M199),ISNUMBER(I199)),M199-I199,"")</f>
        <v/>
      </c>
      <c r="CW199" s="48">
        <f>IF(ISNUMBER(I199),TODAY()-I199,"")</f>
        <v/>
      </c>
      <c r="CX199" s="48">
        <f>IF(ISNUMBER(I199),DATE(YEAR(I199),MONTH(I199),1),"")</f>
        <v/>
      </c>
      <c r="CY199" s="48">
        <f>IFERROR(DATEDIF(AK199,TODAY(),"y"),"")</f>
        <v/>
      </c>
      <c r="CZ199" s="48">
        <f>IF(CY199="","",IF(CY199&lt;28,"18-27",IF(CY199&lt;38,"28-37",IF(CY199&lt;48,"38-47",IF(CY199&lt;58,"48-57",IF(CY199&lt;68,"58-67",IF(CY199&lt;78,"68-77","78+")))))) </f>
        <v/>
      </c>
      <c r="DA199" s="48">
        <f>IF(AND(BQ199&lt;&gt;"",BR199=""),N(BS199),0)+IF(AND(BW199&lt;&gt;"",BX199=""),N(BY199),0)+IF(AND(CC199&lt;&gt;"",CD199=""),N(CE199),0)+IF(AND(CI199&lt;&gt;"",CJ199=""),N(CK199),0)+IF(AND(CO199&lt;&gt;"",CP199=""),N(CQ199),0)</f>
        <v/>
      </c>
      <c r="DB199" s="48">
        <f>ROUND(IF(BQ199&lt;&gt;"",N(BS199)*MAX(0,((IF(BR199="",TODAY(),BR199))-BQ199)/7),0)+IF(BW199&lt;&gt;"",N(BY199)*MAX(0,((IF(BX199="",TODAY(),BX199))-BW199)/7),0)+IF(CC199&lt;&gt;"",N(CE199)*MAX(0,((IF(CD199="",TODAY(),CD199))-CC199)/7),0)+IF(CI199&lt;&gt;"",N(CK199)*MAX(0,((IF(CJ199="",TODAY(),CJ199))-CI199)/7),0)+IF(CO199&lt;&gt;"",N(CQ199)*MAX(0,((IF(CP199="",TODAY(),CP199))-CO199)/7),0),1)</f>
        <v/>
      </c>
      <c r="DC199" s="48">
        <f>IF(OR(TRIM(X199)="",TRIM(X199)="NA;",TRIM(X199)="NA"),0,1)</f>
        <v/>
      </c>
      <c r="DD199" s="48">
        <f>IF(OR(TRIM(Y199)="",TRIM(Y199)="NA;",TRIM(Y199)="NA"),0,1)</f>
        <v/>
      </c>
      <c r="DE199" s="48">
        <f>IF(OR(TRIM(Z199)="",TRIM(Z199)="NA;",TRIM(Z199)="NA"),0,1)</f>
        <v/>
      </c>
      <c r="DF199" s="48">
        <f>IF(OR(TRIM(AA199)="",TRIM(AA199)="NA;",TRIM(AA199)="NA"),0,1)</f>
        <v/>
      </c>
      <c r="DG199" s="48">
        <f>IF(OR(TRIM(AB199)="",TRIM(AB199)="NA;",TRIM(AB199)="NA"),0,1)</f>
        <v/>
      </c>
      <c r="DH199" s="48">
        <f>IF(OR(TRIM(AC199)="",TRIM(AC199)="NA;",TRIM(AC199)="NA"),0,1)</f>
        <v/>
      </c>
      <c r="DI199" s="48">
        <f>IF(OR(TRIM(AD199)="",TRIM(AD199)="NA;",TRIM(AD199)="NA"),0,1)</f>
        <v/>
      </c>
      <c r="DJ199" s="48">
        <f>TRIM(IF(DC199=1,"Mon ","")&amp;IF(DD199=1,"Tue ","")&amp;IF(DE199=1,"Wed ","")&amp;IF(DF199=1,"Thu ","")&amp;IF(DG199=1,"Fri ","")&amp;IF(DH199=1,"Sat ","")&amp;IF(DI199=1,"Sun ",""))</f>
        <v/>
      </c>
    </row>
    <row r="200">
      <c r="A200" s="48" t="inlineStr">
        <is>
          <t>S-N-00048</t>
        </is>
      </c>
      <c r="B200" s="48" t="inlineStr">
        <is>
          <t>Tariq Bourne</t>
        </is>
      </c>
      <c r="C200" s="48" t="inlineStr">
        <is>
          <t>tariq.bourne98@example.com</t>
        </is>
      </c>
      <c r="D200" s="48" t="inlineStr">
        <is>
          <t>+61 485 379 135</t>
        </is>
      </c>
      <c r="E200" s="48" t="inlineStr">
        <is>
          <t>Ahmad Marks</t>
        </is>
      </c>
      <c r="F200" s="48" t="inlineStr">
        <is>
          <t>+61 494 503 782</t>
        </is>
      </c>
      <c r="G200" s="48" t="inlineStr">
        <is>
          <t>Parent</t>
        </is>
      </c>
      <c r="H200" s="48" t="inlineStr">
        <is>
          <t>Student</t>
        </is>
      </c>
      <c r="I200" s="49" t="n">
        <v>45969</v>
      </c>
      <c r="J200" s="48" t="inlineStr">
        <is>
          <t>ADM-ACT-MAT-CE</t>
        </is>
      </c>
      <c r="K200" s="48">
        <f>IFERROR(VLOOKUP(J200,'(A) Introduction'!$B$35:$C$45,2,FALSE),"")</f>
        <v/>
      </c>
      <c r="L200" s="48" t="inlineStr">
        <is>
          <t>No</t>
        </is>
      </c>
      <c r="M200" s="49" t="n">
        <v>46003</v>
      </c>
      <c r="N200" s="48" t="inlineStr"/>
      <c r="O200" s="48" t="inlineStr">
        <is>
          <t>NA</t>
        </is>
      </c>
      <c r="P200" s="48">
        <f>IF($H200="Tutor",((BQ200&lt;&gt;"")*(BR200=""))+((BW200&lt;&gt;"")*(BX200=""))+((CC200&lt;&gt;"")*(CD200=""))+((CI200&lt;&gt;"")*(CJ200=""))+((CO200&lt;&gt;"")*(CP200="")),SUMPRODUCT(--($BO$3:$BO$202=$A200),--($BR$3:$BR$202=""))+SUMPRODUCT(--($BU$3:$BU$202=$A200),--($BX$3:$BX$202=""))+SUMPRODUCT(--($CA$3:$CA$202=$A200),--($CD$3:$CD$202=""))+SUMPRODUCT(--($CG$3:$CG$202=$A200),--($CJ$3:$CJ$202=""))+SUMPRODUCT(--($CM$3:$CM$202=$A200),--($CP$3:$CP$202="")))</f>
        <v/>
      </c>
      <c r="Q200" s="48">
        <f>IF($H200="Tutor",(BQ200&lt;&gt;"")+(BW200&lt;&gt;"")+(CC200&lt;&gt;"")+(CI200&lt;&gt;"")+(CO200&lt;&gt;""),SUMPRODUCT(--($BO$3:$BO$202=$A200))+SUMPRODUCT(--($BU$3:$BU$202=$A200))+SUMPRODUCT(--($CA$3:$CA$202=$A200))+SUMPRODUCT(--($CG$3:$CG$202=$A200))+SUMPRODUCT(--($CM$3:$CM$202=$A200)))</f>
        <v/>
      </c>
      <c r="R200" s="48">
        <f>IF($H200="Tutor",TRIM(IF(AND(BQ200&lt;&gt;"",BR200=""),BP200&amp;"; ","")&amp;IF(AND(BW200&lt;&gt;"",BX200=""),BV200&amp;"; ","")&amp;IF(AND(CC200&lt;&gt;"",CD200=""),CB200&amp;"; ","")&amp;IF(AND(CI200&lt;&gt;"",CJ200=""),CH200&amp;"; ","")&amp;IF(AND(CO200&lt;&gt;"",CP200=""),CN200&amp;"; ","")),IFERROR(INDEX($A$3:$B$202,(SUMPRODUCT(($BO$3:$BO$202=$A200)*($BR$3:$BR$202="")*ROW($BO$3:$BO$202))+SUMPRODUCT(($BU$3:$BU$202=$A200)*($BX$3:$BX$202="")*ROW($BU$3:$BU$202))+SUMPRODUCT(($CA$3:$CA$202=$A200)*($CD$3:$CD$202="")*ROW($CA$3:$CA$202))+SUMPRODUCT(($CG$3:$CG$202=$A200)*($CJ$3:$CJ$202="")*ROW($CG$3:$CG$202))+SUMPRODUCT(($CM$3:$CM$202=$A200)*($CP$3:$CP$202="")*ROW($CM$3:$CM$202)))-2,2),""))</f>
        <v/>
      </c>
      <c r="S200" s="48" t="inlineStr">
        <is>
          <t>Provided</t>
        </is>
      </c>
      <c r="T200" s="48" t="inlineStr"/>
      <c r="U200" s="48" t="inlineStr"/>
      <c r="V200" s="49" t="n">
        <v>46085</v>
      </c>
      <c r="W200" s="48" t="inlineStr">
        <is>
          <t>ACST (UTC+9:30)</t>
        </is>
      </c>
      <c r="X200" s="48" t="inlineStr">
        <is>
          <t>9am-12pm;</t>
        </is>
      </c>
      <c r="Y200" s="48" t="inlineStr">
        <is>
          <t>3pm-6pm;</t>
        </is>
      </c>
      <c r="Z200" s="48" t="inlineStr">
        <is>
          <t>9am-12pm;</t>
        </is>
      </c>
      <c r="AA200" s="48" t="inlineStr">
        <is>
          <t>9am-12pm;12pm-3pm;3pm-6pm;</t>
        </is>
      </c>
      <c r="AB200" s="48" t="inlineStr">
        <is>
          <t>6pm-9pm;</t>
        </is>
      </c>
      <c r="AC200" s="48" t="inlineStr">
        <is>
          <t>6am-9am;9am-12pm;</t>
        </is>
      </c>
      <c r="AD200" s="48" t="inlineStr">
        <is>
          <t>6pm-9pm;</t>
        </is>
      </c>
      <c r="AE200" s="48" t="inlineStr">
        <is>
          <t>Online</t>
        </is>
      </c>
      <c r="AF200" s="48" t="inlineStr">
        <is>
          <t>Computer</t>
        </is>
      </c>
      <c r="AG200" s="48" t="inlineStr">
        <is>
          <t>Australia</t>
        </is>
      </c>
      <c r="AH200" s="48" t="inlineStr">
        <is>
          <t>New South Wales</t>
        </is>
      </c>
      <c r="AI200" s="48" t="inlineStr">
        <is>
          <t>Marrickville</t>
        </is>
      </c>
      <c r="AJ200" s="48" t="inlineStr">
        <is>
          <t>2204</t>
        </is>
      </c>
      <c r="AK200" s="49" t="n">
        <v>27845</v>
      </c>
      <c r="AL200" s="48" t="inlineStr">
        <is>
          <t>Other</t>
        </is>
      </c>
      <c r="AM200" s="48" t="inlineStr">
        <is>
          <t>Yes</t>
        </is>
      </c>
      <c r="AN200" s="48" t="inlineStr">
        <is>
          <t>A2</t>
        </is>
      </c>
      <c r="AO200" s="48" t="inlineStr">
        <is>
          <t>High</t>
        </is>
      </c>
      <c r="AP200" s="48" t="inlineStr">
        <is>
          <t>Afghanistan</t>
        </is>
      </c>
      <c r="AQ200" s="48" t="inlineStr">
        <is>
          <t>NA</t>
        </is>
      </c>
      <c r="AR200" s="48" t="inlineStr">
        <is>
          <t>Spanish (C1)</t>
        </is>
      </c>
      <c r="AS200" s="48" t="inlineStr">
        <is>
          <t>NA</t>
        </is>
      </c>
      <c r="AT200" s="48" t="inlineStr">
        <is>
          <t>Health &amp; Medicine</t>
        </is>
      </c>
      <c r="AU200" s="48" t="inlineStr">
        <is>
          <t>Community Worker</t>
        </is>
      </c>
      <c r="AV200" s="48" t="inlineStr">
        <is>
          <t>Medicine</t>
        </is>
      </c>
      <c r="AW200" s="48" t="inlineStr">
        <is>
          <t>Language learning; Self-development</t>
        </is>
      </c>
      <c r="AX200" s="48" t="inlineStr">
        <is>
          <t>Asylum Seeker</t>
        </is>
      </c>
      <c r="AY200" s="48" t="inlineStr">
        <is>
          <t>No</t>
        </is>
      </c>
      <c r="AZ200" s="48" t="inlineStr">
        <is>
          <t>No</t>
        </is>
      </c>
      <c r="BA200" s="48" t="inlineStr">
        <is>
          <t>NA</t>
        </is>
      </c>
      <c r="BB200" s="48" t="inlineStr">
        <is>
          <t>NA</t>
        </is>
      </c>
      <c r="BC200" s="48" t="inlineStr">
        <is>
          <t>NA</t>
        </is>
      </c>
      <c r="BD200" s="48" t="inlineStr">
        <is>
          <t>NA</t>
        </is>
      </c>
      <c r="BE200" s="48" t="inlineStr"/>
      <c r="BF200" s="48" t="inlineStr"/>
      <c r="BG200" s="48" t="inlineStr">
        <is>
          <t>NA</t>
        </is>
      </c>
      <c r="BH200" s="48" t="inlineStr">
        <is>
          <t>NA - Student</t>
        </is>
      </c>
      <c r="BI200" s="48" t="inlineStr">
        <is>
          <t>University of Sydney (including St. Paul's College)</t>
        </is>
      </c>
      <c r="BJ200" s="48" t="inlineStr">
        <is>
          <t>MCCLELLAND Reeve</t>
        </is>
      </c>
      <c r="BK200" s="48" t="inlineStr">
        <is>
          <t>MCCRORIE John</t>
        </is>
      </c>
      <c r="BL200" s="48" t="inlineStr">
        <is>
          <t>Synthetic test record.</t>
        </is>
      </c>
      <c r="BM200" s="48" t="inlineStr"/>
      <c r="BN200" s="48">
        <f>TRIM(IF(AND($H200="Student",$J200="ADM-ACT-MAT-CNE"),"Invalid: Student cannot be CNE. ","")&amp;IF(AND($H200="Student",ISNUMBER($O200)),"Check: capacity set for a Student. ","")&amp;IF(AND(LEFT($J200,11)="ADM-ACT-MAT",$P200=0),"Check: matched status but 0 active pairings. ","")&amp;IF(AND($H200="Tutor",ISNUMBER($O200),$P200&gt;$O200),"Check: pairings exceed capacity. ","")&amp;IF(AND($BH200="Everyone",NOT(AND($BD200="Yes",$BG200="Yes"))),"Check: approved to tutor children but WWCC not provided/confirmed. ","")&amp;IF(AND($P200&gt;0,NOT(AND(OR(LEFT($AY200,3)="Yes",LEFT($AY200,2)="NA"),OR(LEFT($AZ200,3)="Yes",LEFT($AZ200,2)="NA")))),"Matched but vetting incomplete (interview/reference). ","")&amp;IF(COUNTIF($B$3:$B$600,$B200)&gt;1,"Duplicate participant name. ",""))</f>
        <v/>
      </c>
      <c r="BO200" s="48" t="inlineStr"/>
      <c r="BP200" s="48" t="inlineStr"/>
      <c r="BQ200" s="48" t="inlineStr"/>
      <c r="BR200" s="48" t="inlineStr"/>
      <c r="BS200" s="48" t="inlineStr"/>
      <c r="BT200" s="48" t="inlineStr"/>
      <c r="BU200" s="48" t="inlineStr"/>
      <c r="BV200" s="48" t="inlineStr"/>
      <c r="BW200" s="48" t="inlineStr"/>
      <c r="BX200" s="48" t="inlineStr"/>
      <c r="BY200" s="48" t="inlineStr"/>
      <c r="BZ200" s="48" t="inlineStr"/>
      <c r="CA200" s="48" t="inlineStr"/>
      <c r="CB200" s="48" t="inlineStr"/>
      <c r="CC200" s="48" t="inlineStr"/>
      <c r="CD200" s="48" t="inlineStr"/>
      <c r="CE200" s="48" t="inlineStr"/>
      <c r="CF200" s="48" t="inlineStr"/>
      <c r="CG200" s="48" t="inlineStr"/>
      <c r="CH200" s="48" t="inlineStr"/>
      <c r="CI200" s="48" t="inlineStr"/>
      <c r="CJ200" s="48" t="inlineStr"/>
      <c r="CK200" s="48" t="inlineStr"/>
      <c r="CL200" s="48" t="inlineStr"/>
      <c r="CM200" s="48" t="inlineStr"/>
      <c r="CN200" s="48" t="inlineStr"/>
      <c r="CO200" s="48" t="inlineStr"/>
      <c r="CP200" s="48" t="inlineStr"/>
      <c r="CQ200" s="48" t="inlineStr"/>
      <c r="CR200" s="48" t="inlineStr"/>
      <c r="CS200" s="48">
        <f>IF(LEFT($J200,3)="ERR",0,1)</f>
        <v/>
      </c>
      <c r="CT200" s="48">
        <f>IF(LEFT($J200,3)="ADM",1,0)</f>
        <v/>
      </c>
      <c r="CU200" s="48">
        <f>IF(OR($J200="ADM-ACT-MAT-CNE",$J200="ADM-ACT-MAT-CE",$J200="ADM-INACT-M&amp;T"),1,0)</f>
        <v/>
      </c>
      <c r="CV200" s="48">
        <f>IF(AND(CU200=1,ISNUMBER(M200),ISNUMBER(I200)),M200-I200,"")</f>
        <v/>
      </c>
      <c r="CW200" s="48">
        <f>IF(ISNUMBER(I200),TODAY()-I200,"")</f>
        <v/>
      </c>
      <c r="CX200" s="48">
        <f>IF(ISNUMBER(I200),DATE(YEAR(I200),MONTH(I200),1),"")</f>
        <v/>
      </c>
      <c r="CY200" s="48">
        <f>IFERROR(DATEDIF(AK200,TODAY(),"y"),"")</f>
        <v/>
      </c>
      <c r="CZ200" s="48">
        <f>IF(CY200="","",IF(CY200&lt;28,"18-27",IF(CY200&lt;38,"28-37",IF(CY200&lt;48,"38-47",IF(CY200&lt;58,"48-57",IF(CY200&lt;68,"58-67",IF(CY200&lt;78,"68-77","78+")))))) </f>
        <v/>
      </c>
      <c r="DA200" s="48">
        <f>IF(AND(BQ200&lt;&gt;"",BR200=""),N(BS200),0)+IF(AND(BW200&lt;&gt;"",BX200=""),N(BY200),0)+IF(AND(CC200&lt;&gt;"",CD200=""),N(CE200),0)+IF(AND(CI200&lt;&gt;"",CJ200=""),N(CK200),0)+IF(AND(CO200&lt;&gt;"",CP200=""),N(CQ200),0)</f>
        <v/>
      </c>
      <c r="DB200" s="48">
        <f>ROUND(IF(BQ200&lt;&gt;"",N(BS200)*MAX(0,((IF(BR200="",TODAY(),BR200))-BQ200)/7),0)+IF(BW200&lt;&gt;"",N(BY200)*MAX(0,((IF(BX200="",TODAY(),BX200))-BW200)/7),0)+IF(CC200&lt;&gt;"",N(CE200)*MAX(0,((IF(CD200="",TODAY(),CD200))-CC200)/7),0)+IF(CI200&lt;&gt;"",N(CK200)*MAX(0,((IF(CJ200="",TODAY(),CJ200))-CI200)/7),0)+IF(CO200&lt;&gt;"",N(CQ200)*MAX(0,((IF(CP200="",TODAY(),CP200))-CO200)/7),0),1)</f>
        <v/>
      </c>
      <c r="DC200" s="48">
        <f>IF(OR(TRIM(X200)="",TRIM(X200)="NA;",TRIM(X200)="NA"),0,1)</f>
        <v/>
      </c>
      <c r="DD200" s="48">
        <f>IF(OR(TRIM(Y200)="",TRIM(Y200)="NA;",TRIM(Y200)="NA"),0,1)</f>
        <v/>
      </c>
      <c r="DE200" s="48">
        <f>IF(OR(TRIM(Z200)="",TRIM(Z200)="NA;",TRIM(Z200)="NA"),0,1)</f>
        <v/>
      </c>
      <c r="DF200" s="48">
        <f>IF(OR(TRIM(AA200)="",TRIM(AA200)="NA;",TRIM(AA200)="NA"),0,1)</f>
        <v/>
      </c>
      <c r="DG200" s="48">
        <f>IF(OR(TRIM(AB200)="",TRIM(AB200)="NA;",TRIM(AB200)="NA"),0,1)</f>
        <v/>
      </c>
      <c r="DH200" s="48">
        <f>IF(OR(TRIM(AC200)="",TRIM(AC200)="NA;",TRIM(AC200)="NA"),0,1)</f>
        <v/>
      </c>
      <c r="DI200" s="48">
        <f>IF(OR(TRIM(AD200)="",TRIM(AD200)="NA;",TRIM(AD200)="NA"),0,1)</f>
        <v/>
      </c>
      <c r="DJ200" s="48">
        <f>TRIM(IF(DC200=1,"Mon ","")&amp;IF(DD200=1,"Tue ","")&amp;IF(DE200=1,"Wed ","")&amp;IF(DF200=1,"Thu ","")&amp;IF(DG200=1,"Fri ","")&amp;IF(DH200=1,"Sat ","")&amp;IF(DI200=1,"Sun ",""))</f>
        <v/>
      </c>
    </row>
    <row r="201">
      <c r="A201" s="48" t="inlineStr">
        <is>
          <t>S-N-00049</t>
        </is>
      </c>
      <c r="B201" s="48" t="inlineStr">
        <is>
          <t>Daniel Smith</t>
        </is>
      </c>
      <c r="C201" s="48" t="inlineStr">
        <is>
          <t>daniel.smith99@example.com</t>
        </is>
      </c>
      <c r="D201" s="48" t="inlineStr">
        <is>
          <t>+61 424 152 055</t>
        </is>
      </c>
      <c r="E201" s="48" t="inlineStr">
        <is>
          <t>Hannah Wright</t>
        </is>
      </c>
      <c r="F201" s="48" t="inlineStr">
        <is>
          <t>+61 427 597 994</t>
        </is>
      </c>
      <c r="G201" s="48" t="inlineStr">
        <is>
          <t>Spouse</t>
        </is>
      </c>
      <c r="H201" s="48" t="inlineStr">
        <is>
          <t>Student</t>
        </is>
      </c>
      <c r="I201" s="49" t="n">
        <v>45982</v>
      </c>
      <c r="J201" s="48" t="inlineStr">
        <is>
          <t>ADM-ACT-MAT-CE</t>
        </is>
      </c>
      <c r="K201" s="48">
        <f>IFERROR(VLOOKUP(J201,'(A) Introduction'!$B$35:$C$45,2,FALSE),"")</f>
        <v/>
      </c>
      <c r="L201" s="48" t="inlineStr">
        <is>
          <t>No</t>
        </is>
      </c>
      <c r="M201" s="49" t="n">
        <v>46098</v>
      </c>
      <c r="N201" s="48" t="inlineStr"/>
      <c r="O201" s="48" t="inlineStr">
        <is>
          <t>NA</t>
        </is>
      </c>
      <c r="P201" s="48">
        <f>IF($H201="Tutor",((BQ201&lt;&gt;"")*(BR201=""))+((BW201&lt;&gt;"")*(BX201=""))+((CC201&lt;&gt;"")*(CD201=""))+((CI201&lt;&gt;"")*(CJ201=""))+((CO201&lt;&gt;"")*(CP201="")),SUMPRODUCT(--($BO$3:$BO$202=$A201),--($BR$3:$BR$202=""))+SUMPRODUCT(--($BU$3:$BU$202=$A201),--($BX$3:$BX$202=""))+SUMPRODUCT(--($CA$3:$CA$202=$A201),--($CD$3:$CD$202=""))+SUMPRODUCT(--($CG$3:$CG$202=$A201),--($CJ$3:$CJ$202=""))+SUMPRODUCT(--($CM$3:$CM$202=$A201),--($CP$3:$CP$202="")))</f>
        <v/>
      </c>
      <c r="Q201" s="48">
        <f>IF($H201="Tutor",(BQ201&lt;&gt;"")+(BW201&lt;&gt;"")+(CC201&lt;&gt;"")+(CI201&lt;&gt;"")+(CO201&lt;&gt;""),SUMPRODUCT(--($BO$3:$BO$202=$A201))+SUMPRODUCT(--($BU$3:$BU$202=$A201))+SUMPRODUCT(--($CA$3:$CA$202=$A201))+SUMPRODUCT(--($CG$3:$CG$202=$A201))+SUMPRODUCT(--($CM$3:$CM$202=$A201)))</f>
        <v/>
      </c>
      <c r="R201" s="48">
        <f>IF($H201="Tutor",TRIM(IF(AND(BQ201&lt;&gt;"",BR201=""),BP201&amp;"; ","")&amp;IF(AND(BW201&lt;&gt;"",BX201=""),BV201&amp;"; ","")&amp;IF(AND(CC201&lt;&gt;"",CD201=""),CB201&amp;"; ","")&amp;IF(AND(CI201&lt;&gt;"",CJ201=""),CH201&amp;"; ","")&amp;IF(AND(CO201&lt;&gt;"",CP201=""),CN201&amp;"; ","")),IFERROR(INDEX($A$3:$B$202,(SUMPRODUCT(($BO$3:$BO$202=$A201)*($BR$3:$BR$202="")*ROW($BO$3:$BO$202))+SUMPRODUCT(($BU$3:$BU$202=$A201)*($BX$3:$BX$202="")*ROW($BU$3:$BU$202))+SUMPRODUCT(($CA$3:$CA$202=$A201)*($CD$3:$CD$202="")*ROW($CA$3:$CA$202))+SUMPRODUCT(($CG$3:$CG$202=$A201)*($CJ$3:$CJ$202="")*ROW($CG$3:$CG$202))+SUMPRODUCT(($CM$3:$CM$202=$A201)*($CP$3:$CP$202="")*ROW($CM$3:$CM$202)))-2,2),""))</f>
        <v/>
      </c>
      <c r="S201" s="48" t="inlineStr">
        <is>
          <t>Provided</t>
        </is>
      </c>
      <c r="T201" s="48" t="inlineStr"/>
      <c r="U201" s="48" t="inlineStr"/>
      <c r="V201" s="49" t="n">
        <v>45810</v>
      </c>
      <c r="W201" s="48" t="inlineStr">
        <is>
          <t>AEST (UTC+10)</t>
        </is>
      </c>
      <c r="X201" s="48" t="inlineStr">
        <is>
          <t>6pm-9pm;</t>
        </is>
      </c>
      <c r="Y201" s="48" t="inlineStr">
        <is>
          <t>3pm-6pm;</t>
        </is>
      </c>
      <c r="Z201" s="48" t="inlineStr">
        <is>
          <t>9am-12pm;</t>
        </is>
      </c>
      <c r="AA201" s="48" t="inlineStr">
        <is>
          <t>6pm-9pm;</t>
        </is>
      </c>
      <c r="AB201" s="48" t="inlineStr">
        <is>
          <t>12pm-3pm;6pm-9pm;</t>
        </is>
      </c>
      <c r="AC201" s="48" t="inlineStr">
        <is>
          <t>6pm-9pm;</t>
        </is>
      </c>
      <c r="AD201" s="48" t="inlineStr">
        <is>
          <t>6pm-9pm;</t>
        </is>
      </c>
      <c r="AE201" s="48" t="inlineStr">
        <is>
          <t>Online</t>
        </is>
      </c>
      <c r="AF201" s="48" t="inlineStr">
        <is>
          <t>Multiple devices</t>
        </is>
      </c>
      <c r="AG201" s="48" t="inlineStr">
        <is>
          <t>Australia</t>
        </is>
      </c>
      <c r="AH201" s="48" t="inlineStr">
        <is>
          <t>New South Wales</t>
        </is>
      </c>
      <c r="AI201" s="48" t="inlineStr">
        <is>
          <t>Epping</t>
        </is>
      </c>
      <c r="AJ201" s="48" t="inlineStr">
        <is>
          <t>2121</t>
        </is>
      </c>
      <c r="AK201" s="49" t="n">
        <v>28488</v>
      </c>
      <c r="AL201" s="48" t="inlineStr">
        <is>
          <t>Other</t>
        </is>
      </c>
      <c r="AM201" s="48" t="inlineStr">
        <is>
          <t>Yes</t>
        </is>
      </c>
      <c r="AN201" s="48" t="inlineStr">
        <is>
          <t>B2</t>
        </is>
      </c>
      <c r="AO201" s="48" t="inlineStr">
        <is>
          <t>Outstanding</t>
        </is>
      </c>
      <c r="AP201" s="48" t="inlineStr">
        <is>
          <t>Afghanistan</t>
        </is>
      </c>
      <c r="AQ201" s="48" t="inlineStr">
        <is>
          <t>NA</t>
        </is>
      </c>
      <c r="AR201" s="48" t="inlineStr">
        <is>
          <t>Spanish (C1)</t>
        </is>
      </c>
      <c r="AS201" s="48" t="inlineStr">
        <is>
          <t>Christian</t>
        </is>
      </c>
      <c r="AT201" s="48" t="inlineStr">
        <is>
          <t>Hospitality &amp; Retail</t>
        </is>
      </c>
      <c r="AU201" s="48" t="inlineStr">
        <is>
          <t>Teacher</t>
        </is>
      </c>
      <c r="AV201" s="48" t="inlineStr">
        <is>
          <t>Teacher</t>
        </is>
      </c>
      <c r="AW201" s="48" t="inlineStr">
        <is>
          <t>Gardening; Cooking; Walking</t>
        </is>
      </c>
      <c r="AX201" s="48" t="inlineStr">
        <is>
          <t>Asylum Seeker</t>
        </is>
      </c>
      <c r="AY201" s="48" t="inlineStr">
        <is>
          <t>Yes</t>
        </is>
      </c>
      <c r="AZ201" s="48" t="inlineStr">
        <is>
          <t>Yes</t>
        </is>
      </c>
      <c r="BA201" s="48" t="inlineStr">
        <is>
          <t>NA</t>
        </is>
      </c>
      <c r="BB201" s="48" t="inlineStr">
        <is>
          <t>NA</t>
        </is>
      </c>
      <c r="BC201" s="48" t="inlineStr">
        <is>
          <t>NA</t>
        </is>
      </c>
      <c r="BD201" s="48" t="inlineStr">
        <is>
          <t>NA</t>
        </is>
      </c>
      <c r="BE201" s="48" t="inlineStr"/>
      <c r="BF201" s="48" t="inlineStr"/>
      <c r="BG201" s="48" t="inlineStr">
        <is>
          <t>NA</t>
        </is>
      </c>
      <c r="BH201" s="48" t="inlineStr">
        <is>
          <t>NA - Student</t>
        </is>
      </c>
      <c r="BI201" s="48" t="inlineStr">
        <is>
          <t>University of Sydney (including St. Paul's College)</t>
        </is>
      </c>
      <c r="BJ201" s="48" t="inlineStr">
        <is>
          <t>KNIJNIK Marina</t>
        </is>
      </c>
      <c r="BK201" s="48" t="inlineStr">
        <is>
          <t>SINGH Veera</t>
        </is>
      </c>
      <c r="BL201" s="48" t="inlineStr">
        <is>
          <t>Synthetic test record.</t>
        </is>
      </c>
      <c r="BM201" s="48" t="inlineStr"/>
      <c r="BN201" s="48">
        <f>TRIM(IF(AND($H201="Student",$J201="ADM-ACT-MAT-CNE"),"Invalid: Student cannot be CNE. ","")&amp;IF(AND($H201="Student",ISNUMBER($O201)),"Check: capacity set for a Student. ","")&amp;IF(AND(LEFT($J201,11)="ADM-ACT-MAT",$P201=0),"Check: matched status but 0 active pairings. ","")&amp;IF(AND($H201="Tutor",ISNUMBER($O201),$P201&gt;$O201),"Check: pairings exceed capacity. ","")&amp;IF(AND($BH201="Everyone",NOT(AND($BD201="Yes",$BG201="Yes"))),"Check: approved to tutor children but WWCC not provided/confirmed. ","")&amp;IF(AND($P201&gt;0,NOT(AND(OR(LEFT($AY201,3)="Yes",LEFT($AY201,2)="NA"),OR(LEFT($AZ201,3)="Yes",LEFT($AZ201,2)="NA")))),"Matched but vetting incomplete (interview/reference). ","")&amp;IF(COUNTIF($B$3:$B$600,$B201)&gt;1,"Duplicate participant name. ",""))</f>
        <v/>
      </c>
      <c r="BO201" s="48" t="inlineStr"/>
      <c r="BP201" s="48" t="inlineStr"/>
      <c r="BQ201" s="48" t="inlineStr"/>
      <c r="BR201" s="48" t="inlineStr"/>
      <c r="BS201" s="48" t="inlineStr"/>
      <c r="BT201" s="48" t="inlineStr"/>
      <c r="BU201" s="48" t="inlineStr"/>
      <c r="BV201" s="48" t="inlineStr"/>
      <c r="BW201" s="48" t="inlineStr"/>
      <c r="BX201" s="48" t="inlineStr"/>
      <c r="BY201" s="48" t="inlineStr"/>
      <c r="BZ201" s="48" t="inlineStr"/>
      <c r="CA201" s="48" t="inlineStr"/>
      <c r="CB201" s="48" t="inlineStr"/>
      <c r="CC201" s="48" t="inlineStr"/>
      <c r="CD201" s="48" t="inlineStr"/>
      <c r="CE201" s="48" t="inlineStr"/>
      <c r="CF201" s="48" t="inlineStr"/>
      <c r="CG201" s="48" t="inlineStr"/>
      <c r="CH201" s="48" t="inlineStr"/>
      <c r="CI201" s="48" t="inlineStr"/>
      <c r="CJ201" s="48" t="inlineStr"/>
      <c r="CK201" s="48" t="inlineStr"/>
      <c r="CL201" s="48" t="inlineStr"/>
      <c r="CM201" s="48" t="inlineStr"/>
      <c r="CN201" s="48" t="inlineStr"/>
      <c r="CO201" s="48" t="inlineStr"/>
      <c r="CP201" s="48" t="inlineStr"/>
      <c r="CQ201" s="48" t="inlineStr"/>
      <c r="CR201" s="48" t="inlineStr"/>
      <c r="CS201" s="48">
        <f>IF(LEFT($J201,3)="ERR",0,1)</f>
        <v/>
      </c>
      <c r="CT201" s="48">
        <f>IF(LEFT($J201,3)="ADM",1,0)</f>
        <v/>
      </c>
      <c r="CU201" s="48">
        <f>IF(OR($J201="ADM-ACT-MAT-CNE",$J201="ADM-ACT-MAT-CE",$J201="ADM-INACT-M&amp;T"),1,0)</f>
        <v/>
      </c>
      <c r="CV201" s="48">
        <f>IF(AND(CU201=1,ISNUMBER(M201),ISNUMBER(I201)),M201-I201,"")</f>
        <v/>
      </c>
      <c r="CW201" s="48">
        <f>IF(ISNUMBER(I201),TODAY()-I201,"")</f>
        <v/>
      </c>
      <c r="CX201" s="48">
        <f>IF(ISNUMBER(I201),DATE(YEAR(I201),MONTH(I201),1),"")</f>
        <v/>
      </c>
      <c r="CY201" s="48">
        <f>IFERROR(DATEDIF(AK201,TODAY(),"y"),"")</f>
        <v/>
      </c>
      <c r="CZ201" s="48">
        <f>IF(CY201="","",IF(CY201&lt;28,"18-27",IF(CY201&lt;38,"28-37",IF(CY201&lt;48,"38-47",IF(CY201&lt;58,"48-57",IF(CY201&lt;68,"58-67",IF(CY201&lt;78,"68-77","78+")))))) </f>
        <v/>
      </c>
      <c r="DA201" s="48">
        <f>IF(AND(BQ201&lt;&gt;"",BR201=""),N(BS201),0)+IF(AND(BW201&lt;&gt;"",BX201=""),N(BY201),0)+IF(AND(CC201&lt;&gt;"",CD201=""),N(CE201),0)+IF(AND(CI201&lt;&gt;"",CJ201=""),N(CK201),0)+IF(AND(CO201&lt;&gt;"",CP201=""),N(CQ201),0)</f>
        <v/>
      </c>
      <c r="DB201" s="48">
        <f>ROUND(IF(BQ201&lt;&gt;"",N(BS201)*MAX(0,((IF(BR201="",TODAY(),BR201))-BQ201)/7),0)+IF(BW201&lt;&gt;"",N(BY201)*MAX(0,((IF(BX201="",TODAY(),BX201))-BW201)/7),0)+IF(CC201&lt;&gt;"",N(CE201)*MAX(0,((IF(CD201="",TODAY(),CD201))-CC201)/7),0)+IF(CI201&lt;&gt;"",N(CK201)*MAX(0,((IF(CJ201="",TODAY(),CJ201))-CI201)/7),0)+IF(CO201&lt;&gt;"",N(CQ201)*MAX(0,((IF(CP201="",TODAY(),CP201))-CO201)/7),0),1)</f>
        <v/>
      </c>
      <c r="DC201" s="48">
        <f>IF(OR(TRIM(X201)="",TRIM(X201)="NA;",TRIM(X201)="NA"),0,1)</f>
        <v/>
      </c>
      <c r="DD201" s="48">
        <f>IF(OR(TRIM(Y201)="",TRIM(Y201)="NA;",TRIM(Y201)="NA"),0,1)</f>
        <v/>
      </c>
      <c r="DE201" s="48">
        <f>IF(OR(TRIM(Z201)="",TRIM(Z201)="NA;",TRIM(Z201)="NA"),0,1)</f>
        <v/>
      </c>
      <c r="DF201" s="48">
        <f>IF(OR(TRIM(AA201)="",TRIM(AA201)="NA;",TRIM(AA201)="NA"),0,1)</f>
        <v/>
      </c>
      <c r="DG201" s="48">
        <f>IF(OR(TRIM(AB201)="",TRIM(AB201)="NA;",TRIM(AB201)="NA"),0,1)</f>
        <v/>
      </c>
      <c r="DH201" s="48">
        <f>IF(OR(TRIM(AC201)="",TRIM(AC201)="NA;",TRIM(AC201)="NA"),0,1)</f>
        <v/>
      </c>
      <c r="DI201" s="48">
        <f>IF(OR(TRIM(AD201)="",TRIM(AD201)="NA;",TRIM(AD201)="NA"),0,1)</f>
        <v/>
      </c>
      <c r="DJ201" s="48">
        <f>TRIM(IF(DC201=1,"Mon ","")&amp;IF(DD201=1,"Tue ","")&amp;IF(DE201=1,"Wed ","")&amp;IF(DF201=1,"Thu ","")&amp;IF(DG201=1,"Fri ","")&amp;IF(DH201=1,"Sat ","")&amp;IF(DI201=1,"Sun ",""))</f>
        <v/>
      </c>
    </row>
    <row r="202">
      <c r="A202" s="48" t="inlineStr">
        <is>
          <t>S-N-00050</t>
        </is>
      </c>
      <c r="B202" s="48" t="inlineStr">
        <is>
          <t>Mohamed King</t>
        </is>
      </c>
      <c r="C202" s="48" t="inlineStr">
        <is>
          <t>mohamed.king100@example.com</t>
        </is>
      </c>
      <c r="D202" s="48" t="inlineStr">
        <is>
          <t>+61 453 942 078</t>
        </is>
      </c>
      <c r="E202" s="48" t="inlineStr">
        <is>
          <t>Mariam King</t>
        </is>
      </c>
      <c r="F202" s="48" t="inlineStr">
        <is>
          <t>+61 416 216 883</t>
        </is>
      </c>
      <c r="G202" s="48" t="inlineStr">
        <is>
          <t>Spouse</t>
        </is>
      </c>
      <c r="H202" s="48" t="inlineStr">
        <is>
          <t>Student</t>
        </is>
      </c>
      <c r="I202" s="49" t="n">
        <v>45986</v>
      </c>
      <c r="J202" s="48" t="inlineStr">
        <is>
          <t>ADM-ACT-MAT-CE</t>
        </is>
      </c>
      <c r="K202" s="48">
        <f>IFERROR(VLOOKUP(J202,'(A) Introduction'!$B$35:$C$45,2,FALSE),"")</f>
        <v/>
      </c>
      <c r="L202" s="48" t="inlineStr">
        <is>
          <t>No</t>
        </is>
      </c>
      <c r="M202" s="49" t="n">
        <v>46082</v>
      </c>
      <c r="N202" s="48" t="inlineStr"/>
      <c r="O202" s="48" t="inlineStr">
        <is>
          <t>NA</t>
        </is>
      </c>
      <c r="P202" s="48">
        <f>IF($H202="Tutor",((BQ202&lt;&gt;"")*(BR202=""))+((BW202&lt;&gt;"")*(BX202=""))+((CC202&lt;&gt;"")*(CD202=""))+((CI202&lt;&gt;"")*(CJ202=""))+((CO202&lt;&gt;"")*(CP202="")),SUMPRODUCT(--($BO$3:$BO$202=$A202),--($BR$3:$BR$202=""))+SUMPRODUCT(--($BU$3:$BU$202=$A202),--($BX$3:$BX$202=""))+SUMPRODUCT(--($CA$3:$CA$202=$A202),--($CD$3:$CD$202=""))+SUMPRODUCT(--($CG$3:$CG$202=$A202),--($CJ$3:$CJ$202=""))+SUMPRODUCT(--($CM$3:$CM$202=$A202),--($CP$3:$CP$202="")))</f>
        <v/>
      </c>
      <c r="Q202" s="48">
        <f>IF($H202="Tutor",(BQ202&lt;&gt;"")+(BW202&lt;&gt;"")+(CC202&lt;&gt;"")+(CI202&lt;&gt;"")+(CO202&lt;&gt;""),SUMPRODUCT(--($BO$3:$BO$202=$A202))+SUMPRODUCT(--($BU$3:$BU$202=$A202))+SUMPRODUCT(--($CA$3:$CA$202=$A202))+SUMPRODUCT(--($CG$3:$CG$202=$A202))+SUMPRODUCT(--($CM$3:$CM$202=$A202)))</f>
        <v/>
      </c>
      <c r="R202" s="48">
        <f>IF($H202="Tutor",TRIM(IF(AND(BQ202&lt;&gt;"",BR202=""),BP202&amp;"; ","")&amp;IF(AND(BW202&lt;&gt;"",BX202=""),BV202&amp;"; ","")&amp;IF(AND(CC202&lt;&gt;"",CD202=""),CB202&amp;"; ","")&amp;IF(AND(CI202&lt;&gt;"",CJ202=""),CH202&amp;"; ","")&amp;IF(AND(CO202&lt;&gt;"",CP202=""),CN202&amp;"; ","")),IFERROR(INDEX($A$3:$B$202,(SUMPRODUCT(($BO$3:$BO$202=$A202)*($BR$3:$BR$202="")*ROW($BO$3:$BO$202))+SUMPRODUCT(($BU$3:$BU$202=$A202)*($BX$3:$BX$202="")*ROW($BU$3:$BU$202))+SUMPRODUCT(($CA$3:$CA$202=$A202)*($CD$3:$CD$202="")*ROW($CA$3:$CA$202))+SUMPRODUCT(($CG$3:$CG$202=$A202)*($CJ$3:$CJ$202="")*ROW($CG$3:$CG$202))+SUMPRODUCT(($CM$3:$CM$202=$A202)*($CP$3:$CP$202="")*ROW($CM$3:$CM$202)))-2,2),""))</f>
        <v/>
      </c>
      <c r="S202" s="48" t="inlineStr">
        <is>
          <t>Not Provided</t>
        </is>
      </c>
      <c r="T202" s="48" t="inlineStr"/>
      <c r="U202" s="48" t="inlineStr"/>
      <c r="V202" s="49" t="n">
        <v>46043</v>
      </c>
      <c r="W202" s="48" t="inlineStr">
        <is>
          <t>ACDT (UTC+10:30)</t>
        </is>
      </c>
      <c r="X202" s="48" t="inlineStr">
        <is>
          <t>6pm-9pm;</t>
        </is>
      </c>
      <c r="Y202" s="48" t="inlineStr">
        <is>
          <t>6am-9am;9am-12pm;</t>
        </is>
      </c>
      <c r="Z202" s="48" t="inlineStr">
        <is>
          <t>NA;</t>
        </is>
      </c>
      <c r="AA202" s="48" t="inlineStr">
        <is>
          <t>3pm-6pm;</t>
        </is>
      </c>
      <c r="AB202" s="48" t="inlineStr">
        <is>
          <t>6pm-9pm;</t>
        </is>
      </c>
      <c r="AC202" s="48" t="inlineStr">
        <is>
          <t>12pm-3pm;6pm-9pm;</t>
        </is>
      </c>
      <c r="AD202" s="48" t="inlineStr">
        <is>
          <t>6am-9am;9am-12pm;</t>
        </is>
      </c>
      <c r="AE202" s="48" t="inlineStr">
        <is>
          <t>Either</t>
        </is>
      </c>
      <c r="AF202" s="48" t="inlineStr">
        <is>
          <t>Computer</t>
        </is>
      </c>
      <c r="AG202" s="48" t="inlineStr">
        <is>
          <t>Australia</t>
        </is>
      </c>
      <c r="AH202" s="48" t="inlineStr">
        <is>
          <t>New South Wales</t>
        </is>
      </c>
      <c r="AI202" s="48" t="inlineStr">
        <is>
          <t>Greenacre</t>
        </is>
      </c>
      <c r="AJ202" s="48" t="inlineStr">
        <is>
          <t>2190</t>
        </is>
      </c>
      <c r="AK202" s="49" t="n">
        <v>36360</v>
      </c>
      <c r="AL202" s="48" t="inlineStr">
        <is>
          <t>Male</t>
        </is>
      </c>
      <c r="AM202" s="48" t="inlineStr">
        <is>
          <t>No</t>
        </is>
      </c>
      <c r="AN202" s="48" t="inlineStr">
        <is>
          <t>A1</t>
        </is>
      </c>
      <c r="AO202" s="48" t="inlineStr">
        <is>
          <t>Low</t>
        </is>
      </c>
      <c r="AP202" s="48" t="inlineStr">
        <is>
          <t>Venezuela</t>
        </is>
      </c>
      <c r="AQ202" s="48" t="inlineStr">
        <is>
          <t>NA</t>
        </is>
      </c>
      <c r="AR202" s="48" t="inlineStr">
        <is>
          <t>Burmese (C1)</t>
        </is>
      </c>
      <c r="AS202" s="48" t="inlineStr">
        <is>
          <t>NA</t>
        </is>
      </c>
      <c r="AT202" s="48" t="inlineStr">
        <is>
          <t>Science, Tech, Engineering and Math</t>
        </is>
      </c>
      <c r="AU202" s="48" t="inlineStr">
        <is>
          <t>Accountant</t>
        </is>
      </c>
      <c r="AV202" s="48" t="inlineStr">
        <is>
          <t>Construction</t>
        </is>
      </c>
      <c r="AW202" s="48" t="inlineStr">
        <is>
          <t>Reading; Politics; Music</t>
        </is>
      </c>
      <c r="AX202" s="48" t="inlineStr">
        <is>
          <t>Refugee</t>
        </is>
      </c>
      <c r="AY202" s="48" t="inlineStr">
        <is>
          <t>NA - Partner Organisation Verified</t>
        </is>
      </c>
      <c r="AZ202" s="48" t="inlineStr">
        <is>
          <t>Yes</t>
        </is>
      </c>
      <c r="BA202" s="48" t="inlineStr">
        <is>
          <t>NA</t>
        </is>
      </c>
      <c r="BB202" s="48" t="inlineStr">
        <is>
          <t>NA</t>
        </is>
      </c>
      <c r="BC202" s="48" t="inlineStr">
        <is>
          <t>NA</t>
        </is>
      </c>
      <c r="BD202" s="48" t="inlineStr">
        <is>
          <t>NA</t>
        </is>
      </c>
      <c r="BE202" s="48" t="inlineStr"/>
      <c r="BF202" s="48" t="inlineStr"/>
      <c r="BG202" s="48" t="inlineStr">
        <is>
          <t>NA</t>
        </is>
      </c>
      <c r="BH202" s="48" t="inlineStr">
        <is>
          <t>NA - Student</t>
        </is>
      </c>
      <c r="BI202" s="48" t="inlineStr">
        <is>
          <t>Tasmania University (including the Law Society)</t>
        </is>
      </c>
      <c r="BJ202" s="48" t="inlineStr">
        <is>
          <t>SINGH Veera</t>
        </is>
      </c>
      <c r="BK202" s="48" t="inlineStr">
        <is>
          <t>NUICH Curtis</t>
        </is>
      </c>
      <c r="BL202" s="48" t="inlineStr">
        <is>
          <t>Synthetic test record.</t>
        </is>
      </c>
      <c r="BM202" s="48" t="inlineStr"/>
      <c r="BN202" s="48">
        <f>TRIM(IF(AND($H202="Student",$J202="ADM-ACT-MAT-CNE"),"Invalid: Student cannot be CNE. ","")&amp;IF(AND($H202="Student",ISNUMBER($O202)),"Check: capacity set for a Student. ","")&amp;IF(AND(LEFT($J202,11)="ADM-ACT-MAT",$P202=0),"Check: matched status but 0 active pairings. ","")&amp;IF(AND($H202="Tutor",ISNUMBER($O202),$P202&gt;$O202),"Check: pairings exceed capacity. ","")&amp;IF(AND($BH202="Everyone",NOT(AND($BD202="Yes",$BG202="Yes"))),"Check: approved to tutor children but WWCC not provided/confirmed. ","")&amp;IF(AND($P202&gt;0,NOT(AND(OR(LEFT($AY202,3)="Yes",LEFT($AY202,2)="NA"),OR(LEFT($AZ202,3)="Yes",LEFT($AZ202,2)="NA")))),"Matched but vetting incomplete (interview/reference). ","")&amp;IF(COUNTIF($B$3:$B$600,$B202)&gt;1,"Duplicate participant name. ",""))</f>
        <v/>
      </c>
      <c r="BO202" s="48" t="inlineStr"/>
      <c r="BP202" s="48" t="inlineStr"/>
      <c r="BQ202" s="48" t="inlineStr"/>
      <c r="BR202" s="48" t="inlineStr"/>
      <c r="BS202" s="48" t="inlineStr"/>
      <c r="BT202" s="48" t="inlineStr"/>
      <c r="BU202" s="48" t="inlineStr"/>
      <c r="BV202" s="48" t="inlineStr"/>
      <c r="BW202" s="48" t="inlineStr"/>
      <c r="BX202" s="48" t="inlineStr"/>
      <c r="BY202" s="48" t="inlineStr"/>
      <c r="BZ202" s="48" t="inlineStr"/>
      <c r="CA202" s="48" t="inlineStr"/>
      <c r="CB202" s="48" t="inlineStr"/>
      <c r="CC202" s="48" t="inlineStr"/>
      <c r="CD202" s="48" t="inlineStr"/>
      <c r="CE202" s="48" t="inlineStr"/>
      <c r="CF202" s="48" t="inlineStr"/>
      <c r="CG202" s="48" t="inlineStr"/>
      <c r="CH202" s="48" t="inlineStr"/>
      <c r="CI202" s="48" t="inlineStr"/>
      <c r="CJ202" s="48" t="inlineStr"/>
      <c r="CK202" s="48" t="inlineStr"/>
      <c r="CL202" s="48" t="inlineStr"/>
      <c r="CM202" s="48" t="inlineStr"/>
      <c r="CN202" s="48" t="inlineStr"/>
      <c r="CO202" s="48" t="inlineStr"/>
      <c r="CP202" s="48" t="inlineStr"/>
      <c r="CQ202" s="48" t="inlineStr"/>
      <c r="CR202" s="48" t="inlineStr"/>
      <c r="CS202" s="48">
        <f>IF(LEFT($J202,3)="ERR",0,1)</f>
        <v/>
      </c>
      <c r="CT202" s="48">
        <f>IF(LEFT($J202,3)="ADM",1,0)</f>
        <v/>
      </c>
      <c r="CU202" s="48">
        <f>IF(OR($J202="ADM-ACT-MAT-CNE",$J202="ADM-ACT-MAT-CE",$J202="ADM-INACT-M&amp;T"),1,0)</f>
        <v/>
      </c>
      <c r="CV202" s="48">
        <f>IF(AND(CU202=1,ISNUMBER(M202),ISNUMBER(I202)),M202-I202,"")</f>
        <v/>
      </c>
      <c r="CW202" s="48">
        <f>IF(ISNUMBER(I202),TODAY()-I202,"")</f>
        <v/>
      </c>
      <c r="CX202" s="48">
        <f>IF(ISNUMBER(I202),DATE(YEAR(I202),MONTH(I202),1),"")</f>
        <v/>
      </c>
      <c r="CY202" s="48">
        <f>IFERROR(DATEDIF(AK202,TODAY(),"y"),"")</f>
        <v/>
      </c>
      <c r="CZ202" s="48">
        <f>IF(CY202="","",IF(CY202&lt;28,"18-27",IF(CY202&lt;38,"28-37",IF(CY202&lt;48,"38-47",IF(CY202&lt;58,"48-57",IF(CY202&lt;68,"58-67",IF(CY202&lt;78,"68-77","78+")))))) </f>
        <v/>
      </c>
      <c r="DA202" s="48">
        <f>IF(AND(BQ202&lt;&gt;"",BR202=""),N(BS202),0)+IF(AND(BW202&lt;&gt;"",BX202=""),N(BY202),0)+IF(AND(CC202&lt;&gt;"",CD202=""),N(CE202),0)+IF(AND(CI202&lt;&gt;"",CJ202=""),N(CK202),0)+IF(AND(CO202&lt;&gt;"",CP202=""),N(CQ202),0)</f>
        <v/>
      </c>
      <c r="DB202" s="48">
        <f>ROUND(IF(BQ202&lt;&gt;"",N(BS202)*MAX(0,((IF(BR202="",TODAY(),BR202))-BQ202)/7),0)+IF(BW202&lt;&gt;"",N(BY202)*MAX(0,((IF(BX202="",TODAY(),BX202))-BW202)/7),0)+IF(CC202&lt;&gt;"",N(CE202)*MAX(0,((IF(CD202="",TODAY(),CD202))-CC202)/7),0)+IF(CI202&lt;&gt;"",N(CK202)*MAX(0,((IF(CJ202="",TODAY(),CJ202))-CI202)/7),0)+IF(CO202&lt;&gt;"",N(CQ202)*MAX(0,((IF(CP202="",TODAY(),CP202))-CO202)/7),0),1)</f>
        <v/>
      </c>
      <c r="DC202" s="48">
        <f>IF(OR(TRIM(X202)="",TRIM(X202)="NA;",TRIM(X202)="NA"),0,1)</f>
        <v/>
      </c>
      <c r="DD202" s="48">
        <f>IF(OR(TRIM(Y202)="",TRIM(Y202)="NA;",TRIM(Y202)="NA"),0,1)</f>
        <v/>
      </c>
      <c r="DE202" s="48">
        <f>IF(OR(TRIM(Z202)="",TRIM(Z202)="NA;",TRIM(Z202)="NA"),0,1)</f>
        <v/>
      </c>
      <c r="DF202" s="48">
        <f>IF(OR(TRIM(AA202)="",TRIM(AA202)="NA;",TRIM(AA202)="NA"),0,1)</f>
        <v/>
      </c>
      <c r="DG202" s="48">
        <f>IF(OR(TRIM(AB202)="",TRIM(AB202)="NA;",TRIM(AB202)="NA"),0,1)</f>
        <v/>
      </c>
      <c r="DH202" s="48">
        <f>IF(OR(TRIM(AC202)="",TRIM(AC202)="NA;",TRIM(AC202)="NA"),0,1)</f>
        <v/>
      </c>
      <c r="DI202" s="48">
        <f>IF(OR(TRIM(AD202)="",TRIM(AD202)="NA;",TRIM(AD202)="NA"),0,1)</f>
        <v/>
      </c>
      <c r="DJ202" s="48">
        <f>TRIM(IF(DC202=1,"Mon ","")&amp;IF(DD202=1,"Tue ","")&amp;IF(DE202=1,"Wed ","")&amp;IF(DF202=1,"Thu ","")&amp;IF(DG202=1,"Fri ","")&amp;IF(DH202=1,"Sat ","")&amp;IF(DI202=1,"Sun ",""))</f>
        <v/>
      </c>
    </row>
  </sheetData>
  <mergeCells count="8">
    <mergeCell ref="J1:V1"/>
    <mergeCell ref="W1:AF1"/>
    <mergeCell ref="BO1:CR1"/>
    <mergeCell ref="CS1:DJ1"/>
    <mergeCell ref="BL1:BN1"/>
    <mergeCell ref="A1:I1"/>
    <mergeCell ref="AX1:BK1"/>
    <mergeCell ref="AG1:AW1"/>
  </mergeCells>
  <conditionalFormatting sqref="J3:K600">
    <cfRule type="expression" priority="1" dxfId="0" stopIfTrue="1">
      <formula>$J3="ADM-ACT-MAT-CE"</formula>
    </cfRule>
    <cfRule type="expression" priority="2" dxfId="1" stopIfTrue="1">
      <formula>OR($J3="ADM-ACT-UNMAT",$J3="ADM-ACT-MAT-CNE")</formula>
    </cfRule>
    <cfRule type="expression" priority="3" dxfId="2" stopIfTrue="1">
      <formula>AND($J3&lt;&gt;"",NOT(OR($J3="ADM-ACT-MAT-CE",$J3="ADM-ACT-UNMAT",$J3="ADM-ACT-MAT-CNE")))</formula>
    </cfRule>
  </conditionalFormatting>
  <conditionalFormatting sqref="AY3:AY600">
    <cfRule type="expression" priority="4" dxfId="0" stopIfTrue="1">
      <formula>OR(LEFT(AY3,3)="Yes",LEFT(AY3,2)="NA")</formula>
    </cfRule>
    <cfRule type="expression" priority="5" dxfId="2" stopIfTrue="1">
      <formula>OR(AY3="No",AY3="")</formula>
    </cfRule>
  </conditionalFormatting>
  <conditionalFormatting sqref="AZ3:AZ600">
    <cfRule type="expression" priority="6" dxfId="0" stopIfTrue="1">
      <formula>OR(LEFT(AZ3,3)="Yes",LEFT(AZ3,2)="NA")</formula>
    </cfRule>
    <cfRule type="expression" priority="7" dxfId="2" stopIfTrue="1">
      <formula>OR(AZ3="No",AZ3="")</formula>
    </cfRule>
  </conditionalFormatting>
  <conditionalFormatting sqref="B3:B600">
    <cfRule type="expression" priority="8" dxfId="3" stopIfTrue="1">
      <formula>AND($B3&lt;&gt;"",COUNTIF($B$3:$B$600,$B3)&gt;1)</formula>
    </cfRule>
  </conditionalFormatting>
  <conditionalFormatting sqref="V3:V600">
    <cfRule type="expression" priority="9" dxfId="2" stopIfTrue="1">
      <formula>AND($A3&lt;&gt;"",OR($V3="",AND(ISNUMBER($V3),$V3&lt;TODAY()-365)))</formula>
    </cfRule>
  </conditionalFormatting>
  <conditionalFormatting sqref="L3:L600">
    <cfRule type="expression" priority="10" dxfId="3" stopIfTrue="1">
      <formula>LEFT($L3,3)="Yes"</formula>
    </cfRule>
  </conditionalFormatting>
  <conditionalFormatting sqref="BN3:BN600">
    <cfRule type="expression" priority="11" dxfId="4" stopIfTrue="1">
      <formula>LEN(TRIM($BN3))&gt;0</formula>
    </cfRule>
  </conditionalFormatting>
  <conditionalFormatting sqref="A3:DJ600">
    <cfRule type="expression" priority="12" dxfId="5">
      <formula>AND(ISEVEN(ROW()),$A3&lt;&gt;"")</formula>
    </cfRule>
  </conditionalFormatting>
  <dataValidations count="28">
    <dataValidation sqref="H3:H600" showDropDown="0" showInputMessage="0" showErrorMessage="0" allowBlank="1" errorTitle="Invalid entry" error="Pick a value from the list." type="list">
      <formula1>"Tutor,Student"</formula1>
    </dataValidation>
    <dataValidation sqref="J3:J600" showDropDown="0" showInputMessage="0" showErrorMessage="0" allowBlank="1" errorTitle="Invalid entry" error="Pick a value from the list." type="list">
      <formula1>"ERR-TST,ERR-DUP,ERR-OTH,NADM-UNP,NADM-REJ-UNRES,NADM-REJ-UNSUIT,ADM-ACT-UNMAT,ADM-ACT-MAT-CNE,ADM-ACT-MAT-CE,ADM-INACT-M&amp;T,ADM-INACT-NOM&amp;T"</formula1>
    </dataValidation>
    <dataValidation sqref="L3:L600" showDropDown="0" showInputMessage="0" showErrorMessage="0" allowBlank="1" errorTitle="Invalid entry" error="Pick a value from the list." type="list">
      <formula1>"No,Yes - see ''Comments''"</formula1>
    </dataValidation>
    <dataValidation sqref="AE3:AE600" showDropDown="0" showInputMessage="0" showErrorMessage="0" allowBlank="1" errorTitle="Invalid entry" error="Pick a value from the list." type="list">
      <formula1>"Online,In-Person,Either"</formula1>
    </dataValidation>
    <dataValidation sqref="AF3:AF600" showDropDown="0" showInputMessage="0" showErrorMessage="0" allowBlank="1" errorTitle="Invalid entry" error="Pick a value from the list." type="list">
      <formula1>"Computer,Phone,Tablet,Multiple devices,None,NA - Tutor"</formula1>
    </dataValidation>
    <dataValidation sqref="AG3:AG600" showDropDown="0" showInputMessage="0" showErrorMessage="0" allowBlank="1" errorTitle="Invalid entry" error="Pick a value from the list." type="list">
      <formula1>"Australia"</formula1>
    </dataValidation>
    <dataValidation sqref="AH3:AH600" showDropDown="0" showInputMessage="0" showErrorMessage="0" allowBlank="1" errorTitle="Invalid entry" error="Pick a value from the list." type="list">
      <formula1>"New South Wales,Victoria,Queensland,South Australia,Western Australia,Tasmania,Northern Territory,Australian Capital Territory"</formula1>
    </dataValidation>
    <dataValidation sqref="AL3:AL600" showDropDown="0" showInputMessage="0" showErrorMessage="0" allowBlank="1" errorTitle="Invalid entry" error="Pick a value from the list." type="list">
      <formula1>"Female,Male,Other"</formula1>
    </dataValidation>
    <dataValidation sqref="AN3:AN600" showDropDown="0" showInputMessage="0" showErrorMessage="0" allowBlank="1" errorTitle="Invalid entry" error="Pick a value from the list." type="list">
      <formula1>"A1,A2,B1,B2,C1,C2,Not assessed,NA - Tutor"</formula1>
    </dataValidation>
    <dataValidation sqref="AT3:AT600" showDropDown="0" showInputMessage="0" showErrorMessage="0" allowBlank="1" errorTitle="Invalid entry" error="Pick a value from the list." type="list">
      <formula1>=Lists!$B$2:$B$14</formula1>
    </dataValidation>
    <dataValidation sqref="BI3:BI600" showDropDown="0" showInputMessage="0" showErrorMessage="0" allowBlank="1" errorTitle="Invalid entry" error="Pick a value from the list." type="list">
      <formula1>=Lists!$A$2:$A$24</formula1>
    </dataValidation>
    <dataValidation sqref="BJ3:BJ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 sqref="BK3:BK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 sqref="W3:W600" showDropDown="0" showInputMessage="0" showErrorMessage="0" allowBlank="1" errorTitle="Invalid entry" error="Pick a value from the list." type="list">
      <formula1>"AEST (UTC+10),AEDT (UTC+11),ACST (UTC+9:30),ACDT (UTC+10:30),AWST (UTC+8)"</formula1>
    </dataValidation>
    <dataValidation sqref="S3:S600" showDropDown="0" showInputMessage="0" showErrorMessage="0" allowBlank="1" errorTitle="Invalid entry" error="Pick a value from the list." type="list">
      <formula1>"Provided,Not Provided,NA"</formula1>
    </dataValidation>
    <dataValidation sqref="AM3:AM600" showDropDown="0" showInputMessage="0" showErrorMessage="0" allowBlank="1" errorTitle="Invalid entry" error="Pick a value from the list." type="list">
      <formula1>"Yes,No,NA"</formula1>
    </dataValidation>
    <dataValidation sqref="AO3:AO600" showDropDown="0" showInputMessage="0" showErrorMessage="0" allowBlank="1" errorTitle="Invalid entry" error="Pick a value from the list." type="list">
      <formula1>"Low,Moderate,High,Outstanding"</formula1>
    </dataValidation>
    <dataValidation sqref="AX3:AX600" showDropDown="0" showInputMessage="0" showErrorMessage="0" allowBlank="1" errorTitle="Invalid entry" error="Pick a value from the list." type="list">
      <formula1>"Refugee,Asylum Seeker,NA - Tutor"</formula1>
    </dataValidation>
    <dataValidation sqref="AY3:AY600" showDropDown="0" showInputMessage="0" showErrorMessage="0" allowBlank="1" errorTitle="Invalid entry" error="Pick a value from the list." type="list">
      <formula1>"Yes,No,NA - RELT Member Verified,NA - Partner Organisation Verified"</formula1>
    </dataValidation>
    <dataValidation sqref="AZ3:AZ600" showDropDown="0" showInputMessage="0" showErrorMessage="0" allowBlank="1" errorTitle="Invalid entry" error="Pick a value from the list." type="list">
      <formula1>"Yes,No,NA - RELT Member Verified,NA - Partner Organisation Verified"</formula1>
    </dataValidation>
    <dataValidation sqref="BD3:BD600" showDropDown="0" showInputMessage="0" showErrorMessage="0" allowBlank="1" errorTitle="Invalid entry" error="Pick a value from the list." type="list">
      <formula1>"Yes,No,Pending,NA"</formula1>
    </dataValidation>
    <dataValidation sqref="BG3:BG600" showDropDown="0" showInputMessage="0" showErrorMessage="0" allowBlank="1" errorTitle="Invalid entry" error="Pick a value from the list." type="list">
      <formula1>"Yes,No,NA"</formula1>
    </dataValidation>
    <dataValidation sqref="BH3:BH600" showDropDown="0" showInputMessage="0" showErrorMessage="0" allowBlank="1" errorTitle="Invalid entry" error="Pick a value from the list." type="list">
      <formula1>"No One,Adults Only,Everyone,NA - Student"</formula1>
    </dataValidation>
    <dataValidation sqref="BT3:BT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 sqref="BZ3:BZ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 sqref="CF3:CF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 sqref="CL3:CL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 sqref="CR3:CR600" showDropDown="0" showInputMessage="0" showErrorMessage="0" allowBlank="1" errorTitle="Invalid entry" error="Pick a value from the list." type="list">
      <formula1>"AGARWAL Akanksha,CROCK Mary,HALLORAN Isobel,HERVIR Oliver,KNIJNIK Marina,MCCLELLAND Reeve,MCCRORIE John,NUICH Curtis,SHANAHAN Jack,SINGH Veera,THET Moh Moh,ZULMAN Levi"</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Pathway</t>
        </is>
      </c>
      <c r="B1" t="inlineStr">
        <is>
          <t>JobStudyCategory</t>
        </is>
      </c>
    </row>
    <row r="2">
      <c r="A2" t="inlineStr">
        <is>
          <t>AMES Australia</t>
        </is>
      </c>
      <c r="B2" t="inlineStr">
        <is>
          <t>Arts, Media &amp; Design</t>
        </is>
      </c>
    </row>
    <row r="3">
      <c r="A3" t="inlineStr">
        <is>
          <t>Asylum Seeker Resource Centre</t>
        </is>
      </c>
      <c r="B3" t="inlineStr">
        <is>
          <t>Business &amp; Finance</t>
        </is>
      </c>
    </row>
    <row r="4">
      <c r="A4" t="inlineStr">
        <is>
          <t>Ayelet</t>
        </is>
      </c>
      <c r="B4" t="inlineStr">
        <is>
          <t>Childcare &amp; Aged Care</t>
        </is>
      </c>
    </row>
    <row r="5">
      <c r="A5" t="inlineStr">
        <is>
          <t>Bread &amp; Butter Project</t>
        </is>
      </c>
      <c r="B5" t="inlineStr">
        <is>
          <t>Education &amp; Academia</t>
        </is>
      </c>
    </row>
    <row r="6">
      <c r="A6" t="inlineStr">
        <is>
          <t>CareerSeekers</t>
        </is>
      </c>
      <c r="B6" t="inlineStr">
        <is>
          <t>Health &amp; Medicine</t>
        </is>
      </c>
    </row>
    <row r="7">
      <c r="A7" t="inlineStr">
        <is>
          <t>Grandmothers for Refugees</t>
        </is>
      </c>
      <c r="B7" t="inlineStr">
        <is>
          <t>Hospitality &amp; Retail</t>
        </is>
      </c>
    </row>
    <row r="8">
      <c r="A8" t="inlineStr">
        <is>
          <t>Jesuit Refugee Service</t>
        </is>
      </c>
      <c r="B8" t="inlineStr">
        <is>
          <t>Labour, Administrative &amp; Clerical</t>
        </is>
      </c>
    </row>
    <row r="9">
      <c r="A9" t="inlineStr">
        <is>
          <t>Kaldor Centre for International Refugee Law</t>
        </is>
      </c>
      <c r="B9" t="inlineStr">
        <is>
          <t>Law &amp; Legal Services</t>
        </is>
      </c>
    </row>
    <row r="10">
      <c r="A10" t="inlineStr">
        <is>
          <t>National Justice Project</t>
        </is>
      </c>
      <c r="B10" t="inlineStr">
        <is>
          <t>Military &amp; Public Safety</t>
        </is>
      </c>
    </row>
    <row r="11">
      <c r="A11" t="inlineStr">
        <is>
          <t>Notice Board</t>
        </is>
      </c>
      <c r="B11" t="inlineStr">
        <is>
          <t>Social &amp; Community Services</t>
        </is>
      </c>
    </row>
    <row r="12">
      <c r="A12" t="inlineStr">
        <is>
          <t>Refugee Advice and Casework Service</t>
        </is>
      </c>
      <c r="B12" t="inlineStr">
        <is>
          <t>Science, Tech, Engineering and Math</t>
        </is>
      </c>
    </row>
    <row r="13">
      <c r="A13" t="inlineStr">
        <is>
          <t>Refugee Council of Australia</t>
        </is>
      </c>
      <c r="B13" t="inlineStr">
        <is>
          <t>Trades &amp; Construction</t>
        </is>
      </c>
    </row>
    <row r="14">
      <c r="A14" t="inlineStr">
        <is>
          <t>Refugee Education Australia</t>
        </is>
      </c>
      <c r="B14" t="inlineStr">
        <is>
          <t>Other / Unspecified</t>
        </is>
      </c>
    </row>
    <row r="15">
      <c r="A15" t="inlineStr">
        <is>
          <t>Settlement Services International</t>
        </is>
      </c>
    </row>
    <row r="16">
      <c r="A16" t="inlineStr">
        <is>
          <t>STARTTS</t>
        </is>
      </c>
    </row>
    <row r="17">
      <c r="A17" t="inlineStr">
        <is>
          <t>Supporting Asylum Seekers Sydney</t>
        </is>
      </c>
    </row>
    <row r="18">
      <c r="A18" t="inlineStr">
        <is>
          <t>University of Sydney (including St. Paul's College)</t>
        </is>
      </c>
    </row>
    <row r="19">
      <c r="A19" t="inlineStr">
        <is>
          <t>University of Technology Sydney (including the Brennan Justice Program)</t>
        </is>
      </c>
    </row>
    <row r="20">
      <c r="A20" t="inlineStr">
        <is>
          <t>University of Western Sydney (including the Law Students' Society)</t>
        </is>
      </c>
    </row>
    <row r="21">
      <c r="A21" t="inlineStr">
        <is>
          <t>University of Queensland (Including the Refugee Tutoring Club)</t>
        </is>
      </c>
    </row>
    <row r="22">
      <c r="A22" t="inlineStr">
        <is>
          <t>Tasmania University (including the Law Society)</t>
        </is>
      </c>
    </row>
    <row r="23">
      <c r="A23" t="inlineStr">
        <is>
          <t>Other</t>
        </is>
      </c>
    </row>
    <row r="24">
      <c r="A2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7"/>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6" customWidth="1" min="4" max="4"/>
    <col width="15" customWidth="1" min="5" max="5"/>
    <col width="26" customWidth="1" min="6" max="6"/>
    <col width="15" customWidth="1" min="7" max="7"/>
    <col width="15" customWidth="1" min="8" max="8"/>
    <col width="15" customWidth="1" min="9" max="9"/>
    <col width="15" customWidth="1" min="10" max="10"/>
    <col width="15" customWidth="1" min="11" max="11"/>
    <col width="15" customWidth="1" min="12" max="12"/>
    <col width="26" customWidth="1" min="13" max="13"/>
    <col width="26" customWidth="1" min="14" max="14"/>
    <col width="26" customWidth="1" min="15" max="15"/>
    <col width="26" customWidth="1" min="16" max="16"/>
  </cols>
  <sheetData>
    <row r="1">
      <c r="A1" s="15" t="inlineStr">
        <is>
          <t>(C) REGISTER OF FEEDBACK — landing table for the Tutee and Tutor feedback Microsoft Forms. Each form has its own Power Automate flow ("When a new response is submitted" → "Add a row into a table") writing here.</t>
        </is>
      </c>
    </row>
    <row r="2">
      <c r="A2" s="50" t="inlineStr">
        <is>
          <t>Blue-headed columns are auto-populated by Forms/Power Automate (response ID, submit time, form, name). Green-headed columns are QUANTITATIVE (single-choice scales) and are charted on (D) Visualisation. Grey = free text.</t>
        </is>
      </c>
    </row>
    <row r="3">
      <c r="A3" s="51" t="inlineStr">
        <is>
          <t>Response ID</t>
        </is>
      </c>
      <c r="B3" s="51" t="inlineStr">
        <is>
          <t>Submitted</t>
        </is>
      </c>
      <c r="C3" s="51" t="inlineStr">
        <is>
          <t>Form</t>
        </is>
      </c>
      <c r="D3" s="51" t="inlineStr">
        <is>
          <t>Respondent Name</t>
        </is>
      </c>
      <c r="E3" s="52" t="inlineStr">
        <is>
          <t>Participant ID (link)</t>
        </is>
      </c>
      <c r="F3" s="52" t="inlineStr">
        <is>
          <t>Participant Name</t>
        </is>
      </c>
      <c r="G3" s="52" t="inlineStr">
        <is>
          <t>Filling form on own? (Tutee)</t>
        </is>
      </c>
      <c r="H3" s="53" t="inlineStr">
        <is>
          <t>Overall Opinion</t>
        </is>
      </c>
      <c r="I3" s="53" t="inlineStr">
        <is>
          <t>Support from RELT (Tutor)</t>
        </is>
      </c>
      <c r="J3" s="53" t="inlineStr">
        <is>
          <t>English Confidence Change</t>
        </is>
      </c>
      <c r="K3" s="53" t="inlineStr">
        <is>
          <t>Likelihood to Recommend</t>
        </is>
      </c>
      <c r="L3" s="53" t="inlineStr">
        <is>
          <t>Ease of Communication</t>
        </is>
      </c>
      <c r="M3" s="52" t="inlineStr">
        <is>
          <t>Experience so far (text)</t>
        </is>
      </c>
      <c r="N3" s="52" t="inlineStr">
        <is>
          <t>Has tutoring helped? / outcomes (Tutee)</t>
        </is>
      </c>
      <c r="O3" s="52" t="inlineStr">
        <is>
          <t>Tutor support &amp; recommendations (Tutor)</t>
        </is>
      </c>
      <c r="P3" s="52" t="inlineStr">
        <is>
          <t>Improvement suggestions (text)</t>
        </is>
      </c>
    </row>
    <row r="4">
      <c r="A4" s="48" t="inlineStr">
        <is>
          <t>R-00001</t>
        </is>
      </c>
      <c r="B4" s="49" t="n">
        <v>46076</v>
      </c>
      <c r="C4" s="48" t="inlineStr">
        <is>
          <t>Tutee</t>
        </is>
      </c>
      <c r="D4" s="48" t="inlineStr">
        <is>
          <t>Peter Slaytor</t>
        </is>
      </c>
      <c r="E4" s="48" t="inlineStr">
        <is>
          <t>S-N-00043</t>
        </is>
      </c>
      <c r="F4" s="48">
        <f>IFERROR(VLOOKUP(E4,'(B) Register of Participants'!$A:$B,2,FALSE),"")</f>
        <v/>
      </c>
      <c r="G4" s="48" t="inlineStr">
        <is>
          <t>Yes</t>
        </is>
      </c>
      <c r="H4" s="48" t="inlineStr">
        <is>
          <t>Good</t>
        </is>
      </c>
      <c r="I4" s="48" t="inlineStr"/>
      <c r="J4" s="48" t="inlineStr">
        <is>
          <t>I am slightly more confident</t>
        </is>
      </c>
      <c r="K4" s="48" t="inlineStr">
        <is>
          <t>Likely</t>
        </is>
      </c>
      <c r="L4" s="48" t="inlineStr">
        <is>
          <t>Easy</t>
        </is>
      </c>
      <c r="M4" s="48" t="inlineStr">
        <is>
          <t>Synthetic feedback for dashboard demonstration.</t>
        </is>
      </c>
      <c r="N4" s="48" t="inlineStr">
        <is>
          <t>Reports improved confidence at work.</t>
        </is>
      </c>
      <c r="O4" s="48" t="inlineStr"/>
      <c r="P4" s="48" t="inlineStr"/>
    </row>
    <row r="5">
      <c r="A5" s="48" t="inlineStr">
        <is>
          <t>R-00002</t>
        </is>
      </c>
      <c r="B5" s="49" t="n">
        <v>46066</v>
      </c>
      <c r="C5" s="48" t="inlineStr">
        <is>
          <t>Tutee</t>
        </is>
      </c>
      <c r="D5" s="48" t="inlineStr">
        <is>
          <t>Daniel Taylor</t>
        </is>
      </c>
      <c r="E5" s="48" t="inlineStr">
        <is>
          <t>S-O-00021</t>
        </is>
      </c>
      <c r="F5" s="48">
        <f>IFERROR(VLOOKUP(E5,'(B) Register of Participants'!$A:$B,2,FALSE),"")</f>
        <v/>
      </c>
      <c r="G5" s="48" t="inlineStr">
        <is>
          <t>No, my tutor is helping me</t>
        </is>
      </c>
      <c r="H5" s="48" t="inlineStr">
        <is>
          <t>Bad</t>
        </is>
      </c>
      <c r="I5" s="48" t="inlineStr"/>
      <c r="J5" s="48" t="inlineStr">
        <is>
          <t>I am slightly less confident</t>
        </is>
      </c>
      <c r="K5" s="48" t="inlineStr">
        <is>
          <t>Likely</t>
        </is>
      </c>
      <c r="L5" s="48" t="inlineStr">
        <is>
          <t>Very easy</t>
        </is>
      </c>
      <c r="M5" s="48" t="inlineStr">
        <is>
          <t>Synthetic feedback for dashboard demonstration.</t>
        </is>
      </c>
      <c r="N5" s="48" t="inlineStr">
        <is>
          <t>Reports improved confidence at work.</t>
        </is>
      </c>
      <c r="O5" s="48" t="inlineStr"/>
      <c r="P5" s="48" t="inlineStr"/>
    </row>
    <row r="6">
      <c r="A6" s="48" t="inlineStr">
        <is>
          <t>R-00003</t>
        </is>
      </c>
      <c r="B6" s="49" t="n">
        <v>46053</v>
      </c>
      <c r="C6" s="48" t="inlineStr">
        <is>
          <t>Tutee</t>
        </is>
      </c>
      <c r="D6" s="48" t="inlineStr">
        <is>
          <t>Laura Morris</t>
        </is>
      </c>
      <c r="E6" s="48" t="inlineStr">
        <is>
          <t>S-N-00044</t>
        </is>
      </c>
      <c r="F6" s="48">
        <f>IFERROR(VLOOKUP(E6,'(B) Register of Participants'!$A:$B,2,FALSE),"")</f>
        <v/>
      </c>
      <c r="G6" s="48" t="inlineStr">
        <is>
          <t>Yes</t>
        </is>
      </c>
      <c r="H6" s="48" t="inlineStr">
        <is>
          <t>Very Good</t>
        </is>
      </c>
      <c r="I6" s="48" t="inlineStr"/>
      <c r="J6" s="48" t="inlineStr">
        <is>
          <t>I am slightly more confident</t>
        </is>
      </c>
      <c r="K6" s="48" t="inlineStr">
        <is>
          <t>Very Likely</t>
        </is>
      </c>
      <c r="L6" s="48" t="inlineStr">
        <is>
          <t>Neither Difficult or Easy</t>
        </is>
      </c>
      <c r="M6" s="48" t="inlineStr">
        <is>
          <t>Synthetic feedback for dashboard demonstration.</t>
        </is>
      </c>
      <c r="N6" s="48" t="inlineStr">
        <is>
          <t>Reports improved confidence at work.</t>
        </is>
      </c>
      <c r="O6" s="48" t="inlineStr"/>
      <c r="P6" s="48" t="inlineStr"/>
    </row>
    <row r="7">
      <c r="A7" s="48" t="inlineStr">
        <is>
          <t>R-00004</t>
        </is>
      </c>
      <c r="B7" s="49" t="n">
        <v>46118</v>
      </c>
      <c r="C7" s="48" t="inlineStr">
        <is>
          <t>Tutee</t>
        </is>
      </c>
      <c r="D7" s="48" t="inlineStr">
        <is>
          <t>Omar Lopez</t>
        </is>
      </c>
      <c r="E7" s="48" t="inlineStr">
        <is>
          <t>S-O-00039</t>
        </is>
      </c>
      <c r="F7" s="48">
        <f>IFERROR(VLOOKUP(E7,'(B) Register of Participants'!$A:$B,2,FALSE),"")</f>
        <v/>
      </c>
      <c r="G7" s="48" t="inlineStr">
        <is>
          <t>Yes</t>
        </is>
      </c>
      <c r="H7" s="48" t="inlineStr">
        <is>
          <t>Good</t>
        </is>
      </c>
      <c r="I7" s="48" t="inlineStr"/>
      <c r="J7" s="48" t="inlineStr">
        <is>
          <t>My confidence has not changed</t>
        </is>
      </c>
      <c r="K7" s="48" t="inlineStr">
        <is>
          <t>Very Likely</t>
        </is>
      </c>
      <c r="L7" s="48" t="inlineStr">
        <is>
          <t>Very easy</t>
        </is>
      </c>
      <c r="M7" s="48" t="inlineStr">
        <is>
          <t>Synthetic feedback for dashboard demonstration.</t>
        </is>
      </c>
      <c r="N7" s="48" t="inlineStr">
        <is>
          <t>Reports improved confidence at work.</t>
        </is>
      </c>
      <c r="O7" s="48" t="inlineStr"/>
      <c r="P7" s="48" t="inlineStr"/>
    </row>
    <row r="8">
      <c r="A8" s="48" t="inlineStr">
        <is>
          <t>R-00005</t>
        </is>
      </c>
      <c r="B8" s="49" t="n">
        <v>46173</v>
      </c>
      <c r="C8" s="48" t="inlineStr">
        <is>
          <t>Tutee</t>
        </is>
      </c>
      <c r="D8" s="48" t="inlineStr">
        <is>
          <t>Ben Petrov</t>
        </is>
      </c>
      <c r="E8" s="48" t="inlineStr">
        <is>
          <t>S-O-00010</t>
        </is>
      </c>
      <c r="F8" s="48">
        <f>IFERROR(VLOOKUP(E8,'(B) Register of Participants'!$A:$B,2,FALSE),"")</f>
        <v/>
      </c>
      <c r="G8" s="48" t="inlineStr">
        <is>
          <t>Yes</t>
        </is>
      </c>
      <c r="H8" s="48" t="inlineStr">
        <is>
          <t>Bad</t>
        </is>
      </c>
      <c r="I8" s="48" t="inlineStr"/>
      <c r="J8" s="48" t="inlineStr">
        <is>
          <t>I am slightly less confident</t>
        </is>
      </c>
      <c r="K8" s="48" t="inlineStr">
        <is>
          <t>Likely</t>
        </is>
      </c>
      <c r="L8" s="48" t="inlineStr">
        <is>
          <t>Easy</t>
        </is>
      </c>
      <c r="M8" s="48" t="inlineStr">
        <is>
          <t>Synthetic feedback for dashboard demonstration.</t>
        </is>
      </c>
      <c r="N8" s="48" t="inlineStr">
        <is>
          <t>Reports improved confidence at work.</t>
        </is>
      </c>
      <c r="O8" s="48" t="inlineStr"/>
      <c r="P8" s="48" t="inlineStr"/>
    </row>
    <row r="9">
      <c r="A9" s="48" t="inlineStr">
        <is>
          <t>R-00006</t>
        </is>
      </c>
      <c r="B9" s="49" t="n">
        <v>46106</v>
      </c>
      <c r="C9" s="48" t="inlineStr">
        <is>
          <t>Tutee</t>
        </is>
      </c>
      <c r="D9" s="48" t="inlineStr">
        <is>
          <t>Omar Garcia</t>
        </is>
      </c>
      <c r="E9" s="48" t="inlineStr">
        <is>
          <t>S-O-00005</t>
        </is>
      </c>
      <c r="F9" s="48">
        <f>IFERROR(VLOOKUP(E9,'(B) Register of Participants'!$A:$B,2,FALSE),"")</f>
        <v/>
      </c>
      <c r="G9" s="48" t="inlineStr">
        <is>
          <t>Yes</t>
        </is>
      </c>
      <c r="H9" s="48" t="inlineStr">
        <is>
          <t>Very Good</t>
        </is>
      </c>
      <c r="I9" s="48" t="inlineStr"/>
      <c r="J9" s="48" t="inlineStr">
        <is>
          <t>I am slightly more confident</t>
        </is>
      </c>
      <c r="K9" s="48" t="inlineStr">
        <is>
          <t>Very Likely</t>
        </is>
      </c>
      <c r="L9" s="48" t="inlineStr">
        <is>
          <t>Neither Difficult or Easy</t>
        </is>
      </c>
      <c r="M9" s="48" t="inlineStr">
        <is>
          <t>Synthetic feedback for dashboard demonstration.</t>
        </is>
      </c>
      <c r="N9" s="48" t="inlineStr">
        <is>
          <t>Reports improved confidence at work.</t>
        </is>
      </c>
      <c r="O9" s="48" t="inlineStr"/>
      <c r="P9" s="48" t="inlineStr"/>
    </row>
    <row r="10">
      <c r="A10" s="48" t="inlineStr">
        <is>
          <t>R-00007</t>
        </is>
      </c>
      <c r="B10" s="49" t="n">
        <v>46076</v>
      </c>
      <c r="C10" s="48" t="inlineStr">
        <is>
          <t>Tutee</t>
        </is>
      </c>
      <c r="D10" s="48" t="inlineStr">
        <is>
          <t>Lina Ahmed</t>
        </is>
      </c>
      <c r="E10" s="48" t="inlineStr">
        <is>
          <t>S-O-00026</t>
        </is>
      </c>
      <c r="F10" s="48">
        <f>IFERROR(VLOOKUP(E10,'(B) Register of Participants'!$A:$B,2,FALSE),"")</f>
        <v/>
      </c>
      <c r="G10" s="48" t="inlineStr">
        <is>
          <t>No, my tutor is helping me</t>
        </is>
      </c>
      <c r="H10" s="48" t="inlineStr">
        <is>
          <t>Very Good</t>
        </is>
      </c>
      <c r="I10" s="48" t="inlineStr"/>
      <c r="J10" s="48" t="inlineStr">
        <is>
          <t>My confidence has not changed</t>
        </is>
      </c>
      <c r="K10" s="48" t="inlineStr">
        <is>
          <t>Neither Likely or Unlikely</t>
        </is>
      </c>
      <c r="L10" s="48" t="inlineStr">
        <is>
          <t>Very easy</t>
        </is>
      </c>
      <c r="M10" s="48" t="inlineStr">
        <is>
          <t>Synthetic feedback for dashboard demonstration.</t>
        </is>
      </c>
      <c r="N10" s="48" t="inlineStr">
        <is>
          <t>Reports improved confidence at work.</t>
        </is>
      </c>
      <c r="O10" s="48" t="inlineStr"/>
      <c r="P10" s="48" t="inlineStr"/>
    </row>
    <row r="11">
      <c r="A11" s="48" t="inlineStr">
        <is>
          <t>R-00008</t>
        </is>
      </c>
      <c r="B11" s="49" t="n">
        <v>46065</v>
      </c>
      <c r="C11" s="48" t="inlineStr">
        <is>
          <t>Tutee</t>
        </is>
      </c>
      <c r="D11" s="48" t="inlineStr">
        <is>
          <t>Sara Bourne</t>
        </is>
      </c>
      <c r="E11" s="48" t="inlineStr">
        <is>
          <t>S-N-00029</t>
        </is>
      </c>
      <c r="F11" s="48">
        <f>IFERROR(VLOOKUP(E11,'(B) Register of Participants'!$A:$B,2,FALSE),"")</f>
        <v/>
      </c>
      <c r="G11" s="48" t="inlineStr">
        <is>
          <t>No, my tutor is helping me</t>
        </is>
      </c>
      <c r="H11" s="48" t="inlineStr">
        <is>
          <t>Good</t>
        </is>
      </c>
      <c r="I11" s="48" t="inlineStr"/>
      <c r="J11" s="48" t="inlineStr">
        <is>
          <t>I am slightly less confident</t>
        </is>
      </c>
      <c r="K11" s="48" t="inlineStr">
        <is>
          <t>Likely</t>
        </is>
      </c>
      <c r="L11" s="48" t="inlineStr">
        <is>
          <t>Neither Difficult or Easy</t>
        </is>
      </c>
      <c r="M11" s="48" t="inlineStr">
        <is>
          <t>Synthetic feedback for dashboard demonstration.</t>
        </is>
      </c>
      <c r="N11" s="48" t="inlineStr">
        <is>
          <t>Reports improved confidence at work.</t>
        </is>
      </c>
      <c r="O11" s="48" t="inlineStr"/>
      <c r="P11" s="48" t="inlineStr"/>
    </row>
    <row r="12">
      <c r="A12" s="48" t="inlineStr">
        <is>
          <t>R-00009</t>
        </is>
      </c>
      <c r="B12" s="49" t="n">
        <v>46155</v>
      </c>
      <c r="C12" s="48" t="inlineStr">
        <is>
          <t>Tutee</t>
        </is>
      </c>
      <c r="D12" s="48" t="inlineStr">
        <is>
          <t>Peter Garcia</t>
        </is>
      </c>
      <c r="E12" s="48" t="inlineStr">
        <is>
          <t>S-N-00039</t>
        </is>
      </c>
      <c r="F12" s="48">
        <f>IFERROR(VLOOKUP(E12,'(B) Register of Participants'!$A:$B,2,FALSE),"")</f>
        <v/>
      </c>
      <c r="G12" s="48" t="inlineStr">
        <is>
          <t>Yes</t>
        </is>
      </c>
      <c r="H12" s="48" t="inlineStr">
        <is>
          <t>Very Good</t>
        </is>
      </c>
      <c r="I12" s="48" t="inlineStr"/>
      <c r="J12" s="48" t="inlineStr">
        <is>
          <t>I am slightly more confident</t>
        </is>
      </c>
      <c r="K12" s="48" t="inlineStr">
        <is>
          <t>Likely</t>
        </is>
      </c>
      <c r="L12" s="48" t="inlineStr">
        <is>
          <t>Neither Difficult or Easy</t>
        </is>
      </c>
      <c r="M12" s="48" t="inlineStr">
        <is>
          <t>Synthetic feedback for dashboard demonstration.</t>
        </is>
      </c>
      <c r="N12" s="48" t="inlineStr">
        <is>
          <t>Reports improved confidence at work.</t>
        </is>
      </c>
      <c r="O12" s="48" t="inlineStr"/>
      <c r="P12" s="48" t="inlineStr"/>
    </row>
    <row r="13">
      <c r="A13" s="48" t="inlineStr">
        <is>
          <t>R-00010</t>
        </is>
      </c>
      <c r="B13" s="49" t="n">
        <v>46149</v>
      </c>
      <c r="C13" s="48" t="inlineStr">
        <is>
          <t>Tutee</t>
        </is>
      </c>
      <c r="D13" s="48" t="inlineStr">
        <is>
          <t>Maria Petrov</t>
        </is>
      </c>
      <c r="E13" s="48" t="inlineStr">
        <is>
          <t>S-N-00002</t>
        </is>
      </c>
      <c r="F13" s="48">
        <f>IFERROR(VLOOKUP(E13,'(B) Register of Participants'!$A:$B,2,FALSE),"")</f>
        <v/>
      </c>
      <c r="G13" s="48" t="inlineStr">
        <is>
          <t>Yes</t>
        </is>
      </c>
      <c r="H13" s="48" t="inlineStr">
        <is>
          <t>Good</t>
        </is>
      </c>
      <c r="I13" s="48" t="inlineStr"/>
      <c r="J13" s="48" t="inlineStr">
        <is>
          <t>I am slightly less confident</t>
        </is>
      </c>
      <c r="K13" s="48" t="inlineStr">
        <is>
          <t>Likely</t>
        </is>
      </c>
      <c r="L13" s="48" t="inlineStr">
        <is>
          <t>Very easy</t>
        </is>
      </c>
      <c r="M13" s="48" t="inlineStr">
        <is>
          <t>Synthetic feedback for dashboard demonstration.</t>
        </is>
      </c>
      <c r="N13" s="48" t="inlineStr">
        <is>
          <t>Reports improved confidence at work.</t>
        </is>
      </c>
      <c r="O13" s="48" t="inlineStr"/>
      <c r="P13" s="48" t="inlineStr"/>
    </row>
    <row r="14">
      <c r="A14" s="48" t="inlineStr">
        <is>
          <t>R-00011</t>
        </is>
      </c>
      <c r="B14" s="49" t="n">
        <v>46076</v>
      </c>
      <c r="C14" s="48" t="inlineStr">
        <is>
          <t>Tutee</t>
        </is>
      </c>
      <c r="D14" s="48" t="inlineStr">
        <is>
          <t>Jose Wilson</t>
        </is>
      </c>
      <c r="E14" s="48" t="inlineStr">
        <is>
          <t>S-O-00025</t>
        </is>
      </c>
      <c r="F14" s="48">
        <f>IFERROR(VLOOKUP(E14,'(B) Register of Participants'!$A:$B,2,FALSE),"")</f>
        <v/>
      </c>
      <c r="G14" s="48" t="inlineStr">
        <is>
          <t>Yes</t>
        </is>
      </c>
      <c r="H14" s="48" t="inlineStr">
        <is>
          <t>Very Good</t>
        </is>
      </c>
      <c r="I14" s="48" t="inlineStr"/>
      <c r="J14" s="48" t="inlineStr">
        <is>
          <t>My confidence has not changed</t>
        </is>
      </c>
      <c r="K14" s="48" t="inlineStr">
        <is>
          <t>Very Likely</t>
        </is>
      </c>
      <c r="L14" s="48" t="inlineStr">
        <is>
          <t>Neither Difficult or Easy</t>
        </is>
      </c>
      <c r="M14" s="48" t="inlineStr">
        <is>
          <t>Synthetic feedback for dashboard demonstration.</t>
        </is>
      </c>
      <c r="N14" s="48" t="inlineStr">
        <is>
          <t>Reports improved confidence at work.</t>
        </is>
      </c>
      <c r="O14" s="48" t="inlineStr"/>
      <c r="P14" s="48" t="inlineStr"/>
    </row>
    <row r="15">
      <c r="A15" s="48" t="inlineStr">
        <is>
          <t>R-00012</t>
        </is>
      </c>
      <c r="B15" s="49" t="n">
        <v>46078</v>
      </c>
      <c r="C15" s="48" t="inlineStr">
        <is>
          <t>Tutee</t>
        </is>
      </c>
      <c r="D15" s="48" t="inlineStr">
        <is>
          <t>Daniel Smith</t>
        </is>
      </c>
      <c r="E15" s="48" t="inlineStr">
        <is>
          <t>S-N-00049</t>
        </is>
      </c>
      <c r="F15" s="48">
        <f>IFERROR(VLOOKUP(E15,'(B) Register of Participants'!$A:$B,2,FALSE),"")</f>
        <v/>
      </c>
      <c r="G15" s="48" t="inlineStr">
        <is>
          <t>Yes</t>
        </is>
      </c>
      <c r="H15" s="48" t="inlineStr">
        <is>
          <t>Good</t>
        </is>
      </c>
      <c r="I15" s="48" t="inlineStr"/>
      <c r="J15" s="48" t="inlineStr">
        <is>
          <t>My confidence has not changed</t>
        </is>
      </c>
      <c r="K15" s="48" t="inlineStr">
        <is>
          <t>Neither Likely or Unlikely</t>
        </is>
      </c>
      <c r="L15" s="48" t="inlineStr">
        <is>
          <t>Easy</t>
        </is>
      </c>
      <c r="M15" s="48" t="inlineStr">
        <is>
          <t>Synthetic feedback for dashboard demonstration.</t>
        </is>
      </c>
      <c r="N15" s="48" t="inlineStr">
        <is>
          <t>Reports improved confidence at work.</t>
        </is>
      </c>
      <c r="O15" s="48" t="inlineStr"/>
      <c r="P15" s="48" t="inlineStr"/>
    </row>
    <row r="16">
      <c r="A16" s="48" t="inlineStr">
        <is>
          <t>R-00013</t>
        </is>
      </c>
      <c r="B16" s="49" t="n">
        <v>46118</v>
      </c>
      <c r="C16" s="48" t="inlineStr">
        <is>
          <t>Tutee</t>
        </is>
      </c>
      <c r="D16" s="48" t="inlineStr">
        <is>
          <t>Diego Stanley</t>
        </is>
      </c>
      <c r="E16" s="48" t="inlineStr">
        <is>
          <t>S-O-00027</t>
        </is>
      </c>
      <c r="F16" s="48">
        <f>IFERROR(VLOOKUP(E16,'(B) Register of Participants'!$A:$B,2,FALSE),"")</f>
        <v/>
      </c>
      <c r="G16" s="48" t="inlineStr">
        <is>
          <t>Yes</t>
        </is>
      </c>
      <c r="H16" s="48" t="inlineStr">
        <is>
          <t>Good</t>
        </is>
      </c>
      <c r="I16" s="48" t="inlineStr"/>
      <c r="J16" s="48" t="inlineStr">
        <is>
          <t>I am much more confident</t>
        </is>
      </c>
      <c r="K16" s="48" t="inlineStr">
        <is>
          <t>Very Likely</t>
        </is>
      </c>
      <c r="L16" s="48" t="inlineStr">
        <is>
          <t>Very easy</t>
        </is>
      </c>
      <c r="M16" s="48" t="inlineStr">
        <is>
          <t>Synthetic feedback for dashboard demonstration.</t>
        </is>
      </c>
      <c r="N16" s="48" t="inlineStr">
        <is>
          <t>Reports improved confidence at work.</t>
        </is>
      </c>
      <c r="O16" s="48" t="inlineStr"/>
      <c r="P16" s="48" t="inlineStr"/>
    </row>
    <row r="17">
      <c r="A17" s="48" t="inlineStr">
        <is>
          <t>R-00014</t>
        </is>
      </c>
      <c r="B17" s="49" t="n">
        <v>46098</v>
      </c>
      <c r="C17" s="48" t="inlineStr">
        <is>
          <t>Tutee</t>
        </is>
      </c>
      <c r="D17" s="48" t="inlineStr">
        <is>
          <t>Rania Young</t>
        </is>
      </c>
      <c r="E17" s="48" t="inlineStr">
        <is>
          <t>S-O-00014</t>
        </is>
      </c>
      <c r="F17" s="48">
        <f>IFERROR(VLOOKUP(E17,'(B) Register of Participants'!$A:$B,2,FALSE),"")</f>
        <v/>
      </c>
      <c r="G17" s="48" t="inlineStr">
        <is>
          <t>Yes</t>
        </is>
      </c>
      <c r="H17" s="48" t="inlineStr">
        <is>
          <t>Good</t>
        </is>
      </c>
      <c r="I17" s="48" t="inlineStr"/>
      <c r="J17" s="48" t="inlineStr">
        <is>
          <t>I am slightly more confident</t>
        </is>
      </c>
      <c r="K17" s="48" t="inlineStr">
        <is>
          <t>Very Likely</t>
        </is>
      </c>
      <c r="L17" s="48" t="inlineStr">
        <is>
          <t>Very easy</t>
        </is>
      </c>
      <c r="M17" s="48" t="inlineStr">
        <is>
          <t>Synthetic feedback for dashboard demonstration.</t>
        </is>
      </c>
      <c r="N17" s="48" t="inlineStr">
        <is>
          <t>Reports improved confidence at work.</t>
        </is>
      </c>
      <c r="O17" s="48" t="inlineStr"/>
      <c r="P17" s="48" t="inlineStr"/>
    </row>
    <row r="18">
      <c r="A18" s="48" t="inlineStr">
        <is>
          <t>R-00015</t>
        </is>
      </c>
      <c r="B18" s="49" t="n">
        <v>46142</v>
      </c>
      <c r="C18" s="48" t="inlineStr">
        <is>
          <t>Tutee</t>
        </is>
      </c>
      <c r="D18" s="48" t="inlineStr">
        <is>
          <t>Tariq Bourne</t>
        </is>
      </c>
      <c r="E18" s="48" t="inlineStr">
        <is>
          <t>S-N-00048</t>
        </is>
      </c>
      <c r="F18" s="48">
        <f>IFERROR(VLOOKUP(E18,'(B) Register of Participants'!$A:$B,2,FALSE),"")</f>
        <v/>
      </c>
      <c r="G18" s="48" t="inlineStr">
        <is>
          <t>No, my tutor is helping me</t>
        </is>
      </c>
      <c r="H18" s="48" t="inlineStr">
        <is>
          <t>Good</t>
        </is>
      </c>
      <c r="I18" s="48" t="inlineStr"/>
      <c r="J18" s="48" t="inlineStr">
        <is>
          <t>I am slightly more confident</t>
        </is>
      </c>
      <c r="K18" s="48" t="inlineStr">
        <is>
          <t>Likely</t>
        </is>
      </c>
      <c r="L18" s="48" t="inlineStr">
        <is>
          <t>Neither Difficult or Easy</t>
        </is>
      </c>
      <c r="M18" s="48" t="inlineStr">
        <is>
          <t>Synthetic feedback for dashboard demonstration.</t>
        </is>
      </c>
      <c r="N18" s="48" t="inlineStr">
        <is>
          <t>Reports improved confidence at work.</t>
        </is>
      </c>
      <c r="O18" s="48" t="inlineStr"/>
      <c r="P18" s="48" t="inlineStr"/>
    </row>
    <row r="19">
      <c r="A19" s="48" t="inlineStr">
        <is>
          <t>R-00016</t>
        </is>
      </c>
      <c r="B19" s="49" t="n">
        <v>46142</v>
      </c>
      <c r="C19" s="48" t="inlineStr">
        <is>
          <t>Tutee</t>
        </is>
      </c>
      <c r="D19" s="48" t="inlineStr">
        <is>
          <t>Chloe Marks</t>
        </is>
      </c>
      <c r="E19" s="48" t="inlineStr">
        <is>
          <t>S-O-00038</t>
        </is>
      </c>
      <c r="F19" s="48">
        <f>IFERROR(VLOOKUP(E19,'(B) Register of Participants'!$A:$B,2,FALSE),"")</f>
        <v/>
      </c>
      <c r="G19" s="48" t="inlineStr">
        <is>
          <t>Yes</t>
        </is>
      </c>
      <c r="H19" s="48" t="inlineStr">
        <is>
          <t>Good</t>
        </is>
      </c>
      <c r="I19" s="48" t="inlineStr"/>
      <c r="J19" s="48" t="inlineStr">
        <is>
          <t>I am slightly more confident</t>
        </is>
      </c>
      <c r="K19" s="48" t="inlineStr">
        <is>
          <t>Likely</t>
        </is>
      </c>
      <c r="L19" s="48" t="inlineStr">
        <is>
          <t>Easy</t>
        </is>
      </c>
      <c r="M19" s="48" t="inlineStr">
        <is>
          <t>Synthetic feedback for dashboard demonstration.</t>
        </is>
      </c>
      <c r="N19" s="48" t="inlineStr">
        <is>
          <t>Reports improved confidence at work.</t>
        </is>
      </c>
      <c r="O19" s="48" t="inlineStr"/>
      <c r="P19" s="48" t="inlineStr"/>
    </row>
    <row r="20">
      <c r="A20" s="48" t="inlineStr">
        <is>
          <t>R-00017</t>
        </is>
      </c>
      <c r="B20" s="49" t="n">
        <v>46092</v>
      </c>
      <c r="C20" s="48" t="inlineStr">
        <is>
          <t>Tutee</t>
        </is>
      </c>
      <c r="D20" s="48" t="inlineStr">
        <is>
          <t>Elena Silva</t>
        </is>
      </c>
      <c r="E20" s="48" t="inlineStr">
        <is>
          <t>S-N-00042</t>
        </is>
      </c>
      <c r="F20" s="48">
        <f>IFERROR(VLOOKUP(E20,'(B) Register of Participants'!$A:$B,2,FALSE),"")</f>
        <v/>
      </c>
      <c r="G20" s="48" t="inlineStr">
        <is>
          <t>Yes</t>
        </is>
      </c>
      <c r="H20" s="48" t="inlineStr">
        <is>
          <t>Very Good</t>
        </is>
      </c>
      <c r="I20" s="48" t="inlineStr"/>
      <c r="J20" s="48" t="inlineStr">
        <is>
          <t>I am slightly more confident</t>
        </is>
      </c>
      <c r="K20" s="48" t="inlineStr">
        <is>
          <t>Likely</t>
        </is>
      </c>
      <c r="L20" s="48" t="inlineStr">
        <is>
          <t>Easy</t>
        </is>
      </c>
      <c r="M20" s="48" t="inlineStr">
        <is>
          <t>Synthetic feedback for dashboard demonstration.</t>
        </is>
      </c>
      <c r="N20" s="48" t="inlineStr">
        <is>
          <t>Reports improved confidence at work.</t>
        </is>
      </c>
      <c r="O20" s="48" t="inlineStr"/>
      <c r="P20" s="48" t="inlineStr"/>
    </row>
    <row r="21">
      <c r="A21" s="48" t="inlineStr">
        <is>
          <t>R-00018</t>
        </is>
      </c>
      <c r="B21" s="49" t="n">
        <v>46090</v>
      </c>
      <c r="C21" s="48" t="inlineStr">
        <is>
          <t>Tutee</t>
        </is>
      </c>
      <c r="D21" s="48" t="inlineStr">
        <is>
          <t>Ava Hassan</t>
        </is>
      </c>
      <c r="E21" s="48" t="inlineStr">
        <is>
          <t>S-N-00037</t>
        </is>
      </c>
      <c r="F21" s="48">
        <f>IFERROR(VLOOKUP(E21,'(B) Register of Participants'!$A:$B,2,FALSE),"")</f>
        <v/>
      </c>
      <c r="G21" s="48" t="inlineStr">
        <is>
          <t>No, my tutor is helping me</t>
        </is>
      </c>
      <c r="H21" s="48" t="inlineStr">
        <is>
          <t>Very Good</t>
        </is>
      </c>
      <c r="I21" s="48" t="inlineStr"/>
      <c r="J21" s="48" t="inlineStr">
        <is>
          <t>I am slightly more confident</t>
        </is>
      </c>
      <c r="K21" s="48" t="inlineStr">
        <is>
          <t>Very Likely</t>
        </is>
      </c>
      <c r="L21" s="48" t="inlineStr">
        <is>
          <t>Easy</t>
        </is>
      </c>
      <c r="M21" s="48" t="inlineStr">
        <is>
          <t>Synthetic feedback for dashboard demonstration.</t>
        </is>
      </c>
      <c r="N21" s="48" t="inlineStr">
        <is>
          <t>Reports improved confidence at work.</t>
        </is>
      </c>
      <c r="O21" s="48" t="inlineStr"/>
      <c r="P21" s="48" t="inlineStr"/>
    </row>
    <row r="22">
      <c r="A22" s="48" t="inlineStr">
        <is>
          <t>R-00019</t>
        </is>
      </c>
      <c r="B22" s="49" t="n">
        <v>46151</v>
      </c>
      <c r="C22" s="48" t="inlineStr">
        <is>
          <t>Tutee</t>
        </is>
      </c>
      <c r="D22" s="48" t="inlineStr">
        <is>
          <t>Fatima Hassan</t>
        </is>
      </c>
      <c r="E22" s="48" t="inlineStr">
        <is>
          <t>S-O-00029</t>
        </is>
      </c>
      <c r="F22" s="48">
        <f>IFERROR(VLOOKUP(E22,'(B) Register of Participants'!$A:$B,2,FALSE),"")</f>
        <v/>
      </c>
      <c r="G22" s="48" t="inlineStr">
        <is>
          <t>No, my tutor is helping me</t>
        </is>
      </c>
      <c r="H22" s="48" t="inlineStr">
        <is>
          <t>Good</t>
        </is>
      </c>
      <c r="I22" s="48" t="inlineStr"/>
      <c r="J22" s="48" t="inlineStr">
        <is>
          <t>I am much more confident</t>
        </is>
      </c>
      <c r="K22" s="48" t="inlineStr">
        <is>
          <t>Likely</t>
        </is>
      </c>
      <c r="L22" s="48" t="inlineStr">
        <is>
          <t>Easy</t>
        </is>
      </c>
      <c r="M22" s="48" t="inlineStr">
        <is>
          <t>Synthetic feedback for dashboard demonstration.</t>
        </is>
      </c>
      <c r="N22" s="48" t="inlineStr">
        <is>
          <t>Reports improved confidence at work.</t>
        </is>
      </c>
      <c r="O22" s="48" t="inlineStr"/>
      <c r="P22" s="48" t="inlineStr"/>
    </row>
    <row r="23">
      <c r="A23" s="48" t="inlineStr">
        <is>
          <t>R-00020</t>
        </is>
      </c>
      <c r="B23" s="49" t="n">
        <v>46048</v>
      </c>
      <c r="C23" s="48" t="inlineStr">
        <is>
          <t>Tutee</t>
        </is>
      </c>
      <c r="D23" s="48" t="inlineStr">
        <is>
          <t>Tom Ng</t>
        </is>
      </c>
      <c r="E23" s="48" t="inlineStr">
        <is>
          <t>S-O-00003</t>
        </is>
      </c>
      <c r="F23" s="48">
        <f>IFERROR(VLOOKUP(E23,'(B) Register of Participants'!$A:$B,2,FALSE),"")</f>
        <v/>
      </c>
      <c r="G23" s="48" t="inlineStr">
        <is>
          <t>Yes</t>
        </is>
      </c>
      <c r="H23" s="48" t="inlineStr">
        <is>
          <t>Very Good</t>
        </is>
      </c>
      <c r="I23" s="48" t="inlineStr"/>
      <c r="J23" s="48" t="inlineStr">
        <is>
          <t>I am slightly more confident</t>
        </is>
      </c>
      <c r="K23" s="48" t="inlineStr">
        <is>
          <t>Very Likely</t>
        </is>
      </c>
      <c r="L23" s="48" t="inlineStr">
        <is>
          <t>Easy</t>
        </is>
      </c>
      <c r="M23" s="48" t="inlineStr">
        <is>
          <t>Synthetic feedback for dashboard demonstration.</t>
        </is>
      </c>
      <c r="N23" s="48" t="inlineStr">
        <is>
          <t>Reports improved confidence at work.</t>
        </is>
      </c>
      <c r="O23" s="48" t="inlineStr"/>
      <c r="P23" s="48" t="inlineStr"/>
    </row>
    <row r="24">
      <c r="A24" s="48" t="inlineStr">
        <is>
          <t>R-00021</t>
        </is>
      </c>
      <c r="B24" s="49" t="n">
        <v>46108</v>
      </c>
      <c r="C24" s="48" t="inlineStr">
        <is>
          <t>Tutee</t>
        </is>
      </c>
      <c r="D24" s="48" t="inlineStr">
        <is>
          <t>Mark Fernando</t>
        </is>
      </c>
      <c r="E24" s="48" t="inlineStr">
        <is>
          <t>S-O-00015</t>
        </is>
      </c>
      <c r="F24" s="48">
        <f>IFERROR(VLOOKUP(E24,'(B) Register of Participants'!$A:$B,2,FALSE),"")</f>
        <v/>
      </c>
      <c r="G24" s="48" t="inlineStr">
        <is>
          <t>Yes</t>
        </is>
      </c>
      <c r="H24" s="48" t="inlineStr">
        <is>
          <t>Neither Bad or Good</t>
        </is>
      </c>
      <c r="I24" s="48" t="inlineStr"/>
      <c r="J24" s="48" t="inlineStr">
        <is>
          <t>I am slightly more confident</t>
        </is>
      </c>
      <c r="K24" s="48" t="inlineStr">
        <is>
          <t>Likely</t>
        </is>
      </c>
      <c r="L24" s="48" t="inlineStr">
        <is>
          <t>Easy</t>
        </is>
      </c>
      <c r="M24" s="48" t="inlineStr">
        <is>
          <t>Synthetic feedback for dashboard demonstration.</t>
        </is>
      </c>
      <c r="N24" s="48" t="inlineStr">
        <is>
          <t>Reports improved confidence at work.</t>
        </is>
      </c>
      <c r="O24" s="48" t="inlineStr"/>
      <c r="P24" s="48" t="inlineStr"/>
    </row>
    <row r="25">
      <c r="A25" s="48" t="inlineStr">
        <is>
          <t>R-00022</t>
        </is>
      </c>
      <c r="B25" s="49" t="n">
        <v>46093</v>
      </c>
      <c r="C25" s="48" t="inlineStr">
        <is>
          <t>Tutee</t>
        </is>
      </c>
      <c r="D25" s="48" t="inlineStr">
        <is>
          <t>Sarah Wright</t>
        </is>
      </c>
      <c r="E25" s="48" t="inlineStr">
        <is>
          <t>S-O-00019</t>
        </is>
      </c>
      <c r="F25" s="48">
        <f>IFERROR(VLOOKUP(E25,'(B) Register of Participants'!$A:$B,2,FALSE),"")</f>
        <v/>
      </c>
      <c r="G25" s="48" t="inlineStr">
        <is>
          <t>Yes</t>
        </is>
      </c>
      <c r="H25" s="48" t="inlineStr">
        <is>
          <t>Neither Bad or Good</t>
        </is>
      </c>
      <c r="I25" s="48" t="inlineStr"/>
      <c r="J25" s="48" t="inlineStr">
        <is>
          <t>I am slightly less confident</t>
        </is>
      </c>
      <c r="K25" s="48" t="inlineStr">
        <is>
          <t>Very Likely</t>
        </is>
      </c>
      <c r="L25" s="48" t="inlineStr">
        <is>
          <t>Easy</t>
        </is>
      </c>
      <c r="M25" s="48" t="inlineStr">
        <is>
          <t>Synthetic feedback for dashboard demonstration.</t>
        </is>
      </c>
      <c r="N25" s="48" t="inlineStr">
        <is>
          <t>Reports improved confidence at work.</t>
        </is>
      </c>
      <c r="O25" s="48" t="inlineStr"/>
      <c r="P25" s="48" t="inlineStr"/>
    </row>
    <row r="26">
      <c r="A26" s="48" t="inlineStr">
        <is>
          <t>R-00023</t>
        </is>
      </c>
      <c r="B26" s="49" t="n">
        <v>46025</v>
      </c>
      <c r="C26" s="48" t="inlineStr">
        <is>
          <t>Tutor</t>
        </is>
      </c>
      <c r="D26" s="48" t="inlineStr">
        <is>
          <t>Sara Brown</t>
        </is>
      </c>
      <c r="E26" s="48" t="inlineStr">
        <is>
          <t>T-O-00002</t>
        </is>
      </c>
      <c r="F26" s="48">
        <f>IFERROR(VLOOKUP(E26,'(B) Register of Participants'!$A:$B,2,FALSE),"")</f>
        <v/>
      </c>
      <c r="G26" s="48" t="inlineStr"/>
      <c r="H26" s="48" t="inlineStr">
        <is>
          <t>Bad</t>
        </is>
      </c>
      <c r="I26" s="48" t="inlineStr">
        <is>
          <t>Somewhat sufficient support</t>
        </is>
      </c>
      <c r="J26" s="48" t="inlineStr">
        <is>
          <t>Some improvement</t>
        </is>
      </c>
      <c r="K26" s="48" t="inlineStr">
        <is>
          <t>Likely</t>
        </is>
      </c>
      <c r="L26" s="48" t="inlineStr">
        <is>
          <t>Neither Difficult or Easy</t>
        </is>
      </c>
      <c r="M26" s="48" t="inlineStr">
        <is>
          <t>Synthetic feedback for dashboard demonstration.</t>
        </is>
      </c>
      <c r="N26" s="48" t="inlineStr"/>
      <c r="O26" s="48" t="inlineStr">
        <is>
          <t>More shared lesson resources would help.</t>
        </is>
      </c>
      <c r="P26" s="48" t="inlineStr"/>
    </row>
    <row r="27">
      <c r="A27" s="48" t="inlineStr">
        <is>
          <t>R-00024</t>
        </is>
      </c>
      <c r="B27" s="49" t="n">
        <v>46126</v>
      </c>
      <c r="C27" s="48" t="inlineStr">
        <is>
          <t>Tutor</t>
        </is>
      </c>
      <c r="D27" s="48" t="inlineStr">
        <is>
          <t>Sofia Ng</t>
        </is>
      </c>
      <c r="E27" s="48" t="inlineStr">
        <is>
          <t>T-O-00005</t>
        </is>
      </c>
      <c r="F27" s="48">
        <f>IFERROR(VLOOKUP(E27,'(B) Register of Participants'!$A:$B,2,FALSE),"")</f>
        <v/>
      </c>
      <c r="G27" s="48" t="inlineStr"/>
      <c r="H27" s="48" t="inlineStr">
        <is>
          <t>Bad</t>
        </is>
      </c>
      <c r="I27" s="48" t="inlineStr">
        <is>
          <t>Somewhat insufficient support</t>
        </is>
      </c>
      <c r="J27" s="48" t="inlineStr">
        <is>
          <t>Remarkably improvement</t>
        </is>
      </c>
      <c r="K27" s="48" t="inlineStr">
        <is>
          <t>Likely</t>
        </is>
      </c>
      <c r="L27" s="48" t="inlineStr">
        <is>
          <t>Easy</t>
        </is>
      </c>
      <c r="M27" s="48" t="inlineStr">
        <is>
          <t>Synthetic feedback for dashboard demonstration.</t>
        </is>
      </c>
      <c r="N27" s="48" t="inlineStr"/>
      <c r="O27" s="48" t="inlineStr">
        <is>
          <t>More shared lesson resources would help.</t>
        </is>
      </c>
      <c r="P27" s="48" t="inlineStr"/>
    </row>
    <row r="28">
      <c r="A28" s="48" t="inlineStr">
        <is>
          <t>R-00025</t>
        </is>
      </c>
      <c r="B28" s="49" t="n">
        <v>46124</v>
      </c>
      <c r="C28" s="48" t="inlineStr">
        <is>
          <t>Tutor</t>
        </is>
      </c>
      <c r="D28" s="48" t="inlineStr">
        <is>
          <t>Carlos Schaffer</t>
        </is>
      </c>
      <c r="E28" s="48" t="inlineStr">
        <is>
          <t>T-O-00006</t>
        </is>
      </c>
      <c r="F28" s="48">
        <f>IFERROR(VLOOKUP(E28,'(B) Register of Participants'!$A:$B,2,FALSE),"")</f>
        <v/>
      </c>
      <c r="G28" s="48" t="inlineStr"/>
      <c r="H28" s="48" t="inlineStr">
        <is>
          <t>Very Good</t>
        </is>
      </c>
      <c r="I28" s="48" t="inlineStr">
        <is>
          <t>Sufficient support</t>
        </is>
      </c>
      <c r="J28" s="48" t="inlineStr">
        <is>
          <t>Some improvement</t>
        </is>
      </c>
      <c r="K28" s="48" t="inlineStr">
        <is>
          <t>Likely</t>
        </is>
      </c>
      <c r="L28" s="48" t="inlineStr">
        <is>
          <t>Easy</t>
        </is>
      </c>
      <c r="M28" s="48" t="inlineStr">
        <is>
          <t>Synthetic feedback for dashboard demonstration.</t>
        </is>
      </c>
      <c r="N28" s="48" t="inlineStr"/>
      <c r="O28" s="48" t="inlineStr">
        <is>
          <t>More shared lesson resources would help.</t>
        </is>
      </c>
      <c r="P28" s="48" t="inlineStr"/>
    </row>
    <row r="29">
      <c r="A29" s="48" t="inlineStr">
        <is>
          <t>R-00026</t>
        </is>
      </c>
      <c r="B29" s="49" t="n">
        <v>46155</v>
      </c>
      <c r="C29" s="48" t="inlineStr">
        <is>
          <t>Tutor</t>
        </is>
      </c>
      <c r="D29" s="48" t="inlineStr">
        <is>
          <t>Mark Bourne</t>
        </is>
      </c>
      <c r="E29" s="48" t="inlineStr">
        <is>
          <t>T-O-00009</t>
        </is>
      </c>
      <c r="F29" s="48">
        <f>IFERROR(VLOOKUP(E29,'(B) Register of Participants'!$A:$B,2,FALSE),"")</f>
        <v/>
      </c>
      <c r="G29" s="48" t="inlineStr"/>
      <c r="H29" s="48" t="inlineStr">
        <is>
          <t>Good</t>
        </is>
      </c>
      <c r="I29" s="48" t="inlineStr">
        <is>
          <t>Somewhat insufficient support</t>
        </is>
      </c>
      <c r="J29" s="48" t="inlineStr">
        <is>
          <t>Neither improved or deteriorated</t>
        </is>
      </c>
      <c r="K29" s="48" t="inlineStr">
        <is>
          <t>Likely</t>
        </is>
      </c>
      <c r="L29" s="48" t="inlineStr">
        <is>
          <t>Easy</t>
        </is>
      </c>
      <c r="M29" s="48" t="inlineStr">
        <is>
          <t>Synthetic feedback for dashboard demonstration.</t>
        </is>
      </c>
      <c r="N29" s="48" t="inlineStr"/>
      <c r="O29" s="48" t="inlineStr">
        <is>
          <t>More shared lesson resources would help.</t>
        </is>
      </c>
      <c r="P29" s="48" t="inlineStr"/>
    </row>
    <row r="30">
      <c r="A30" s="48" t="inlineStr">
        <is>
          <t>R-00027</t>
        </is>
      </c>
      <c r="B30" s="49" t="n">
        <v>46044</v>
      </c>
      <c r="C30" s="48" t="inlineStr">
        <is>
          <t>Tutor</t>
        </is>
      </c>
      <c r="D30" s="48" t="inlineStr">
        <is>
          <t>Ahmad Taylor</t>
        </is>
      </c>
      <c r="E30" s="48" t="inlineStr">
        <is>
          <t>T-O-00010</t>
        </is>
      </c>
      <c r="F30" s="48">
        <f>IFERROR(VLOOKUP(E30,'(B) Register of Participants'!$A:$B,2,FALSE),"")</f>
        <v/>
      </c>
      <c r="G30" s="48" t="inlineStr"/>
      <c r="H30" s="48" t="inlineStr">
        <is>
          <t>Good</t>
        </is>
      </c>
      <c r="I30" s="48" t="inlineStr">
        <is>
          <t>Sufficient support</t>
        </is>
      </c>
      <c r="J30" s="48" t="inlineStr">
        <is>
          <t>Neither improved or deteriorated</t>
        </is>
      </c>
      <c r="K30" s="48" t="inlineStr">
        <is>
          <t>Likely</t>
        </is>
      </c>
      <c r="L30" s="48" t="inlineStr">
        <is>
          <t>Easy</t>
        </is>
      </c>
      <c r="M30" s="48" t="inlineStr">
        <is>
          <t>Synthetic feedback for dashboard demonstration.</t>
        </is>
      </c>
      <c r="N30" s="48" t="inlineStr"/>
      <c r="O30" s="48" t="inlineStr">
        <is>
          <t>More shared lesson resources would help.</t>
        </is>
      </c>
      <c r="P30" s="48" t="inlineStr"/>
    </row>
    <row r="31">
      <c r="A31" s="48" t="inlineStr">
        <is>
          <t>R-00028</t>
        </is>
      </c>
      <c r="B31" s="49" t="n">
        <v>46135</v>
      </c>
      <c r="C31" s="48" t="inlineStr">
        <is>
          <t>Tutor</t>
        </is>
      </c>
      <c r="D31" s="48" t="inlineStr">
        <is>
          <t>Sara Bourne</t>
        </is>
      </c>
      <c r="E31" s="48" t="inlineStr">
        <is>
          <t>T-O-00011</t>
        </is>
      </c>
      <c r="F31" s="48">
        <f>IFERROR(VLOOKUP(E31,'(B) Register of Participants'!$A:$B,2,FALSE),"")</f>
        <v/>
      </c>
      <c r="G31" s="48" t="inlineStr"/>
      <c r="H31" s="48" t="inlineStr">
        <is>
          <t>Good</t>
        </is>
      </c>
      <c r="I31" s="48" t="inlineStr">
        <is>
          <t>Somewhat insufficient support</t>
        </is>
      </c>
      <c r="J31" s="48" t="inlineStr">
        <is>
          <t>Remarkably improvement</t>
        </is>
      </c>
      <c r="K31" s="48" t="inlineStr">
        <is>
          <t>Likely</t>
        </is>
      </c>
      <c r="L31" s="48" t="inlineStr">
        <is>
          <t>Easy</t>
        </is>
      </c>
      <c r="M31" s="48" t="inlineStr">
        <is>
          <t>Synthetic feedback for dashboard demonstration.</t>
        </is>
      </c>
      <c r="N31" s="48" t="inlineStr"/>
      <c r="O31" s="48" t="inlineStr">
        <is>
          <t>More shared lesson resources would help.</t>
        </is>
      </c>
      <c r="P31" s="48" t="inlineStr"/>
    </row>
    <row r="32">
      <c r="A32" s="48" t="inlineStr">
        <is>
          <t>R-00029</t>
        </is>
      </c>
      <c r="B32" s="49" t="n">
        <v>46170</v>
      </c>
      <c r="C32" s="48" t="inlineStr">
        <is>
          <t>Tutor</t>
        </is>
      </c>
      <c r="D32" s="48" t="inlineStr">
        <is>
          <t>Peter Drobushar</t>
        </is>
      </c>
      <c r="E32" s="48" t="inlineStr">
        <is>
          <t>T-O-00013</t>
        </is>
      </c>
      <c r="F32" s="48">
        <f>IFERROR(VLOOKUP(E32,'(B) Register of Participants'!$A:$B,2,FALSE),"")</f>
        <v/>
      </c>
      <c r="G32" s="48" t="inlineStr"/>
      <c r="H32" s="48" t="inlineStr">
        <is>
          <t>Bad</t>
        </is>
      </c>
      <c r="I32" s="48" t="inlineStr">
        <is>
          <t>Sufficient support</t>
        </is>
      </c>
      <c r="J32" s="48" t="inlineStr">
        <is>
          <t>Some improvement</t>
        </is>
      </c>
      <c r="K32" s="48" t="inlineStr">
        <is>
          <t>Very Likely</t>
        </is>
      </c>
      <c r="L32" s="48" t="inlineStr">
        <is>
          <t>Neither Difficult or Easy</t>
        </is>
      </c>
      <c r="M32" s="48" t="inlineStr">
        <is>
          <t>Synthetic feedback for dashboard demonstration.</t>
        </is>
      </c>
      <c r="N32" s="48" t="inlineStr"/>
      <c r="O32" s="48" t="inlineStr">
        <is>
          <t>More shared lesson resources would help.</t>
        </is>
      </c>
      <c r="P32" s="48" t="inlineStr"/>
    </row>
    <row r="33">
      <c r="A33" s="48" t="inlineStr">
        <is>
          <t>R-00030</t>
        </is>
      </c>
      <c r="B33" s="49" t="n">
        <v>46113</v>
      </c>
      <c r="C33" s="48" t="inlineStr">
        <is>
          <t>Tutor</t>
        </is>
      </c>
      <c r="D33" s="48" t="inlineStr">
        <is>
          <t>Chloe Wright</t>
        </is>
      </c>
      <c r="E33" s="48" t="inlineStr">
        <is>
          <t>T-O-00014</t>
        </is>
      </c>
      <c r="F33" s="48">
        <f>IFERROR(VLOOKUP(E33,'(B) Register of Participants'!$A:$B,2,FALSE),"")</f>
        <v/>
      </c>
      <c r="G33" s="48" t="inlineStr"/>
      <c r="H33" s="48" t="inlineStr">
        <is>
          <t>Good</t>
        </is>
      </c>
      <c r="I33" s="48" t="inlineStr">
        <is>
          <t>Sufficient support</t>
        </is>
      </c>
      <c r="J33" s="48" t="inlineStr">
        <is>
          <t>Neither improved or deteriorated</t>
        </is>
      </c>
      <c r="K33" s="48" t="inlineStr">
        <is>
          <t>Likely</t>
        </is>
      </c>
      <c r="L33" s="48" t="inlineStr">
        <is>
          <t>Neither Difficult or Easy</t>
        </is>
      </c>
      <c r="M33" s="48" t="inlineStr">
        <is>
          <t>Synthetic feedback for dashboard demonstration.</t>
        </is>
      </c>
      <c r="N33" s="48" t="inlineStr"/>
      <c r="O33" s="48" t="inlineStr">
        <is>
          <t>More shared lesson resources would help.</t>
        </is>
      </c>
      <c r="P33" s="48" t="inlineStr"/>
    </row>
    <row r="34">
      <c r="A34" s="48" t="inlineStr">
        <is>
          <t>R-00031</t>
        </is>
      </c>
      <c r="B34" s="49" t="n">
        <v>46160</v>
      </c>
      <c r="C34" s="48" t="inlineStr">
        <is>
          <t>Tutor</t>
        </is>
      </c>
      <c r="D34" s="48" t="inlineStr">
        <is>
          <t>Ibrahim Petrov</t>
        </is>
      </c>
      <c r="E34" s="48" t="inlineStr">
        <is>
          <t>T-O-00018</t>
        </is>
      </c>
      <c r="F34" s="48">
        <f>IFERROR(VLOOKUP(E34,'(B) Register of Participants'!$A:$B,2,FALSE),"")</f>
        <v/>
      </c>
      <c r="G34" s="48" t="inlineStr"/>
      <c r="H34" s="48" t="inlineStr">
        <is>
          <t>Good</t>
        </is>
      </c>
      <c r="I34" s="48" t="inlineStr">
        <is>
          <t>Somewhat sufficient support</t>
        </is>
      </c>
      <c r="J34" s="48" t="inlineStr">
        <is>
          <t>Deteriorated</t>
        </is>
      </c>
      <c r="K34" s="48" t="inlineStr">
        <is>
          <t>Very Likely</t>
        </is>
      </c>
      <c r="L34" s="48" t="inlineStr">
        <is>
          <t>Very easy</t>
        </is>
      </c>
      <c r="M34" s="48" t="inlineStr">
        <is>
          <t>Synthetic feedback for dashboard demonstration.</t>
        </is>
      </c>
      <c r="N34" s="48" t="inlineStr"/>
      <c r="O34" s="48" t="inlineStr">
        <is>
          <t>More shared lesson resources would help.</t>
        </is>
      </c>
      <c r="P34" s="48" t="inlineStr"/>
    </row>
    <row r="35">
      <c r="A35" s="48" t="inlineStr">
        <is>
          <t>R-00032</t>
        </is>
      </c>
      <c r="B35" s="49" t="n">
        <v>46058</v>
      </c>
      <c r="C35" s="48" t="inlineStr">
        <is>
          <t>Tutor</t>
        </is>
      </c>
      <c r="D35" s="48" t="inlineStr">
        <is>
          <t>Peter Brown</t>
        </is>
      </c>
      <c r="E35" s="48" t="inlineStr">
        <is>
          <t>T-O-00019</t>
        </is>
      </c>
      <c r="F35" s="48">
        <f>IFERROR(VLOOKUP(E35,'(B) Register of Participants'!$A:$B,2,FALSE),"")</f>
        <v/>
      </c>
      <c r="G35" s="48" t="inlineStr"/>
      <c r="H35" s="48" t="inlineStr">
        <is>
          <t>Very Good</t>
        </is>
      </c>
      <c r="I35" s="48" t="inlineStr">
        <is>
          <t>Somewhat sufficient support</t>
        </is>
      </c>
      <c r="J35" s="48" t="inlineStr">
        <is>
          <t>Deteriorated</t>
        </is>
      </c>
      <c r="K35" s="48" t="inlineStr">
        <is>
          <t>Neither Likely or Unlikely</t>
        </is>
      </c>
      <c r="L35" s="48" t="inlineStr">
        <is>
          <t>Neither Difficult or Easy</t>
        </is>
      </c>
      <c r="M35" s="48" t="inlineStr">
        <is>
          <t>Synthetic feedback for dashboard demonstration.</t>
        </is>
      </c>
      <c r="N35" s="48" t="inlineStr"/>
      <c r="O35" s="48" t="inlineStr">
        <is>
          <t>More shared lesson resources would help.</t>
        </is>
      </c>
      <c r="P35" s="48" t="inlineStr"/>
    </row>
    <row r="36">
      <c r="A36" s="48" t="inlineStr">
        <is>
          <t>R-00033</t>
        </is>
      </c>
      <c r="B36" s="49" t="n">
        <v>46120</v>
      </c>
      <c r="C36" s="48" t="inlineStr">
        <is>
          <t>Tutor</t>
        </is>
      </c>
      <c r="D36" s="48" t="inlineStr">
        <is>
          <t>Rania Bourne</t>
        </is>
      </c>
      <c r="E36" s="48" t="inlineStr">
        <is>
          <t>T-O-00024</t>
        </is>
      </c>
      <c r="F36" s="48">
        <f>IFERROR(VLOOKUP(E36,'(B) Register of Participants'!$A:$B,2,FALSE),"")</f>
        <v/>
      </c>
      <c r="G36" s="48" t="inlineStr"/>
      <c r="H36" s="48" t="inlineStr">
        <is>
          <t>Very Good</t>
        </is>
      </c>
      <c r="I36" s="48" t="inlineStr">
        <is>
          <t>Neither insufficient or sufficient support</t>
        </is>
      </c>
      <c r="J36" s="48" t="inlineStr">
        <is>
          <t>Remarkably improvement</t>
        </is>
      </c>
      <c r="K36" s="48" t="inlineStr">
        <is>
          <t>Neither Likely or Unlikely</t>
        </is>
      </c>
      <c r="L36" s="48" t="inlineStr">
        <is>
          <t>Neither Difficult or Easy</t>
        </is>
      </c>
      <c r="M36" s="48" t="inlineStr">
        <is>
          <t>Synthetic feedback for dashboard demonstration.</t>
        </is>
      </c>
      <c r="N36" s="48" t="inlineStr"/>
      <c r="O36" s="48" t="inlineStr">
        <is>
          <t>More shared lesson resources would help.</t>
        </is>
      </c>
      <c r="P36" s="48" t="inlineStr"/>
    </row>
    <row r="37">
      <c r="A37" s="48" t="inlineStr">
        <is>
          <t>R-00034</t>
        </is>
      </c>
      <c r="B37" s="49" t="n">
        <v>46071</v>
      </c>
      <c r="C37" s="48" t="inlineStr">
        <is>
          <t>Tutor</t>
        </is>
      </c>
      <c r="D37" s="48" t="inlineStr">
        <is>
          <t>Peter Morris</t>
        </is>
      </c>
      <c r="E37" s="48" t="inlineStr">
        <is>
          <t>T-O-00025</t>
        </is>
      </c>
      <c r="F37" s="48">
        <f>IFERROR(VLOOKUP(E37,'(B) Register of Participants'!$A:$B,2,FALSE),"")</f>
        <v/>
      </c>
      <c r="G37" s="48" t="inlineStr"/>
      <c r="H37" s="48" t="inlineStr">
        <is>
          <t>Good</t>
        </is>
      </c>
      <c r="I37" s="48" t="inlineStr">
        <is>
          <t>Sufficient support</t>
        </is>
      </c>
      <c r="J37" s="48" t="inlineStr">
        <is>
          <t>Some improvement</t>
        </is>
      </c>
      <c r="K37" s="48" t="inlineStr">
        <is>
          <t>Neither Likely or Unlikely</t>
        </is>
      </c>
      <c r="L37" s="48" t="inlineStr">
        <is>
          <t>Neither Difficult or Easy</t>
        </is>
      </c>
      <c r="M37" s="48" t="inlineStr">
        <is>
          <t>Synthetic feedback for dashboard demonstration.</t>
        </is>
      </c>
      <c r="N37" s="48" t="inlineStr"/>
      <c r="O37" s="48" t="inlineStr">
        <is>
          <t>More shared lesson resources would help.</t>
        </is>
      </c>
      <c r="P37" s="48" t="inlineStr"/>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2:AK199"/>
  <sheetViews>
    <sheetView showGridLines="0" workbookViewId="0">
      <selection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s>
  <sheetData>
    <row r="2">
      <c r="A2" s="54" t="n"/>
    </row>
    <row r="3">
      <c r="A3" s="54" t="n"/>
      <c r="B3" s="55" t="inlineStr">
        <is>
          <t>OVERALL NUMBER OF APPLICANTS AND APPLICATIONS</t>
        </is>
      </c>
      <c r="C3" s="54" t="n"/>
      <c r="D3" s="54" t="n"/>
      <c r="E3" s="54" t="n"/>
      <c r="F3" s="54" t="n"/>
      <c r="G3" s="54" t="n"/>
      <c r="H3" s="54" t="n"/>
      <c r="I3" s="54" t="n"/>
      <c r="J3" s="54" t="n"/>
      <c r="K3" s="54" t="n"/>
      <c r="L3" s="54" t="n"/>
      <c r="M3" s="54" t="n"/>
      <c r="N3" s="54" t="n"/>
      <c r="O3" s="54" t="n"/>
      <c r="P3" s="54" t="n"/>
      <c r="Q3" s="54" t="n"/>
      <c r="R3" s="54" t="n"/>
      <c r="S3" s="54" t="n"/>
      <c r="T3" s="54" t="n"/>
      <c r="U3" s="54" t="n"/>
      <c r="V3" s="54" t="n"/>
      <c r="W3" s="54" t="n"/>
      <c r="X3" s="54" t="n"/>
      <c r="Y3" s="54" t="n"/>
      <c r="Z3" s="54" t="n"/>
      <c r="AA3" s="54" t="n"/>
      <c r="AB3" s="54" t="n"/>
      <c r="AC3" s="54" t="n"/>
      <c r="AD3" s="54" t="n"/>
      <c r="AE3" s="54" t="n"/>
      <c r="AF3" s="54" t="n"/>
      <c r="AG3" s="54" t="n"/>
      <c r="AH3" s="54" t="n"/>
      <c r="AI3" s="54" t="n"/>
      <c r="AJ3" s="54" t="n"/>
      <c r="AK3" s="54" t="n"/>
    </row>
    <row r="4">
      <c r="A4" s="54" t="n"/>
    </row>
    <row r="5">
      <c r="A5" s="54" t="n"/>
      <c r="B5" s="15" t="inlineStr">
        <is>
          <t>(A.1) Participants by status</t>
        </is>
      </c>
      <c r="F5" s="54" t="n"/>
      <c r="G5" s="15" t="inlineStr">
        <is>
          <t>(A.2) Relevant times</t>
        </is>
      </c>
      <c r="I5" s="54" t="n"/>
      <c r="J5" s="15" t="inlineStr">
        <is>
          <t>(A.3) Requires attention</t>
        </is>
      </c>
      <c r="L5" s="54" t="n"/>
      <c r="M5" s="15" t="inlineStr">
        <is>
          <t>(A.4) Tutor hours</t>
        </is>
      </c>
      <c r="O5" s="54" t="n"/>
      <c r="P5" s="15" t="inlineStr">
        <is>
          <t>(A.5) Assessor &amp; matcher workload</t>
        </is>
      </c>
      <c r="S5" s="54" t="n"/>
    </row>
    <row r="6">
      <c r="A6" s="54" t="n"/>
      <c r="B6" s="56" t="inlineStr">
        <is>
          <t>Status</t>
        </is>
      </c>
      <c r="C6" s="56" t="inlineStr">
        <is>
          <t>Tutors</t>
        </is>
      </c>
      <c r="D6" s="56" t="inlineStr">
        <is>
          <t>Students</t>
        </is>
      </c>
      <c r="E6" s="56" t="inlineStr">
        <is>
          <t>Total</t>
        </is>
      </c>
      <c r="F6" s="54" t="n"/>
      <c r="G6" s="56" t="inlineStr">
        <is>
          <t>Measure</t>
        </is>
      </c>
      <c r="H6" s="56" t="inlineStr">
        <is>
          <t>Value</t>
        </is>
      </c>
      <c r="I6" s="54" t="n"/>
      <c r="J6" s="56" t="inlineStr">
        <is>
          <t>Measure</t>
        </is>
      </c>
      <c r="K6" s="56" t="inlineStr">
        <is>
          <t>Value</t>
        </is>
      </c>
      <c r="L6" s="54" t="n"/>
      <c r="M6" s="56" t="inlineStr">
        <is>
          <t>Measure</t>
        </is>
      </c>
      <c r="N6" s="56" t="inlineStr">
        <is>
          <t>Value</t>
        </is>
      </c>
      <c r="O6" s="54" t="n"/>
      <c r="P6" s="56" t="inlineStr">
        <is>
          <t>Team member</t>
        </is>
      </c>
      <c r="Q6" s="56" t="inlineStr">
        <is>
          <t>Assessor</t>
        </is>
      </c>
      <c r="R6" s="56" t="inlineStr">
        <is>
          <t>Matcher</t>
        </is>
      </c>
      <c r="S6" s="54" t="n"/>
    </row>
    <row r="7">
      <c r="A7" s="54" t="n"/>
      <c r="B7" s="48" t="inlineStr">
        <is>
          <t>ERR-TST</t>
        </is>
      </c>
      <c r="C7" s="48">
        <f>COUNTIFS('(B) Register of Participants'!$J$3:$J$600,"ERR-TST",'(B) Register of Participants'!$H$3:$H$600,"Tutor")</f>
        <v/>
      </c>
      <c r="D7" s="48">
        <f>COUNTIFS('(B) Register of Participants'!$J$3:$J$600,"ERR-TST",'(B) Register of Participants'!$H$3:$H$600,"Student")</f>
        <v/>
      </c>
      <c r="E7" s="48">
        <f>COUNTIFS('(B) Register of Participants'!$J$3:$J$600,"ERR-TST",'(B) Register of Participants'!$H$3:$H$600,"Tutor")+COUNTIFS('(B) Register of Participants'!$J$3:$J$600,"ERR-TST",'(B) Register of Participants'!$H$3:$H$600,"Student")</f>
        <v/>
      </c>
      <c r="F7" s="54" t="n"/>
      <c r="G7" s="48" t="inlineStr">
        <is>
          <t>Applicants (excl. errors)</t>
        </is>
      </c>
      <c r="H7" s="48">
        <f>SUM('(B) Register of Participants'!$CS$3:$CS$600)</f>
        <v/>
      </c>
      <c r="I7" s="54" t="n"/>
      <c r="J7" s="48" t="inlineStr">
        <is>
          <t>Rows with validation flags</t>
        </is>
      </c>
      <c r="K7" s="48">
        <f>COUNTIF('(B) Register of Participants'!$BN$3:$BN$600,"?*")</f>
        <v/>
      </c>
      <c r="L7" s="54" t="n"/>
      <c r="M7" s="48" t="inlineStr">
        <is>
          <t>Current hours tutored / week</t>
        </is>
      </c>
      <c r="N7" s="48">
        <f>ROUND(SUM('(B) Register of Participants'!$DA$3:$DA$600),1)</f>
        <v/>
      </c>
      <c r="O7" s="54" t="n"/>
      <c r="P7" s="48" t="inlineStr">
        <is>
          <t>AGARWAL Akanksha</t>
        </is>
      </c>
      <c r="Q7" s="48">
        <f>COUNTIF('(B) Register of Participants'!$BJ$3:$BJ$600,"AGARWAL Akanksha")</f>
        <v/>
      </c>
      <c r="R7" s="48">
        <f>COUNTIF('(B) Register of Participants'!$BK$3:$BK$600,"AGARWAL Akanksha")</f>
        <v/>
      </c>
      <c r="S7" s="54" t="n"/>
    </row>
    <row r="8">
      <c r="A8" s="54" t="n"/>
      <c r="B8" s="48" t="inlineStr">
        <is>
          <t>ERR-DUP</t>
        </is>
      </c>
      <c r="C8" s="48">
        <f>COUNTIFS('(B) Register of Participants'!$J$3:$J$600,"ERR-DUP",'(B) Register of Participants'!$H$3:$H$600,"Tutor")</f>
        <v/>
      </c>
      <c r="D8" s="48">
        <f>COUNTIFS('(B) Register of Participants'!$J$3:$J$600,"ERR-DUP",'(B) Register of Participants'!$H$3:$H$600,"Student")</f>
        <v/>
      </c>
      <c r="E8" s="48">
        <f>COUNTIFS('(B) Register of Participants'!$J$3:$J$600,"ERR-DUP",'(B) Register of Participants'!$H$3:$H$600,"Tutor")+COUNTIFS('(B) Register of Participants'!$J$3:$J$600,"ERR-DUP",'(B) Register of Participants'!$H$3:$H$600,"Student")</f>
        <v/>
      </c>
      <c r="F8" s="54" t="n"/>
      <c r="G8" s="48" t="inlineStr">
        <is>
          <t>Admitted</t>
        </is>
      </c>
      <c r="H8" s="48">
        <f>SUM('(B) Register of Participants'!$CT$3:$CT$600)</f>
        <v/>
      </c>
      <c r="I8" s="54" t="n"/>
      <c r="J8" s="48" t="inlineStr">
        <is>
          <t>Blacklisted</t>
        </is>
      </c>
      <c r="K8" s="48">
        <f>COUNTIF('(B) Register of Participants'!$L$3:$L$600,"Yes*")</f>
        <v/>
      </c>
      <c r="L8" s="54" t="n"/>
      <c r="M8" s="48" t="inlineStr">
        <is>
          <t>Total hours tutored to date</t>
        </is>
      </c>
      <c r="N8" s="48">
        <f>ROUND(SUM('(B) Register of Participants'!$DB$3:$DB$600),1)</f>
        <v/>
      </c>
      <c r="O8" s="54" t="n"/>
      <c r="P8" s="48" t="inlineStr">
        <is>
          <t>CROCK Mary</t>
        </is>
      </c>
      <c r="Q8" s="48">
        <f>COUNTIF('(B) Register of Participants'!$BJ$3:$BJ$600,"CROCK Mary")</f>
        <v/>
      </c>
      <c r="R8" s="48">
        <f>COUNTIF('(B) Register of Participants'!$BK$3:$BK$600,"CROCK Mary")</f>
        <v/>
      </c>
      <c r="S8" s="54" t="n"/>
    </row>
    <row r="9">
      <c r="A9" s="54" t="n"/>
      <c r="B9" s="48" t="inlineStr">
        <is>
          <t>ERR-OTH</t>
        </is>
      </c>
      <c r="C9" s="48">
        <f>COUNTIFS('(B) Register of Participants'!$J$3:$J$600,"ERR-OTH",'(B) Register of Participants'!$H$3:$H$600,"Tutor")</f>
        <v/>
      </c>
      <c r="D9" s="48">
        <f>COUNTIFS('(B) Register of Participants'!$J$3:$J$600,"ERR-OTH",'(B) Register of Participants'!$H$3:$H$600,"Student")</f>
        <v/>
      </c>
      <c r="E9" s="48">
        <f>COUNTIFS('(B) Register of Participants'!$J$3:$J$600,"ERR-OTH",'(B) Register of Participants'!$H$3:$H$600,"Tutor")+COUNTIFS('(B) Register of Participants'!$J$3:$J$600,"ERR-OTH",'(B) Register of Participants'!$H$3:$H$600,"Student")</f>
        <v/>
      </c>
      <c r="F9" s="54" t="n"/>
      <c r="G9" s="48" t="inlineStr">
        <is>
          <t>Currently paired (active)</t>
        </is>
      </c>
      <c r="H9" s="48">
        <f>COUNTIF('(B) Register of Participants'!$J$3:$J$600,"ADM-ACT-MAT-*")</f>
        <v/>
      </c>
      <c r="I9" s="54" t="n"/>
      <c r="J9" s="48" t="inlineStr">
        <is>
          <t>Check-ins overdue/blank</t>
        </is>
      </c>
      <c r="K9" s="48">
        <f>SUMPRODUCT(--('(B) Register of Participants'!$V$3:$V$600=""))+SUMPRODUCT(--ISNUMBER('(B) Register of Participants'!$V$3:$V$600),--('(B) Register of Participants'!$V$3:$V$600&lt;TODAY()-365))</f>
        <v/>
      </c>
      <c r="L9" s="54" t="n"/>
      <c r="M9" s="48" t="inlineStr">
        <is>
          <t>Active pairings</t>
        </is>
      </c>
      <c r="N9" s="48">
        <f>COUNTIF('(B) Register of Participants'!$J$3:$J$600,"ADM-ACT-MAT-*")</f>
        <v/>
      </c>
      <c r="O9" s="54" t="n"/>
      <c r="P9" s="48" t="inlineStr">
        <is>
          <t>HALLORAN Isobel</t>
        </is>
      </c>
      <c r="Q9" s="48">
        <f>COUNTIF('(B) Register of Participants'!$BJ$3:$BJ$600,"HALLORAN Isobel")</f>
        <v/>
      </c>
      <c r="R9" s="48">
        <f>COUNTIF('(B) Register of Participants'!$BK$3:$BK$600,"HALLORAN Isobel")</f>
        <v/>
      </c>
      <c r="S9" s="54" t="n"/>
    </row>
    <row r="10">
      <c r="A10" s="54" t="n"/>
      <c r="B10" s="48" t="inlineStr">
        <is>
          <t>NADM-UNP</t>
        </is>
      </c>
      <c r="C10" s="48">
        <f>COUNTIFS('(B) Register of Participants'!$J$3:$J$600,"NADM-UNP",'(B) Register of Participants'!$H$3:$H$600,"Tutor")</f>
        <v/>
      </c>
      <c r="D10" s="48">
        <f>COUNTIFS('(B) Register of Participants'!$J$3:$J$600,"NADM-UNP",'(B) Register of Participants'!$H$3:$H$600,"Student")</f>
        <v/>
      </c>
      <c r="E10" s="48">
        <f>COUNTIFS('(B) Register of Participants'!$J$3:$J$600,"NADM-UNP",'(B) Register of Participants'!$H$3:$H$600,"Tutor")+COUNTIFS('(B) Register of Participants'!$J$3:$J$600,"NADM-UNP",'(B) Register of Participants'!$H$3:$H$600,"Student")</f>
        <v/>
      </c>
      <c r="F10" s="54" t="n"/>
      <c r="G10" s="48" t="inlineStr">
        <is>
          <t>Awaiting pairing</t>
        </is>
      </c>
      <c r="H10" s="48">
        <f>COUNTIF('(B) Register of Participants'!$J$3:$J$600,"ADM-ACT-UNMAT")</f>
        <v/>
      </c>
      <c r="I10" s="54" t="n"/>
      <c r="J10" s="48" t="inlineStr">
        <is>
          <t>Matched, vetting incomplete</t>
        </is>
      </c>
      <c r="K10" s="48">
        <f>COUNTIF('(B) Register of Participants'!$BN$3:$BN$600,"*vetting incomplete*")</f>
        <v/>
      </c>
      <c r="L10" s="54" t="n"/>
      <c r="M10" s="48" t="inlineStr">
        <is>
          <t>Tutors with spare capacity</t>
        </is>
      </c>
      <c r="N10" s="48">
        <f>COUNTIF('(B) Register of Participants'!$J$3:$J$600,"ADM-ACT-MAT-CNE")</f>
        <v/>
      </c>
      <c r="O10" s="54" t="n"/>
      <c r="P10" s="48" t="inlineStr">
        <is>
          <t>HERVIR Oliver</t>
        </is>
      </c>
      <c r="Q10" s="48">
        <f>COUNTIF('(B) Register of Participants'!$BJ$3:$BJ$600,"HERVIR Oliver")</f>
        <v/>
      </c>
      <c r="R10" s="48">
        <f>COUNTIF('(B) Register of Participants'!$BK$3:$BK$600,"HERVIR Oliver")</f>
        <v/>
      </c>
      <c r="S10" s="54" t="n"/>
    </row>
    <row r="11">
      <c r="A11" s="54" t="n"/>
      <c r="B11" s="48" t="inlineStr">
        <is>
          <t>NADM-REJ-UNRES</t>
        </is>
      </c>
      <c r="C11" s="48">
        <f>COUNTIFS('(B) Register of Participants'!$J$3:$J$600,"NADM-REJ-UNRES",'(B) Register of Participants'!$H$3:$H$600,"Tutor")</f>
        <v/>
      </c>
      <c r="D11" s="48">
        <f>COUNTIFS('(B) Register of Participants'!$J$3:$J$600,"NADM-REJ-UNRES",'(B) Register of Participants'!$H$3:$H$600,"Student")</f>
        <v/>
      </c>
      <c r="E11" s="48">
        <f>COUNTIFS('(B) Register of Participants'!$J$3:$J$600,"NADM-REJ-UNRES",'(B) Register of Participants'!$H$3:$H$600,"Tutor")+COUNTIFS('(B) Register of Participants'!$J$3:$J$600,"NADM-REJ-UNRES",'(B) Register of Participants'!$H$3:$H$600,"Student")</f>
        <v/>
      </c>
      <c r="F11" s="54" t="n"/>
      <c r="G11" s="48" t="inlineStr">
        <is>
          <t>Avg days application→pairing</t>
        </is>
      </c>
      <c r="H11" s="48">
        <f>IFERROR(ROUND(AVERAGEIF('(B) Register of Participants'!$CV$3:$CV$600,"&gt;0"),1),"")</f>
        <v/>
      </c>
      <c r="I11" s="54" t="n"/>
      <c r="P11" s="48" t="inlineStr">
        <is>
          <t>KNIJNIK Marina</t>
        </is>
      </c>
      <c r="Q11" s="48">
        <f>COUNTIF('(B) Register of Participants'!$BJ$3:$BJ$600,"KNIJNIK Marina")</f>
        <v/>
      </c>
      <c r="R11" s="48">
        <f>COUNTIF('(B) Register of Participants'!$BK$3:$BK$600,"KNIJNIK Marina")</f>
        <v/>
      </c>
      <c r="S11" s="54" t="n"/>
    </row>
    <row r="12">
      <c r="A12" s="54" t="n"/>
      <c r="B12" s="48" t="inlineStr">
        <is>
          <t>NADM-REJ-UNSUIT</t>
        </is>
      </c>
      <c r="C12" s="48">
        <f>COUNTIFS('(B) Register of Participants'!$J$3:$J$600,"NADM-REJ-UNSUIT",'(B) Register of Participants'!$H$3:$H$600,"Tutor")</f>
        <v/>
      </c>
      <c r="D12" s="48">
        <f>COUNTIFS('(B) Register of Participants'!$J$3:$J$600,"NADM-REJ-UNSUIT",'(B) Register of Participants'!$H$3:$H$600,"Student")</f>
        <v/>
      </c>
      <c r="E12" s="48">
        <f>COUNTIFS('(B) Register of Participants'!$J$3:$J$600,"NADM-REJ-UNSUIT",'(B) Register of Participants'!$H$3:$H$600,"Tutor")+COUNTIFS('(B) Register of Participants'!$J$3:$J$600,"NADM-REJ-UNSUIT",'(B) Register of Participants'!$H$3:$H$600,"Student")</f>
        <v/>
      </c>
      <c r="F12" s="54" t="n"/>
      <c r="G12" s="48" t="inlineStr">
        <is>
          <t>Unmatched &gt; 60 days</t>
        </is>
      </c>
      <c r="H12" s="48">
        <f>COUNTIFS('(B) Register of Participants'!$J$3:$J$600,"ADM-ACT-UNMAT",'(B) Register of Participants'!$I$3:$I$600,"&lt;="&amp;(TODAY()-60))</f>
        <v/>
      </c>
      <c r="I12" s="54" t="n"/>
      <c r="P12" s="48" t="inlineStr">
        <is>
          <t>MCCLELLAND Reeve</t>
        </is>
      </c>
      <c r="Q12" s="48">
        <f>COUNTIF('(B) Register of Participants'!$BJ$3:$BJ$600,"MCCLELLAND Reeve")</f>
        <v/>
      </c>
      <c r="R12" s="48">
        <f>COUNTIF('(B) Register of Participants'!$BK$3:$BK$600,"MCCLELLAND Reeve")</f>
        <v/>
      </c>
      <c r="S12" s="54" t="n"/>
    </row>
    <row r="13">
      <c r="A13" s="54" t="n"/>
      <c r="B13" s="48" t="inlineStr">
        <is>
          <t>ADM-ACT-UNMAT</t>
        </is>
      </c>
      <c r="C13" s="48">
        <f>COUNTIFS('(B) Register of Participants'!$J$3:$J$600,"ADM-ACT-UNMAT",'(B) Register of Participants'!$H$3:$H$600,"Tutor")</f>
        <v/>
      </c>
      <c r="D13" s="48">
        <f>COUNTIFS('(B) Register of Participants'!$J$3:$J$600,"ADM-ACT-UNMAT",'(B) Register of Participants'!$H$3:$H$600,"Student")</f>
        <v/>
      </c>
      <c r="E13" s="48">
        <f>COUNTIFS('(B) Register of Participants'!$J$3:$J$600,"ADM-ACT-UNMAT",'(B) Register of Participants'!$H$3:$H$600,"Tutor")+COUNTIFS('(B) Register of Participants'!$J$3:$J$600,"ADM-ACT-UNMAT",'(B) Register of Participants'!$H$3:$H$600,"Student")</f>
        <v/>
      </c>
      <c r="F13" s="54" t="n"/>
      <c r="P13" s="48" t="inlineStr">
        <is>
          <t>MCCRORIE John</t>
        </is>
      </c>
      <c r="Q13" s="48">
        <f>COUNTIF('(B) Register of Participants'!$BJ$3:$BJ$600,"MCCRORIE John")</f>
        <v/>
      </c>
      <c r="R13" s="48">
        <f>COUNTIF('(B) Register of Participants'!$BK$3:$BK$600,"MCCRORIE John")</f>
        <v/>
      </c>
      <c r="S13" s="54" t="n"/>
    </row>
    <row r="14">
      <c r="A14" s="54" t="n"/>
      <c r="B14" s="48" t="inlineStr">
        <is>
          <t>ADM-ACT-MAT-CNE</t>
        </is>
      </c>
      <c r="C14" s="48">
        <f>COUNTIFS('(B) Register of Participants'!$J$3:$J$600,"ADM-ACT-MAT-CNE",'(B) Register of Participants'!$H$3:$H$600,"Tutor")</f>
        <v/>
      </c>
      <c r="D14" s="48">
        <f>COUNTIFS('(B) Register of Participants'!$J$3:$J$600,"ADM-ACT-MAT-CNE",'(B) Register of Participants'!$H$3:$H$600,"Student")</f>
        <v/>
      </c>
      <c r="E14" s="48">
        <f>COUNTIFS('(B) Register of Participants'!$J$3:$J$600,"ADM-ACT-MAT-CNE",'(B) Register of Participants'!$H$3:$H$600,"Tutor")+COUNTIFS('(B) Register of Participants'!$J$3:$J$600,"ADM-ACT-MAT-CNE",'(B) Register of Participants'!$H$3:$H$600,"Student")</f>
        <v/>
      </c>
      <c r="F14" s="54" t="n"/>
      <c r="P14" s="48" t="inlineStr">
        <is>
          <t>NUICH Curtis</t>
        </is>
      </c>
      <c r="Q14" s="48">
        <f>COUNTIF('(B) Register of Participants'!$BJ$3:$BJ$600,"NUICH Curtis")</f>
        <v/>
      </c>
      <c r="R14" s="48">
        <f>COUNTIF('(B) Register of Participants'!$BK$3:$BK$600,"NUICH Curtis")</f>
        <v/>
      </c>
      <c r="S14" s="54" t="n"/>
    </row>
    <row r="15">
      <c r="A15" s="54" t="n"/>
      <c r="B15" s="48" t="inlineStr">
        <is>
          <t>ADM-ACT-MAT-CE</t>
        </is>
      </c>
      <c r="C15" s="48">
        <f>COUNTIFS('(B) Register of Participants'!$J$3:$J$600,"ADM-ACT-MAT-CE",'(B) Register of Participants'!$H$3:$H$600,"Tutor")</f>
        <v/>
      </c>
      <c r="D15" s="48">
        <f>COUNTIFS('(B) Register of Participants'!$J$3:$J$600,"ADM-ACT-MAT-CE",'(B) Register of Participants'!$H$3:$H$600,"Student")</f>
        <v/>
      </c>
      <c r="E15" s="48">
        <f>COUNTIFS('(B) Register of Participants'!$J$3:$J$600,"ADM-ACT-MAT-CE",'(B) Register of Participants'!$H$3:$H$600,"Tutor")+COUNTIFS('(B) Register of Participants'!$J$3:$J$600,"ADM-ACT-MAT-CE",'(B) Register of Participants'!$H$3:$H$600,"Student")</f>
        <v/>
      </c>
      <c r="F15" s="54" t="n"/>
      <c r="P15" s="48" t="inlineStr">
        <is>
          <t>SHANAHAN Jack</t>
        </is>
      </c>
      <c r="Q15" s="48">
        <f>COUNTIF('(B) Register of Participants'!$BJ$3:$BJ$600,"SHANAHAN Jack")</f>
        <v/>
      </c>
      <c r="R15" s="48">
        <f>COUNTIF('(B) Register of Participants'!$BK$3:$BK$600,"SHANAHAN Jack")</f>
        <v/>
      </c>
      <c r="S15" s="54" t="n"/>
    </row>
    <row r="16">
      <c r="A16" s="54" t="n"/>
      <c r="B16" s="48" t="inlineStr">
        <is>
          <t>ADM-INACT-M&amp;T</t>
        </is>
      </c>
      <c r="C16" s="48">
        <f>COUNTIFS('(B) Register of Participants'!$J$3:$J$600,"ADM-INACT-M&amp;T",'(B) Register of Participants'!$H$3:$H$600,"Tutor")</f>
        <v/>
      </c>
      <c r="D16" s="48">
        <f>COUNTIFS('(B) Register of Participants'!$J$3:$J$600,"ADM-INACT-M&amp;T",'(B) Register of Participants'!$H$3:$H$600,"Student")</f>
        <v/>
      </c>
      <c r="E16" s="48">
        <f>COUNTIFS('(B) Register of Participants'!$J$3:$J$600,"ADM-INACT-M&amp;T",'(B) Register of Participants'!$H$3:$H$600,"Tutor")+COUNTIFS('(B) Register of Participants'!$J$3:$J$600,"ADM-INACT-M&amp;T",'(B) Register of Participants'!$H$3:$H$600,"Student")</f>
        <v/>
      </c>
      <c r="F16" s="54" t="n"/>
      <c r="P16" s="48" t="inlineStr">
        <is>
          <t>SINGH Veera</t>
        </is>
      </c>
      <c r="Q16" s="48">
        <f>COUNTIF('(B) Register of Participants'!$BJ$3:$BJ$600,"SINGH Veera")</f>
        <v/>
      </c>
      <c r="R16" s="48">
        <f>COUNTIF('(B) Register of Participants'!$BK$3:$BK$600,"SINGH Veera")</f>
        <v/>
      </c>
      <c r="S16" s="54" t="n"/>
    </row>
    <row r="17">
      <c r="A17" s="54" t="n"/>
      <c r="B17" s="48" t="inlineStr">
        <is>
          <t>ADM-INACT-NOM&amp;T</t>
        </is>
      </c>
      <c r="C17" s="48">
        <f>COUNTIFS('(B) Register of Participants'!$J$3:$J$600,"ADM-INACT-NOM&amp;T",'(B) Register of Participants'!$H$3:$H$600,"Tutor")</f>
        <v/>
      </c>
      <c r="D17" s="48">
        <f>COUNTIFS('(B) Register of Participants'!$J$3:$J$600,"ADM-INACT-NOM&amp;T",'(B) Register of Participants'!$H$3:$H$600,"Student")</f>
        <v/>
      </c>
      <c r="E17" s="48">
        <f>COUNTIFS('(B) Register of Participants'!$J$3:$J$600,"ADM-INACT-NOM&amp;T",'(B) Register of Participants'!$H$3:$H$600,"Tutor")+COUNTIFS('(B) Register of Participants'!$J$3:$J$600,"ADM-INACT-NOM&amp;T",'(B) Register of Participants'!$H$3:$H$600,"Student")</f>
        <v/>
      </c>
      <c r="F17" s="54" t="n"/>
      <c r="P17" s="48" t="inlineStr">
        <is>
          <t>THET Moh Moh</t>
        </is>
      </c>
      <c r="Q17" s="48">
        <f>COUNTIF('(B) Register of Participants'!$BJ$3:$BJ$600,"THET Moh Moh")</f>
        <v/>
      </c>
      <c r="R17" s="48">
        <f>COUNTIF('(B) Register of Participants'!$BK$3:$BK$600,"THET Moh Moh")</f>
        <v/>
      </c>
      <c r="S17" s="54" t="n"/>
    </row>
    <row r="18">
      <c r="A18" s="54" t="n"/>
      <c r="B18" s="48" t="inlineStr">
        <is>
          <t>Grand Total</t>
        </is>
      </c>
      <c r="C18" s="48">
        <f>COUNTIFS('(B) Register of Participants'!$J$3:$J$600,"?*",'(B) Register of Participants'!$H$3:$H$600,"Tutor")</f>
        <v/>
      </c>
      <c r="D18" s="48">
        <f>COUNTIFS('(B) Register of Participants'!$J$3:$J$600,"?*",'(B) Register of Participants'!$H$3:$H$600,"Student")</f>
        <v/>
      </c>
      <c r="E18" s="48">
        <f>SUM(E7:E17)</f>
        <v/>
      </c>
      <c r="F18" s="54" t="n"/>
      <c r="P18" s="48" t="inlineStr">
        <is>
          <t>ZULMAN Levi</t>
        </is>
      </c>
      <c r="Q18" s="48">
        <f>COUNTIF('(B) Register of Participants'!$BJ$3:$BJ$600,"ZULMAN Levi")</f>
        <v/>
      </c>
      <c r="R18" s="48">
        <f>COUNTIF('(B) Register of Participants'!$BK$3:$BK$600,"ZULMAN Levi")</f>
        <v/>
      </c>
      <c r="S18" s="54" t="n"/>
    </row>
    <row r="19">
      <c r="A19" s="54" t="n"/>
    </row>
    <row r="20">
      <c r="A20" s="54" t="n"/>
    </row>
    <row r="21">
      <c r="A21" s="54" t="n"/>
    </row>
    <row r="22">
      <c r="A22" s="54" t="n"/>
    </row>
    <row r="23">
      <c r="A23" s="54" t="n"/>
    </row>
    <row r="24">
      <c r="A24" s="54" t="n"/>
    </row>
    <row r="25">
      <c r="A25" s="54" t="n"/>
    </row>
    <row r="26">
      <c r="A26" s="54" t="n"/>
    </row>
    <row r="27">
      <c r="A27" s="54" t="n"/>
    </row>
    <row r="28">
      <c r="A28" s="54" t="n"/>
    </row>
    <row r="29">
      <c r="A29" s="54" t="n"/>
    </row>
    <row r="30">
      <c r="A30" s="54" t="n"/>
    </row>
    <row r="31">
      <c r="A31" s="54" t="n"/>
    </row>
    <row r="32">
      <c r="A32" s="54" t="n"/>
    </row>
    <row r="33">
      <c r="A33" s="54" t="n"/>
    </row>
    <row r="34">
      <c r="A34" s="54" t="n"/>
    </row>
    <row r="35">
      <c r="A35" s="54" t="n"/>
    </row>
    <row r="36">
      <c r="A36" s="54" t="n"/>
      <c r="B36" s="57" t="inlineStr">
        <is>
          <t>APPLICANTS PER MONTH AND PER ORGANISATION</t>
        </is>
      </c>
      <c r="C36" s="58" t="n"/>
      <c r="D36" s="58" t="n"/>
      <c r="E36" s="58" t="n"/>
      <c r="F36" s="58" t="n"/>
      <c r="G36" s="58" t="n"/>
      <c r="H36" s="58" t="n"/>
      <c r="I36" s="58" t="n"/>
      <c r="J36" s="58" t="n"/>
      <c r="K36" s="58" t="n"/>
      <c r="L36" s="58" t="n"/>
      <c r="M36" s="58" t="n"/>
      <c r="N36" s="58" t="n"/>
      <c r="O36" s="58" t="n"/>
      <c r="P36" s="58" t="n"/>
      <c r="Q36" s="58" t="n"/>
      <c r="R36" s="58" t="n"/>
      <c r="S36" s="58" t="n"/>
      <c r="T36" s="58" t="n"/>
      <c r="U36" s="58" t="n"/>
      <c r="V36" s="58" t="n"/>
      <c r="W36" s="58" t="n"/>
      <c r="X36" s="58" t="n"/>
      <c r="Y36" s="58" t="n"/>
      <c r="Z36" s="58" t="n"/>
      <c r="AA36" s="58" t="n"/>
      <c r="AB36" s="58" t="n"/>
      <c r="AC36" s="58" t="n"/>
      <c r="AD36" s="58" t="n"/>
      <c r="AE36" s="58" t="n"/>
      <c r="AF36" s="58" t="n"/>
      <c r="AG36" s="58" t="n"/>
      <c r="AH36" s="58" t="n"/>
      <c r="AI36" s="58" t="n"/>
      <c r="AJ36" s="58" t="n"/>
      <c r="AK36" s="58" t="n"/>
    </row>
    <row r="37">
      <c r="A37" s="54" t="n"/>
    </row>
    <row r="38">
      <c r="A38" s="54" t="n"/>
      <c r="B38" s="15" t="inlineStr">
        <is>
          <t>(B.1) Applications per month</t>
        </is>
      </c>
      <c r="F38" s="54" t="n"/>
      <c r="G38" s="15" t="inlineStr">
        <is>
          <t>(B.3) Applications per organisation</t>
        </is>
      </c>
      <c r="K38" s="54" t="n"/>
    </row>
    <row r="39">
      <c r="A39" s="54" t="n"/>
      <c r="B39" s="59" t="inlineStr">
        <is>
          <t>M</t>
        </is>
      </c>
      <c r="C39" s="59" t="inlineStr">
        <is>
          <t>Tutors</t>
        </is>
      </c>
      <c r="D39" s="59" t="inlineStr">
        <is>
          <t>Students</t>
        </is>
      </c>
      <c r="E39" s="59" t="inlineStr">
        <is>
          <t>Total</t>
        </is>
      </c>
      <c r="F39" s="56" t="inlineStr">
        <is>
          <t>h</t>
        </is>
      </c>
      <c r="G39" s="59" t="inlineStr">
        <is>
          <t>Pathway</t>
        </is>
      </c>
      <c r="H39" s="59" t="inlineStr">
        <is>
          <t>Tutors</t>
        </is>
      </c>
      <c r="I39" s="59" t="inlineStr">
        <is>
          <t>Students</t>
        </is>
      </c>
      <c r="J39" s="59" t="inlineStr">
        <is>
          <t>Total</t>
        </is>
      </c>
      <c r="K39" s="54" t="n"/>
    </row>
    <row r="40">
      <c r="A40" s="54" t="n"/>
      <c r="B40" s="48" t="inlineStr">
        <is>
          <t>Jan 2024</t>
        </is>
      </c>
      <c r="C40" s="48">
        <f>COUNTIFS('(B) Register of Participants'!$CX$3:$CX$600,DATE(2024,1,1),'(B) Register of Participants'!$H$3:$H$600,"Tutor")</f>
        <v/>
      </c>
      <c r="D40" s="48">
        <f>COUNTIFS('(B) Register of Participants'!$CX$3:$CX$600,DATE(2024,1,1),'(B) Register of Participants'!$H$3:$H$600,"Student")</f>
        <v/>
      </c>
      <c r="E40" s="48">
        <f>COUNTIF('(B) Register of Participants'!$CX$3:$CX$600,DATE(2024,1,1))</f>
        <v/>
      </c>
      <c r="F40" s="54" t="n"/>
      <c r="G40" s="48" t="inlineStr">
        <is>
          <t>AMES Australia</t>
        </is>
      </c>
      <c r="H40" s="48">
        <f>COUNTIFS('(B) Register of Participants'!$BI$3:$BI$600,"AMES Australia",'(B) Register of Participants'!$H$3:$H$600,"Tutor")</f>
        <v/>
      </c>
      <c r="I40" s="48">
        <f>COUNTIFS('(B) Register of Participants'!$BI$3:$BI$600,"AMES Australia",'(B) Register of Participants'!$H$3:$H$600,"Student")</f>
        <v/>
      </c>
      <c r="J40" s="48">
        <f>COUNTIFS('(B) Register of Participants'!$BI$3:$BI$600,"AMES Australia",'(B) Register of Participants'!$H$3:$H$600,"Tutor")+COUNTIFS('(B) Register of Participants'!$BI$3:$BI$600,"AMES Australia",'(B) Register of Participants'!$H$3:$H$600,"Student")</f>
        <v/>
      </c>
      <c r="K40" s="54" t="n"/>
    </row>
    <row r="41">
      <c r="A41" s="54" t="n"/>
      <c r="B41" s="48" t="inlineStr">
        <is>
          <t>Feb 2024</t>
        </is>
      </c>
      <c r="C41" s="48">
        <f>COUNTIFS('(B) Register of Participants'!$CX$3:$CX$600,DATE(2024,2,1),'(B) Register of Participants'!$H$3:$H$600,"Tutor")</f>
        <v/>
      </c>
      <c r="D41" s="48">
        <f>COUNTIFS('(B) Register of Participants'!$CX$3:$CX$600,DATE(2024,2,1),'(B) Register of Participants'!$H$3:$H$600,"Student")</f>
        <v/>
      </c>
      <c r="E41" s="48">
        <f>COUNTIF('(B) Register of Participants'!$CX$3:$CX$600,DATE(2024,2,1))</f>
        <v/>
      </c>
      <c r="F41" s="54" t="n"/>
      <c r="G41" s="48" t="inlineStr">
        <is>
          <t>Asylum Seeker Resource Centre</t>
        </is>
      </c>
      <c r="H41" s="48">
        <f>COUNTIFS('(B) Register of Participants'!$BI$3:$BI$600,"Asylum Seeker Resource Centre",'(B) Register of Participants'!$H$3:$H$600,"Tutor")</f>
        <v/>
      </c>
      <c r="I41" s="48">
        <f>COUNTIFS('(B) Register of Participants'!$BI$3:$BI$600,"Asylum Seeker Resource Centre",'(B) Register of Participants'!$H$3:$H$600,"Student")</f>
        <v/>
      </c>
      <c r="J41" s="48">
        <f>COUNTIFS('(B) Register of Participants'!$BI$3:$BI$600,"Asylum Seeker Resource Centre",'(B) Register of Participants'!$H$3:$H$600,"Tutor")+COUNTIFS('(B) Register of Participants'!$BI$3:$BI$600,"Asylum Seeker Resource Centre",'(B) Register of Participants'!$H$3:$H$600,"Student")</f>
        <v/>
      </c>
      <c r="K41" s="54" t="n"/>
    </row>
    <row r="42">
      <c r="A42" s="54" t="n"/>
      <c r="B42" s="48" t="inlineStr">
        <is>
          <t>Mar 2024</t>
        </is>
      </c>
      <c r="C42" s="48">
        <f>COUNTIFS('(B) Register of Participants'!$CX$3:$CX$600,DATE(2024,3,1),'(B) Register of Participants'!$H$3:$H$600,"Tutor")</f>
        <v/>
      </c>
      <c r="D42" s="48">
        <f>COUNTIFS('(B) Register of Participants'!$CX$3:$CX$600,DATE(2024,3,1),'(B) Register of Participants'!$H$3:$H$600,"Student")</f>
        <v/>
      </c>
      <c r="E42" s="48">
        <f>COUNTIF('(B) Register of Participants'!$CX$3:$CX$600,DATE(2024,3,1))</f>
        <v/>
      </c>
      <c r="F42" s="54" t="n"/>
      <c r="G42" s="48" t="inlineStr">
        <is>
          <t>Ayelet</t>
        </is>
      </c>
      <c r="H42" s="48">
        <f>COUNTIFS('(B) Register of Participants'!$BI$3:$BI$600,"Ayelet",'(B) Register of Participants'!$H$3:$H$600,"Tutor")</f>
        <v/>
      </c>
      <c r="I42" s="48">
        <f>COUNTIFS('(B) Register of Participants'!$BI$3:$BI$600,"Ayelet",'(B) Register of Participants'!$H$3:$H$600,"Student")</f>
        <v/>
      </c>
      <c r="J42" s="48">
        <f>COUNTIFS('(B) Register of Participants'!$BI$3:$BI$600,"Ayelet",'(B) Register of Participants'!$H$3:$H$600,"Tutor")+COUNTIFS('(B) Register of Participants'!$BI$3:$BI$600,"Ayelet",'(B) Register of Participants'!$H$3:$H$600,"Student")</f>
        <v/>
      </c>
      <c r="K42" s="54" t="n"/>
    </row>
    <row r="43">
      <c r="A43" s="54" t="n"/>
      <c r="B43" s="48" t="inlineStr">
        <is>
          <t>Apr 2024</t>
        </is>
      </c>
      <c r="C43" s="48">
        <f>COUNTIFS('(B) Register of Participants'!$CX$3:$CX$600,DATE(2024,4,1),'(B) Register of Participants'!$H$3:$H$600,"Tutor")</f>
        <v/>
      </c>
      <c r="D43" s="48">
        <f>COUNTIFS('(B) Register of Participants'!$CX$3:$CX$600,DATE(2024,4,1),'(B) Register of Participants'!$H$3:$H$600,"Student")</f>
        <v/>
      </c>
      <c r="E43" s="48">
        <f>COUNTIF('(B) Register of Participants'!$CX$3:$CX$600,DATE(2024,4,1))</f>
        <v/>
      </c>
      <c r="F43" s="54" t="n"/>
      <c r="G43" s="48" t="inlineStr">
        <is>
          <t>Bread &amp; Butter Project</t>
        </is>
      </c>
      <c r="H43" s="48">
        <f>COUNTIFS('(B) Register of Participants'!$BI$3:$BI$600,"Bread &amp; Butter Project",'(B) Register of Participants'!$H$3:$H$600,"Tutor")</f>
        <v/>
      </c>
      <c r="I43" s="48">
        <f>COUNTIFS('(B) Register of Participants'!$BI$3:$BI$600,"Bread &amp; Butter Project",'(B) Register of Participants'!$H$3:$H$600,"Student")</f>
        <v/>
      </c>
      <c r="J43" s="48">
        <f>COUNTIFS('(B) Register of Participants'!$BI$3:$BI$600,"Bread &amp; Butter Project",'(B) Register of Participants'!$H$3:$H$600,"Tutor")+COUNTIFS('(B) Register of Participants'!$BI$3:$BI$600,"Bread &amp; Butter Project",'(B) Register of Participants'!$H$3:$H$600,"Student")</f>
        <v/>
      </c>
      <c r="K43" s="54" t="n"/>
    </row>
    <row r="44">
      <c r="A44" s="54" t="n"/>
      <c r="B44" s="48" t="inlineStr">
        <is>
          <t>May 2024</t>
        </is>
      </c>
      <c r="C44" s="48">
        <f>COUNTIFS('(B) Register of Participants'!$CX$3:$CX$600,DATE(2024,5,1),'(B) Register of Participants'!$H$3:$H$600,"Tutor")</f>
        <v/>
      </c>
      <c r="D44" s="48">
        <f>COUNTIFS('(B) Register of Participants'!$CX$3:$CX$600,DATE(2024,5,1),'(B) Register of Participants'!$H$3:$H$600,"Student")</f>
        <v/>
      </c>
      <c r="E44" s="48">
        <f>COUNTIF('(B) Register of Participants'!$CX$3:$CX$600,DATE(2024,5,1))</f>
        <v/>
      </c>
      <c r="F44" s="54" t="n"/>
      <c r="G44" s="48" t="inlineStr">
        <is>
          <t>CareerSeekers</t>
        </is>
      </c>
      <c r="H44" s="48">
        <f>COUNTIFS('(B) Register of Participants'!$BI$3:$BI$600,"CareerSeekers",'(B) Register of Participants'!$H$3:$H$600,"Tutor")</f>
        <v/>
      </c>
      <c r="I44" s="48">
        <f>COUNTIFS('(B) Register of Participants'!$BI$3:$BI$600,"CareerSeekers",'(B) Register of Participants'!$H$3:$H$600,"Student")</f>
        <v/>
      </c>
      <c r="J44" s="48">
        <f>COUNTIFS('(B) Register of Participants'!$BI$3:$BI$600,"CareerSeekers",'(B) Register of Participants'!$H$3:$H$600,"Tutor")+COUNTIFS('(B) Register of Participants'!$BI$3:$BI$600,"CareerSeekers",'(B) Register of Participants'!$H$3:$H$600,"Student")</f>
        <v/>
      </c>
      <c r="K44" s="54" t="n"/>
    </row>
    <row r="45">
      <c r="A45" s="54" t="n"/>
      <c r="B45" s="48" t="inlineStr">
        <is>
          <t>Jun 2024</t>
        </is>
      </c>
      <c r="C45" s="48">
        <f>COUNTIFS('(B) Register of Participants'!$CX$3:$CX$600,DATE(2024,6,1),'(B) Register of Participants'!$H$3:$H$600,"Tutor")</f>
        <v/>
      </c>
      <c r="D45" s="48">
        <f>COUNTIFS('(B) Register of Participants'!$CX$3:$CX$600,DATE(2024,6,1),'(B) Register of Participants'!$H$3:$H$600,"Student")</f>
        <v/>
      </c>
      <c r="E45" s="48">
        <f>COUNTIF('(B) Register of Participants'!$CX$3:$CX$600,DATE(2024,6,1))</f>
        <v/>
      </c>
      <c r="F45" s="54" t="n"/>
      <c r="G45" s="48" t="inlineStr">
        <is>
          <t>Grandmothers for Refugees</t>
        </is>
      </c>
      <c r="H45" s="48">
        <f>COUNTIFS('(B) Register of Participants'!$BI$3:$BI$600,"Grandmothers for Refugees",'(B) Register of Participants'!$H$3:$H$600,"Tutor")</f>
        <v/>
      </c>
      <c r="I45" s="48">
        <f>COUNTIFS('(B) Register of Participants'!$BI$3:$BI$600,"Grandmothers for Refugees",'(B) Register of Participants'!$H$3:$H$600,"Student")</f>
        <v/>
      </c>
      <c r="J45" s="48">
        <f>COUNTIFS('(B) Register of Participants'!$BI$3:$BI$600,"Grandmothers for Refugees",'(B) Register of Participants'!$H$3:$H$600,"Tutor")+COUNTIFS('(B) Register of Participants'!$BI$3:$BI$600,"Grandmothers for Refugees",'(B) Register of Participants'!$H$3:$H$600,"Student")</f>
        <v/>
      </c>
      <c r="K45" s="54" t="n"/>
    </row>
    <row r="46">
      <c r="A46" s="54" t="n"/>
      <c r="B46" s="48" t="inlineStr">
        <is>
          <t>Jul 2024</t>
        </is>
      </c>
      <c r="C46" s="48">
        <f>COUNTIFS('(B) Register of Participants'!$CX$3:$CX$600,DATE(2024,7,1),'(B) Register of Participants'!$H$3:$H$600,"Tutor")</f>
        <v/>
      </c>
      <c r="D46" s="48">
        <f>COUNTIFS('(B) Register of Participants'!$CX$3:$CX$600,DATE(2024,7,1),'(B) Register of Participants'!$H$3:$H$600,"Student")</f>
        <v/>
      </c>
      <c r="E46" s="48">
        <f>COUNTIF('(B) Register of Participants'!$CX$3:$CX$600,DATE(2024,7,1))</f>
        <v/>
      </c>
      <c r="F46" s="54" t="n"/>
      <c r="G46" s="48" t="inlineStr">
        <is>
          <t>Jesuit Refugee Service</t>
        </is>
      </c>
      <c r="H46" s="48">
        <f>COUNTIFS('(B) Register of Participants'!$BI$3:$BI$600,"Jesuit Refugee Service",'(B) Register of Participants'!$H$3:$H$600,"Tutor")</f>
        <v/>
      </c>
      <c r="I46" s="48">
        <f>COUNTIFS('(B) Register of Participants'!$BI$3:$BI$600,"Jesuit Refugee Service",'(B) Register of Participants'!$H$3:$H$600,"Student")</f>
        <v/>
      </c>
      <c r="J46" s="48">
        <f>COUNTIFS('(B) Register of Participants'!$BI$3:$BI$600,"Jesuit Refugee Service",'(B) Register of Participants'!$H$3:$H$600,"Tutor")+COUNTIFS('(B) Register of Participants'!$BI$3:$BI$600,"Jesuit Refugee Service",'(B) Register of Participants'!$H$3:$H$600,"Student")</f>
        <v/>
      </c>
      <c r="K46" s="54" t="n"/>
    </row>
    <row r="47">
      <c r="A47" s="54" t="n"/>
      <c r="B47" s="48" t="inlineStr">
        <is>
          <t>Aug 2024</t>
        </is>
      </c>
      <c r="C47" s="48">
        <f>COUNTIFS('(B) Register of Participants'!$CX$3:$CX$600,DATE(2024,8,1),'(B) Register of Participants'!$H$3:$H$600,"Tutor")</f>
        <v/>
      </c>
      <c r="D47" s="48">
        <f>COUNTIFS('(B) Register of Participants'!$CX$3:$CX$600,DATE(2024,8,1),'(B) Register of Participants'!$H$3:$H$600,"Student")</f>
        <v/>
      </c>
      <c r="E47" s="48">
        <f>COUNTIF('(B) Register of Participants'!$CX$3:$CX$600,DATE(2024,8,1))</f>
        <v/>
      </c>
      <c r="F47" s="54" t="n"/>
      <c r="G47" s="48" t="inlineStr">
        <is>
          <t>Kaldor Centre for International Refugee Law</t>
        </is>
      </c>
      <c r="H47" s="48">
        <f>COUNTIFS('(B) Register of Participants'!$BI$3:$BI$600,"Kaldor Centre for International Refugee Law",'(B) Register of Participants'!$H$3:$H$600,"Tutor")</f>
        <v/>
      </c>
      <c r="I47" s="48">
        <f>COUNTIFS('(B) Register of Participants'!$BI$3:$BI$600,"Kaldor Centre for International Refugee Law",'(B) Register of Participants'!$H$3:$H$600,"Student")</f>
        <v/>
      </c>
      <c r="J47" s="48">
        <f>COUNTIFS('(B) Register of Participants'!$BI$3:$BI$600,"Kaldor Centre for International Refugee Law",'(B) Register of Participants'!$H$3:$H$600,"Tutor")+COUNTIFS('(B) Register of Participants'!$BI$3:$BI$600,"Kaldor Centre for International Refugee Law",'(B) Register of Participants'!$H$3:$H$600,"Student")</f>
        <v/>
      </c>
      <c r="K47" s="54" t="n"/>
    </row>
    <row r="48">
      <c r="A48" s="54" t="n"/>
      <c r="B48" s="48" t="inlineStr">
        <is>
          <t>Sep 2024</t>
        </is>
      </c>
      <c r="C48" s="48">
        <f>COUNTIFS('(B) Register of Participants'!$CX$3:$CX$600,DATE(2024,9,1),'(B) Register of Participants'!$H$3:$H$600,"Tutor")</f>
        <v/>
      </c>
      <c r="D48" s="48">
        <f>COUNTIFS('(B) Register of Participants'!$CX$3:$CX$600,DATE(2024,9,1),'(B) Register of Participants'!$H$3:$H$600,"Student")</f>
        <v/>
      </c>
      <c r="E48" s="48">
        <f>COUNTIF('(B) Register of Participants'!$CX$3:$CX$600,DATE(2024,9,1))</f>
        <v/>
      </c>
      <c r="F48" s="54" t="n"/>
      <c r="G48" s="48" t="inlineStr">
        <is>
          <t>National Justice Project</t>
        </is>
      </c>
      <c r="H48" s="48">
        <f>COUNTIFS('(B) Register of Participants'!$BI$3:$BI$600,"National Justice Project",'(B) Register of Participants'!$H$3:$H$600,"Tutor")</f>
        <v/>
      </c>
      <c r="I48" s="48">
        <f>COUNTIFS('(B) Register of Participants'!$BI$3:$BI$600,"National Justice Project",'(B) Register of Participants'!$H$3:$H$600,"Student")</f>
        <v/>
      </c>
      <c r="J48" s="48">
        <f>COUNTIFS('(B) Register of Participants'!$BI$3:$BI$600,"National Justice Project",'(B) Register of Participants'!$H$3:$H$600,"Tutor")+COUNTIFS('(B) Register of Participants'!$BI$3:$BI$600,"National Justice Project",'(B) Register of Participants'!$H$3:$H$600,"Student")</f>
        <v/>
      </c>
      <c r="K48" s="54" t="n"/>
    </row>
    <row r="49">
      <c r="A49" s="54" t="n"/>
      <c r="B49" s="48" t="inlineStr">
        <is>
          <t>Oct 2024</t>
        </is>
      </c>
      <c r="C49" s="48">
        <f>COUNTIFS('(B) Register of Participants'!$CX$3:$CX$600,DATE(2024,10,1),'(B) Register of Participants'!$H$3:$H$600,"Tutor")</f>
        <v/>
      </c>
      <c r="D49" s="48">
        <f>COUNTIFS('(B) Register of Participants'!$CX$3:$CX$600,DATE(2024,10,1),'(B) Register of Participants'!$H$3:$H$600,"Student")</f>
        <v/>
      </c>
      <c r="E49" s="48">
        <f>COUNTIF('(B) Register of Participants'!$CX$3:$CX$600,DATE(2024,10,1))</f>
        <v/>
      </c>
      <c r="F49" s="54" t="n"/>
      <c r="G49" s="48" t="inlineStr">
        <is>
          <t>Notice Board</t>
        </is>
      </c>
      <c r="H49" s="48">
        <f>COUNTIFS('(B) Register of Participants'!$BI$3:$BI$600,"Notice Board",'(B) Register of Participants'!$H$3:$H$600,"Tutor")</f>
        <v/>
      </c>
      <c r="I49" s="48">
        <f>COUNTIFS('(B) Register of Participants'!$BI$3:$BI$600,"Notice Board",'(B) Register of Participants'!$H$3:$H$600,"Student")</f>
        <v/>
      </c>
      <c r="J49" s="48">
        <f>COUNTIFS('(B) Register of Participants'!$BI$3:$BI$600,"Notice Board",'(B) Register of Participants'!$H$3:$H$600,"Tutor")+COUNTIFS('(B) Register of Participants'!$BI$3:$BI$600,"Notice Board",'(B) Register of Participants'!$H$3:$H$600,"Student")</f>
        <v/>
      </c>
      <c r="K49" s="54" t="n"/>
    </row>
    <row r="50">
      <c r="A50" s="54" t="n"/>
      <c r="B50" s="48" t="inlineStr">
        <is>
          <t>Nov 2024</t>
        </is>
      </c>
      <c r="C50" s="48">
        <f>COUNTIFS('(B) Register of Participants'!$CX$3:$CX$600,DATE(2024,11,1),'(B) Register of Participants'!$H$3:$H$600,"Tutor")</f>
        <v/>
      </c>
      <c r="D50" s="48">
        <f>COUNTIFS('(B) Register of Participants'!$CX$3:$CX$600,DATE(2024,11,1),'(B) Register of Participants'!$H$3:$H$600,"Student")</f>
        <v/>
      </c>
      <c r="E50" s="48">
        <f>COUNTIF('(B) Register of Participants'!$CX$3:$CX$600,DATE(2024,11,1))</f>
        <v/>
      </c>
      <c r="F50" s="54" t="n"/>
      <c r="G50" s="48" t="inlineStr">
        <is>
          <t>Refugee Advice and Casework Service</t>
        </is>
      </c>
      <c r="H50" s="48">
        <f>COUNTIFS('(B) Register of Participants'!$BI$3:$BI$600,"Refugee Advice and Casework Service",'(B) Register of Participants'!$H$3:$H$600,"Tutor")</f>
        <v/>
      </c>
      <c r="I50" s="48">
        <f>COUNTIFS('(B) Register of Participants'!$BI$3:$BI$600,"Refugee Advice and Casework Service",'(B) Register of Participants'!$H$3:$H$600,"Student")</f>
        <v/>
      </c>
      <c r="J50" s="48">
        <f>COUNTIFS('(B) Register of Participants'!$BI$3:$BI$600,"Refugee Advice and Casework Service",'(B) Register of Participants'!$H$3:$H$600,"Tutor")+COUNTIFS('(B) Register of Participants'!$BI$3:$BI$600,"Refugee Advice and Casework Service",'(B) Register of Participants'!$H$3:$H$600,"Student")</f>
        <v/>
      </c>
      <c r="K50" s="54" t="n"/>
    </row>
    <row r="51">
      <c r="A51" s="54" t="n"/>
      <c r="B51" s="48" t="inlineStr">
        <is>
          <t>Dec 2024</t>
        </is>
      </c>
      <c r="C51" s="48">
        <f>COUNTIFS('(B) Register of Participants'!$CX$3:$CX$600,DATE(2024,12,1),'(B) Register of Participants'!$H$3:$H$600,"Tutor")</f>
        <v/>
      </c>
      <c r="D51" s="48">
        <f>COUNTIFS('(B) Register of Participants'!$CX$3:$CX$600,DATE(2024,12,1),'(B) Register of Participants'!$H$3:$H$600,"Student")</f>
        <v/>
      </c>
      <c r="E51" s="48">
        <f>COUNTIF('(B) Register of Participants'!$CX$3:$CX$600,DATE(2024,12,1))</f>
        <v/>
      </c>
      <c r="F51" s="54" t="n"/>
      <c r="G51" s="48" t="inlineStr">
        <is>
          <t>Refugee Council of Australia</t>
        </is>
      </c>
      <c r="H51" s="48">
        <f>COUNTIFS('(B) Register of Participants'!$BI$3:$BI$600,"Refugee Council of Australia",'(B) Register of Participants'!$H$3:$H$600,"Tutor")</f>
        <v/>
      </c>
      <c r="I51" s="48">
        <f>COUNTIFS('(B) Register of Participants'!$BI$3:$BI$600,"Refugee Council of Australia",'(B) Register of Participants'!$H$3:$H$600,"Student")</f>
        <v/>
      </c>
      <c r="J51" s="48">
        <f>COUNTIFS('(B) Register of Participants'!$BI$3:$BI$600,"Refugee Council of Australia",'(B) Register of Participants'!$H$3:$H$600,"Tutor")+COUNTIFS('(B) Register of Participants'!$BI$3:$BI$600,"Refugee Council of Australia",'(B) Register of Participants'!$H$3:$H$600,"Student")</f>
        <v/>
      </c>
      <c r="K51" s="54" t="n"/>
    </row>
    <row r="52">
      <c r="A52" s="54" t="n"/>
      <c r="B52" s="48" t="inlineStr">
        <is>
          <t>Jan 2025</t>
        </is>
      </c>
      <c r="C52" s="48">
        <f>COUNTIFS('(B) Register of Participants'!$CX$3:$CX$600,DATE(2025,1,1),'(B) Register of Participants'!$H$3:$H$600,"Tutor")</f>
        <v/>
      </c>
      <c r="D52" s="48">
        <f>COUNTIFS('(B) Register of Participants'!$CX$3:$CX$600,DATE(2025,1,1),'(B) Register of Participants'!$H$3:$H$600,"Student")</f>
        <v/>
      </c>
      <c r="E52" s="48">
        <f>COUNTIF('(B) Register of Participants'!$CX$3:$CX$600,DATE(2025,1,1))</f>
        <v/>
      </c>
      <c r="F52" s="54" t="n"/>
      <c r="G52" s="48" t="inlineStr">
        <is>
          <t>Refugee Education Australia</t>
        </is>
      </c>
      <c r="H52" s="48">
        <f>COUNTIFS('(B) Register of Participants'!$BI$3:$BI$600,"Refugee Education Australia",'(B) Register of Participants'!$H$3:$H$600,"Tutor")</f>
        <v/>
      </c>
      <c r="I52" s="48">
        <f>COUNTIFS('(B) Register of Participants'!$BI$3:$BI$600,"Refugee Education Australia",'(B) Register of Participants'!$H$3:$H$600,"Student")</f>
        <v/>
      </c>
      <c r="J52" s="48">
        <f>COUNTIFS('(B) Register of Participants'!$BI$3:$BI$600,"Refugee Education Australia",'(B) Register of Participants'!$H$3:$H$600,"Tutor")+COUNTIFS('(B) Register of Participants'!$BI$3:$BI$600,"Refugee Education Australia",'(B) Register of Participants'!$H$3:$H$600,"Student")</f>
        <v/>
      </c>
      <c r="K52" s="54" t="n"/>
    </row>
    <row r="53">
      <c r="A53" s="54" t="n"/>
      <c r="B53" s="48" t="inlineStr">
        <is>
          <t>Feb 2025</t>
        </is>
      </c>
      <c r="C53" s="48">
        <f>COUNTIFS('(B) Register of Participants'!$CX$3:$CX$600,DATE(2025,2,1),'(B) Register of Participants'!$H$3:$H$600,"Tutor")</f>
        <v/>
      </c>
      <c r="D53" s="48">
        <f>COUNTIFS('(B) Register of Participants'!$CX$3:$CX$600,DATE(2025,2,1),'(B) Register of Participants'!$H$3:$H$600,"Student")</f>
        <v/>
      </c>
      <c r="E53" s="48">
        <f>COUNTIF('(B) Register of Participants'!$CX$3:$CX$600,DATE(2025,2,1))</f>
        <v/>
      </c>
      <c r="F53" s="54" t="n"/>
      <c r="G53" s="48" t="inlineStr">
        <is>
          <t>Settlement Services International</t>
        </is>
      </c>
      <c r="H53" s="48">
        <f>COUNTIFS('(B) Register of Participants'!$BI$3:$BI$600,"Settlement Services International",'(B) Register of Participants'!$H$3:$H$600,"Tutor")</f>
        <v/>
      </c>
      <c r="I53" s="48">
        <f>COUNTIFS('(B) Register of Participants'!$BI$3:$BI$600,"Settlement Services International",'(B) Register of Participants'!$H$3:$H$600,"Student")</f>
        <v/>
      </c>
      <c r="J53" s="48">
        <f>COUNTIFS('(B) Register of Participants'!$BI$3:$BI$600,"Settlement Services International",'(B) Register of Participants'!$H$3:$H$600,"Tutor")+COUNTIFS('(B) Register of Participants'!$BI$3:$BI$600,"Settlement Services International",'(B) Register of Participants'!$H$3:$H$600,"Student")</f>
        <v/>
      </c>
      <c r="K53" s="54" t="n"/>
    </row>
    <row r="54">
      <c r="A54" s="54" t="n"/>
      <c r="B54" s="48" t="inlineStr">
        <is>
          <t>Mar 2025</t>
        </is>
      </c>
      <c r="C54" s="48">
        <f>COUNTIFS('(B) Register of Participants'!$CX$3:$CX$600,DATE(2025,3,1),'(B) Register of Participants'!$H$3:$H$600,"Tutor")</f>
        <v/>
      </c>
      <c r="D54" s="48">
        <f>COUNTIFS('(B) Register of Participants'!$CX$3:$CX$600,DATE(2025,3,1),'(B) Register of Participants'!$H$3:$H$600,"Student")</f>
        <v/>
      </c>
      <c r="E54" s="48">
        <f>COUNTIF('(B) Register of Participants'!$CX$3:$CX$600,DATE(2025,3,1))</f>
        <v/>
      </c>
      <c r="F54" s="54" t="n"/>
      <c r="G54" s="48" t="inlineStr">
        <is>
          <t>STARTTS</t>
        </is>
      </c>
      <c r="H54" s="48">
        <f>COUNTIFS('(B) Register of Participants'!$BI$3:$BI$600,"STARTTS",'(B) Register of Participants'!$H$3:$H$600,"Tutor")</f>
        <v/>
      </c>
      <c r="I54" s="48">
        <f>COUNTIFS('(B) Register of Participants'!$BI$3:$BI$600,"STARTTS",'(B) Register of Participants'!$H$3:$H$600,"Student")</f>
        <v/>
      </c>
      <c r="J54" s="48">
        <f>COUNTIFS('(B) Register of Participants'!$BI$3:$BI$600,"STARTTS",'(B) Register of Participants'!$H$3:$H$600,"Tutor")+COUNTIFS('(B) Register of Participants'!$BI$3:$BI$600,"STARTTS",'(B) Register of Participants'!$H$3:$H$600,"Student")</f>
        <v/>
      </c>
      <c r="K54" s="54" t="n"/>
    </row>
    <row r="55">
      <c r="A55" s="54" t="n"/>
      <c r="B55" s="48" t="inlineStr">
        <is>
          <t>Apr 2025</t>
        </is>
      </c>
      <c r="C55" s="48">
        <f>COUNTIFS('(B) Register of Participants'!$CX$3:$CX$600,DATE(2025,4,1),'(B) Register of Participants'!$H$3:$H$600,"Tutor")</f>
        <v/>
      </c>
      <c r="D55" s="48">
        <f>COUNTIFS('(B) Register of Participants'!$CX$3:$CX$600,DATE(2025,4,1),'(B) Register of Participants'!$H$3:$H$600,"Student")</f>
        <v/>
      </c>
      <c r="E55" s="48">
        <f>COUNTIF('(B) Register of Participants'!$CX$3:$CX$600,DATE(2025,4,1))</f>
        <v/>
      </c>
      <c r="F55" s="54" t="n"/>
      <c r="G55" s="48" t="inlineStr">
        <is>
          <t>Supporting Asylum Seekers Sydney</t>
        </is>
      </c>
      <c r="H55" s="48">
        <f>COUNTIFS('(B) Register of Participants'!$BI$3:$BI$600,"Supporting Asylum Seekers Sydney",'(B) Register of Participants'!$H$3:$H$600,"Tutor")</f>
        <v/>
      </c>
      <c r="I55" s="48">
        <f>COUNTIFS('(B) Register of Participants'!$BI$3:$BI$600,"Supporting Asylum Seekers Sydney",'(B) Register of Participants'!$H$3:$H$600,"Student")</f>
        <v/>
      </c>
      <c r="J55" s="48">
        <f>COUNTIFS('(B) Register of Participants'!$BI$3:$BI$600,"Supporting Asylum Seekers Sydney",'(B) Register of Participants'!$H$3:$H$600,"Tutor")+COUNTIFS('(B) Register of Participants'!$BI$3:$BI$600,"Supporting Asylum Seekers Sydney",'(B) Register of Participants'!$H$3:$H$600,"Student")</f>
        <v/>
      </c>
      <c r="K55" s="54" t="n"/>
    </row>
    <row r="56">
      <c r="A56" s="54" t="n"/>
      <c r="B56" s="48" t="inlineStr">
        <is>
          <t>May 2025</t>
        </is>
      </c>
      <c r="C56" s="48">
        <f>COUNTIFS('(B) Register of Participants'!$CX$3:$CX$600,DATE(2025,5,1),'(B) Register of Participants'!$H$3:$H$600,"Tutor")</f>
        <v/>
      </c>
      <c r="D56" s="48">
        <f>COUNTIFS('(B) Register of Participants'!$CX$3:$CX$600,DATE(2025,5,1),'(B) Register of Participants'!$H$3:$H$600,"Student")</f>
        <v/>
      </c>
      <c r="E56" s="48">
        <f>COUNTIF('(B) Register of Participants'!$CX$3:$CX$600,DATE(2025,5,1))</f>
        <v/>
      </c>
      <c r="F56" s="54" t="n"/>
      <c r="G56" s="48" t="inlineStr">
        <is>
          <t>University of Sydney (including St. Paul's College)</t>
        </is>
      </c>
      <c r="H56" s="48">
        <f>COUNTIFS('(B) Register of Participants'!$BI$3:$BI$600,"University of Sydney (including St. Paul's College)",'(B) Register of Participants'!$H$3:$H$600,"Tutor")</f>
        <v/>
      </c>
      <c r="I56" s="48">
        <f>COUNTIFS('(B) Register of Participants'!$BI$3:$BI$600,"University of Sydney (including St. Paul's College)",'(B) Register of Participants'!$H$3:$H$600,"Student")</f>
        <v/>
      </c>
      <c r="J56" s="48">
        <f>COUNTIFS('(B) Register of Participants'!$BI$3:$BI$600,"University of Sydney (including St. Paul's College)",'(B) Register of Participants'!$H$3:$H$600,"Tutor")+COUNTIFS('(B) Register of Participants'!$BI$3:$BI$600,"University of Sydney (including St. Paul's College)",'(B) Register of Participants'!$H$3:$H$600,"Student")</f>
        <v/>
      </c>
      <c r="K56" s="54" t="n"/>
    </row>
    <row r="57">
      <c r="A57" s="54" t="n"/>
      <c r="B57" s="48" t="inlineStr">
        <is>
          <t>Jun 2025</t>
        </is>
      </c>
      <c r="C57" s="48">
        <f>COUNTIFS('(B) Register of Participants'!$CX$3:$CX$600,DATE(2025,6,1),'(B) Register of Participants'!$H$3:$H$600,"Tutor")</f>
        <v/>
      </c>
      <c r="D57" s="48">
        <f>COUNTIFS('(B) Register of Participants'!$CX$3:$CX$600,DATE(2025,6,1),'(B) Register of Participants'!$H$3:$H$600,"Student")</f>
        <v/>
      </c>
      <c r="E57" s="48">
        <f>COUNTIF('(B) Register of Participants'!$CX$3:$CX$600,DATE(2025,6,1))</f>
        <v/>
      </c>
      <c r="F57" s="54" t="n"/>
      <c r="G57" s="48" t="inlineStr">
        <is>
          <t>University of Technology Sydney (including the Brennan Justice Program)</t>
        </is>
      </c>
      <c r="H57" s="48">
        <f>COUNTIFS('(B) Register of Participants'!$BI$3:$BI$600,"University of Technology Sydney (including the Brennan Justice Program)",'(B) Register of Participants'!$H$3:$H$600,"Tutor")</f>
        <v/>
      </c>
      <c r="I57" s="48">
        <f>COUNTIFS('(B) Register of Participants'!$BI$3:$BI$600,"University of Technology Sydney (including the Brennan Justice Program)",'(B) Register of Participants'!$H$3:$H$600,"Student")</f>
        <v/>
      </c>
      <c r="J57" s="48">
        <f>COUNTIFS('(B) Register of Participants'!$BI$3:$BI$600,"University of Technology Sydney (including the Brennan Justice Program)",'(B) Register of Participants'!$H$3:$H$600,"Tutor")+COUNTIFS('(B) Register of Participants'!$BI$3:$BI$600,"University of Technology Sydney (including the Brennan Justice Program)",'(B) Register of Participants'!$H$3:$H$600,"Student")</f>
        <v/>
      </c>
      <c r="K57" s="54" t="n"/>
    </row>
    <row r="58">
      <c r="A58" s="54" t="n"/>
      <c r="B58" s="48" t="inlineStr">
        <is>
          <t>Jul 2025</t>
        </is>
      </c>
      <c r="C58" s="48">
        <f>COUNTIFS('(B) Register of Participants'!$CX$3:$CX$600,DATE(2025,7,1),'(B) Register of Participants'!$H$3:$H$600,"Tutor")</f>
        <v/>
      </c>
      <c r="D58" s="48">
        <f>COUNTIFS('(B) Register of Participants'!$CX$3:$CX$600,DATE(2025,7,1),'(B) Register of Participants'!$H$3:$H$600,"Student")</f>
        <v/>
      </c>
      <c r="E58" s="48">
        <f>COUNTIF('(B) Register of Participants'!$CX$3:$CX$600,DATE(2025,7,1))</f>
        <v/>
      </c>
      <c r="F58" s="54" t="n"/>
      <c r="G58" s="48" t="inlineStr">
        <is>
          <t>University of Western Sydney (including the Law Students' Society)</t>
        </is>
      </c>
      <c r="H58" s="48">
        <f>COUNTIFS('(B) Register of Participants'!$BI$3:$BI$600,"University of Western Sydney (including the Law Students' Society)",'(B) Register of Participants'!$H$3:$H$600,"Tutor")</f>
        <v/>
      </c>
      <c r="I58" s="48">
        <f>COUNTIFS('(B) Register of Participants'!$BI$3:$BI$600,"University of Western Sydney (including the Law Students' Society)",'(B) Register of Participants'!$H$3:$H$600,"Student")</f>
        <v/>
      </c>
      <c r="J58" s="48">
        <f>COUNTIFS('(B) Register of Participants'!$BI$3:$BI$600,"University of Western Sydney (including the Law Students' Society)",'(B) Register of Participants'!$H$3:$H$600,"Tutor")+COUNTIFS('(B) Register of Participants'!$BI$3:$BI$600,"University of Western Sydney (including the Law Students' Society)",'(B) Register of Participants'!$H$3:$H$600,"Student")</f>
        <v/>
      </c>
      <c r="K58" s="54" t="n"/>
    </row>
    <row r="59">
      <c r="A59" s="54" t="n"/>
      <c r="B59" s="48" t="inlineStr">
        <is>
          <t>Aug 2025</t>
        </is>
      </c>
      <c r="C59" s="48">
        <f>COUNTIFS('(B) Register of Participants'!$CX$3:$CX$600,DATE(2025,8,1),'(B) Register of Participants'!$H$3:$H$600,"Tutor")</f>
        <v/>
      </c>
      <c r="D59" s="48">
        <f>COUNTIFS('(B) Register of Participants'!$CX$3:$CX$600,DATE(2025,8,1),'(B) Register of Participants'!$H$3:$H$600,"Student")</f>
        <v/>
      </c>
      <c r="E59" s="48">
        <f>COUNTIF('(B) Register of Participants'!$CX$3:$CX$600,DATE(2025,8,1))</f>
        <v/>
      </c>
      <c r="F59" s="54" t="n"/>
      <c r="G59" s="48" t="inlineStr">
        <is>
          <t>University of Queensland (Including the Refugee Tutoring Club)</t>
        </is>
      </c>
      <c r="H59" s="48">
        <f>COUNTIFS('(B) Register of Participants'!$BI$3:$BI$600,"University of Queensland (Including the Refugee Tutoring Club)",'(B) Register of Participants'!$H$3:$H$600,"Tutor")</f>
        <v/>
      </c>
      <c r="I59" s="48">
        <f>COUNTIFS('(B) Register of Participants'!$BI$3:$BI$600,"University of Queensland (Including the Refugee Tutoring Club)",'(B) Register of Participants'!$H$3:$H$600,"Student")</f>
        <v/>
      </c>
      <c r="J59" s="48">
        <f>COUNTIFS('(B) Register of Participants'!$BI$3:$BI$600,"University of Queensland (Including the Refugee Tutoring Club)",'(B) Register of Participants'!$H$3:$H$600,"Tutor")+COUNTIFS('(B) Register of Participants'!$BI$3:$BI$600,"University of Queensland (Including the Refugee Tutoring Club)",'(B) Register of Participants'!$H$3:$H$600,"Student")</f>
        <v/>
      </c>
      <c r="K59" s="54" t="n"/>
    </row>
    <row r="60">
      <c r="A60" s="54" t="n"/>
      <c r="B60" s="48" t="inlineStr">
        <is>
          <t>Sep 2025</t>
        </is>
      </c>
      <c r="C60" s="48">
        <f>COUNTIFS('(B) Register of Participants'!$CX$3:$CX$600,DATE(2025,9,1),'(B) Register of Participants'!$H$3:$H$600,"Tutor")</f>
        <v/>
      </c>
      <c r="D60" s="48">
        <f>COUNTIFS('(B) Register of Participants'!$CX$3:$CX$600,DATE(2025,9,1),'(B) Register of Participants'!$H$3:$H$600,"Student")</f>
        <v/>
      </c>
      <c r="E60" s="48">
        <f>COUNTIF('(B) Register of Participants'!$CX$3:$CX$600,DATE(2025,9,1))</f>
        <v/>
      </c>
      <c r="F60" s="54" t="n"/>
      <c r="G60" s="48" t="inlineStr">
        <is>
          <t>Tasmania University (including the Law Society)</t>
        </is>
      </c>
      <c r="H60" s="48">
        <f>COUNTIFS('(B) Register of Participants'!$BI$3:$BI$600,"Tasmania University (including the Law Society)",'(B) Register of Participants'!$H$3:$H$600,"Tutor")</f>
        <v/>
      </c>
      <c r="I60" s="48">
        <f>COUNTIFS('(B) Register of Participants'!$BI$3:$BI$600,"Tasmania University (including the Law Society)",'(B) Register of Participants'!$H$3:$H$600,"Student")</f>
        <v/>
      </c>
      <c r="J60" s="48">
        <f>COUNTIFS('(B) Register of Participants'!$BI$3:$BI$600,"Tasmania University (including the Law Society)",'(B) Register of Participants'!$H$3:$H$600,"Tutor")+COUNTIFS('(B) Register of Participants'!$BI$3:$BI$600,"Tasmania University (including the Law Society)",'(B) Register of Participants'!$H$3:$H$600,"Student")</f>
        <v/>
      </c>
      <c r="K60" s="54" t="n"/>
    </row>
    <row r="61">
      <c r="A61" s="54" t="n"/>
      <c r="B61" s="48" t="inlineStr">
        <is>
          <t>Oct 2025</t>
        </is>
      </c>
      <c r="C61" s="48">
        <f>COUNTIFS('(B) Register of Participants'!$CX$3:$CX$600,DATE(2025,10,1),'(B) Register of Participants'!$H$3:$H$600,"Tutor")</f>
        <v/>
      </c>
      <c r="D61" s="48">
        <f>COUNTIFS('(B) Register of Participants'!$CX$3:$CX$600,DATE(2025,10,1),'(B) Register of Participants'!$H$3:$H$600,"Student")</f>
        <v/>
      </c>
      <c r="E61" s="48">
        <f>COUNTIF('(B) Register of Participants'!$CX$3:$CX$600,DATE(2025,10,1))</f>
        <v/>
      </c>
      <c r="F61" s="54" t="n"/>
      <c r="G61" s="48" t="inlineStr">
        <is>
          <t>Other</t>
        </is>
      </c>
      <c r="H61" s="48">
        <f>COUNTIFS('(B) Register of Participants'!$BI$3:$BI$600,"Other",'(B) Register of Participants'!$H$3:$H$600,"Tutor")</f>
        <v/>
      </c>
      <c r="I61" s="48">
        <f>COUNTIFS('(B) Register of Participants'!$BI$3:$BI$600,"Other",'(B) Register of Participants'!$H$3:$H$600,"Student")</f>
        <v/>
      </c>
      <c r="J61" s="48">
        <f>COUNTIFS('(B) Register of Participants'!$BI$3:$BI$600,"Other",'(B) Register of Participants'!$H$3:$H$600,"Tutor")+COUNTIFS('(B) Register of Participants'!$BI$3:$BI$600,"Other",'(B) Register of Participants'!$H$3:$H$600,"Student")</f>
        <v/>
      </c>
      <c r="K61" s="54" t="n"/>
    </row>
    <row r="62">
      <c r="A62" s="54" t="n"/>
      <c r="B62" s="48" t="inlineStr">
        <is>
          <t>Nov 2025</t>
        </is>
      </c>
      <c r="C62" s="48">
        <f>COUNTIFS('(B) Register of Participants'!$CX$3:$CX$600,DATE(2025,11,1),'(B) Register of Participants'!$H$3:$H$600,"Tutor")</f>
        <v/>
      </c>
      <c r="D62" s="48">
        <f>COUNTIFS('(B) Register of Participants'!$CX$3:$CX$600,DATE(2025,11,1),'(B) Register of Participants'!$H$3:$H$600,"Student")</f>
        <v/>
      </c>
      <c r="E62" s="48">
        <f>COUNTIF('(B) Register of Participants'!$CX$3:$CX$600,DATE(2025,11,1))</f>
        <v/>
      </c>
      <c r="F62" s="54" t="n"/>
      <c r="G62" s="48" t="inlineStr">
        <is>
          <t>NA</t>
        </is>
      </c>
      <c r="H62" s="48">
        <f>COUNTIFS('(B) Register of Participants'!$BI$3:$BI$600,"NA",'(B) Register of Participants'!$H$3:$H$600,"Tutor")</f>
        <v/>
      </c>
      <c r="I62" s="48">
        <f>COUNTIFS('(B) Register of Participants'!$BI$3:$BI$600,"NA",'(B) Register of Participants'!$H$3:$H$600,"Student")</f>
        <v/>
      </c>
      <c r="J62" s="48">
        <f>COUNTIFS('(B) Register of Participants'!$BI$3:$BI$600,"NA",'(B) Register of Participants'!$H$3:$H$600,"Tutor")+COUNTIFS('(B) Register of Participants'!$BI$3:$BI$600,"NA",'(B) Register of Participants'!$H$3:$H$600,"Student")</f>
        <v/>
      </c>
      <c r="K62" s="54" t="n"/>
    </row>
    <row r="63">
      <c r="A63" s="54" t="n"/>
      <c r="B63" s="48" t="inlineStr">
        <is>
          <t>Dec 2025</t>
        </is>
      </c>
      <c r="C63" s="48">
        <f>COUNTIFS('(B) Register of Participants'!$CX$3:$CX$600,DATE(2025,12,1),'(B) Register of Participants'!$H$3:$H$600,"Tutor")</f>
        <v/>
      </c>
      <c r="D63" s="48">
        <f>COUNTIFS('(B) Register of Participants'!$CX$3:$CX$600,DATE(2025,12,1),'(B) Register of Participants'!$H$3:$H$600,"Student")</f>
        <v/>
      </c>
      <c r="E63" s="48">
        <f>COUNTIF('(B) Register of Participants'!$CX$3:$CX$600,DATE(2025,12,1))</f>
        <v/>
      </c>
      <c r="F63" s="54" t="n"/>
      <c r="G63" s="48" t="inlineStr">
        <is>
          <t>Grand Total</t>
        </is>
      </c>
      <c r="H63" s="48">
        <f>COUNTIFS('(B) Register of Participants'!$BI$3:$BI$600,"?*",'(B) Register of Participants'!$H$3:$H$600,"Tutor")</f>
        <v/>
      </c>
      <c r="I63" s="48">
        <f>COUNTIFS('(B) Register of Participants'!$BI$3:$BI$600,"?*",'(B) Register of Participants'!$H$3:$H$600,"Student")</f>
        <v/>
      </c>
      <c r="J63" s="48">
        <f>SUM(J40:J62)</f>
        <v/>
      </c>
      <c r="K63" s="54" t="n"/>
    </row>
    <row r="64">
      <c r="A64" s="54" t="n"/>
    </row>
    <row r="65">
      <c r="A65" s="54" t="n"/>
    </row>
    <row r="66">
      <c r="A66" s="54" t="n"/>
    </row>
    <row r="67">
      <c r="A67" s="54" t="n"/>
    </row>
    <row r="68">
      <c r="A68" s="54" t="n"/>
    </row>
    <row r="69">
      <c r="A69" s="54" t="n"/>
    </row>
    <row r="70">
      <c r="A70" s="54" t="n"/>
    </row>
    <row r="71">
      <c r="A71" s="54" t="n"/>
    </row>
    <row r="72">
      <c r="A72" s="54" t="n"/>
    </row>
    <row r="73">
      <c r="A73" s="54" t="n"/>
    </row>
    <row r="74">
      <c r="A74" s="54" t="n"/>
    </row>
    <row r="75">
      <c r="A75" s="54" t="n"/>
    </row>
    <row r="76">
      <c r="A76" s="54" t="n"/>
    </row>
    <row r="77">
      <c r="A77" s="54" t="n"/>
    </row>
    <row r="78">
      <c r="A78" s="54" t="n"/>
    </row>
    <row r="79">
      <c r="A79" s="54" t="n"/>
    </row>
    <row r="80">
      <c r="A80" s="54" t="n"/>
    </row>
    <row r="81">
      <c r="A81" s="54" t="n"/>
      <c r="B81" s="60" t="inlineStr">
        <is>
          <t>AVAILABILITY AND LOCATION</t>
        </is>
      </c>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c r="AA81" s="61" t="n"/>
      <c r="AB81" s="61" t="n"/>
      <c r="AC81" s="61" t="n"/>
      <c r="AD81" s="61" t="n"/>
      <c r="AE81" s="61" t="n"/>
      <c r="AF81" s="61" t="n"/>
      <c r="AG81" s="61" t="n"/>
      <c r="AH81" s="61" t="n"/>
      <c r="AI81" s="61" t="n"/>
      <c r="AJ81" s="61" t="n"/>
      <c r="AK81" s="61" t="n"/>
    </row>
    <row r="82">
      <c r="A82" s="54" t="n"/>
    </row>
    <row r="83">
      <c r="A83" s="54" t="n"/>
      <c r="B83" s="15" t="inlineStr">
        <is>
          <t>(C.1) Availability (time × day)</t>
        </is>
      </c>
      <c r="K83" s="54" t="n"/>
      <c r="L83" s="15" t="inlineStr">
        <is>
          <t>(C.3) Geographic — State</t>
        </is>
      </c>
      <c r="P83" s="54" t="n"/>
      <c r="Q83" s="15" t="inlineStr">
        <is>
          <t>(C.5) Geographic — Suburb</t>
        </is>
      </c>
      <c r="U83" s="54" t="n"/>
    </row>
    <row r="84">
      <c r="A84" s="54" t="n"/>
      <c r="B84" s="62" t="inlineStr">
        <is>
          <t>Time band</t>
        </is>
      </c>
      <c r="C84" s="62" t="inlineStr">
        <is>
          <t>Mon</t>
        </is>
      </c>
      <c r="D84" s="62" t="inlineStr">
        <is>
          <t>Tue</t>
        </is>
      </c>
      <c r="E84" s="62" t="inlineStr">
        <is>
          <t>Wed</t>
        </is>
      </c>
      <c r="F84" s="62" t="inlineStr">
        <is>
          <t>Thu</t>
        </is>
      </c>
      <c r="G84" s="62" t="inlineStr">
        <is>
          <t>Fri</t>
        </is>
      </c>
      <c r="H84" s="62" t="inlineStr">
        <is>
          <t>Sat</t>
        </is>
      </c>
      <c r="I84" s="62" t="inlineStr">
        <is>
          <t>Sun</t>
        </is>
      </c>
      <c r="J84" s="62" t="inlineStr">
        <is>
          <t>All days</t>
        </is>
      </c>
      <c r="K84" s="54" t="n"/>
      <c r="L84" s="62" t="inlineStr">
        <is>
          <t>State/Territory</t>
        </is>
      </c>
      <c r="M84" s="62" t="inlineStr">
        <is>
          <t>Tutors</t>
        </is>
      </c>
      <c r="N84" s="62" t="inlineStr">
        <is>
          <t>Students</t>
        </is>
      </c>
      <c r="O84" s="62" t="inlineStr">
        <is>
          <t>Total</t>
        </is>
      </c>
      <c r="P84" s="54" t="n"/>
      <c r="Q84" s="62" t="inlineStr">
        <is>
          <t>Suburb</t>
        </is>
      </c>
      <c r="R84" s="62" t="inlineStr">
        <is>
          <t>Tutors</t>
        </is>
      </c>
      <c r="S84" s="62" t="inlineStr">
        <is>
          <t>Students</t>
        </is>
      </c>
      <c r="T84" s="62" t="inlineStr">
        <is>
          <t>Total</t>
        </is>
      </c>
      <c r="U84" s="54" t="n"/>
    </row>
    <row r="85">
      <c r="A85" s="54" t="n"/>
      <c r="B85" s="48" t="inlineStr">
        <is>
          <t>6am-9am</t>
        </is>
      </c>
      <c r="C85" s="48">
        <f>COUNTIF('(B) Register of Participants'!$X$3:$X$600,"*6am-9am*")</f>
        <v/>
      </c>
      <c r="D85" s="48">
        <f>COUNTIF('(B) Register of Participants'!$Y$3:$Y$600,"*6am-9am*")</f>
        <v/>
      </c>
      <c r="E85" s="48">
        <f>COUNTIF('(B) Register of Participants'!$Z$3:$Z$600,"*6am-9am*")</f>
        <v/>
      </c>
      <c r="F85" s="48">
        <f>COUNTIF('(B) Register of Participants'!$AA$3:$AA$600,"*6am-9am*")</f>
        <v/>
      </c>
      <c r="G85" s="48">
        <f>COUNTIF('(B) Register of Participants'!$AB$3:$AB$600,"*6am-9am*")</f>
        <v/>
      </c>
      <c r="H85" s="48">
        <f>COUNTIF('(B) Register of Participants'!$AC$3:$AC$600,"*6am-9am*")</f>
        <v/>
      </c>
      <c r="I85" s="48">
        <f>COUNTIF('(B) Register of Participants'!$AD$3:$AD$600,"*6am-9am*")</f>
        <v/>
      </c>
      <c r="J85" s="48">
        <f>SUM(C85:I85)</f>
        <v/>
      </c>
      <c r="K85" s="54" t="n"/>
      <c r="L85" s="48" t="inlineStr">
        <is>
          <t>New South Wales</t>
        </is>
      </c>
      <c r="M85" s="48">
        <f>COUNTIFS('(B) Register of Participants'!$AH$3:$AH$600,"New South Wales",'(B) Register of Participants'!$H$3:$H$600,"Tutor")</f>
        <v/>
      </c>
      <c r="N85" s="48">
        <f>COUNTIFS('(B) Register of Participants'!$AH$3:$AH$600,"New South Wales",'(B) Register of Participants'!$H$3:$H$600,"Student")</f>
        <v/>
      </c>
      <c r="O85" s="48">
        <f>COUNTIFS('(B) Register of Participants'!$AH$3:$AH$600,"New South Wales",'(B) Register of Participants'!$H$3:$H$600,"Tutor")+COUNTIFS('(B) Register of Participants'!$AH$3:$AH$600,"New South Wales",'(B) Register of Participants'!$H$3:$H$600,"Student")</f>
        <v/>
      </c>
      <c r="P85" s="54" t="n"/>
      <c r="Q85" s="48" t="inlineStr">
        <is>
          <t>Bardia</t>
        </is>
      </c>
      <c r="R85" s="48">
        <f>COUNTIFS('(B) Register of Participants'!$AI$3:$AI$600,"Bardia",'(B) Register of Participants'!$H$3:$H$600,"Tutor")</f>
        <v/>
      </c>
      <c r="S85" s="48">
        <f>COUNTIFS('(B) Register of Participants'!$AI$3:$AI$600,"Bardia",'(B) Register of Participants'!$H$3:$H$600,"Student")</f>
        <v/>
      </c>
      <c r="T85" s="48">
        <f>COUNTIFS('(B) Register of Participants'!$AI$3:$AI$600,"Bardia",'(B) Register of Participants'!$H$3:$H$600,"Tutor")+COUNTIFS('(B) Register of Participants'!$AI$3:$AI$600,"Bardia",'(B) Register of Participants'!$H$3:$H$600,"Student")</f>
        <v/>
      </c>
      <c r="U85" s="54" t="n"/>
    </row>
    <row r="86">
      <c r="A86" s="54" t="n"/>
      <c r="B86" s="48" t="inlineStr">
        <is>
          <t>9am-12pm</t>
        </is>
      </c>
      <c r="C86" s="48">
        <f>COUNTIF('(B) Register of Participants'!$X$3:$X$600,"*9am-12pm*")</f>
        <v/>
      </c>
      <c r="D86" s="48">
        <f>COUNTIF('(B) Register of Participants'!$Y$3:$Y$600,"*9am-12pm*")</f>
        <v/>
      </c>
      <c r="E86" s="48">
        <f>COUNTIF('(B) Register of Participants'!$Z$3:$Z$600,"*9am-12pm*")</f>
        <v/>
      </c>
      <c r="F86" s="48">
        <f>COUNTIF('(B) Register of Participants'!$AA$3:$AA$600,"*9am-12pm*")</f>
        <v/>
      </c>
      <c r="G86" s="48">
        <f>COUNTIF('(B) Register of Participants'!$AB$3:$AB$600,"*9am-12pm*")</f>
        <v/>
      </c>
      <c r="H86" s="48">
        <f>COUNTIF('(B) Register of Participants'!$AC$3:$AC$600,"*9am-12pm*")</f>
        <v/>
      </c>
      <c r="I86" s="48">
        <f>COUNTIF('(B) Register of Participants'!$AD$3:$AD$600,"*9am-12pm*")</f>
        <v/>
      </c>
      <c r="J86" s="48">
        <f>SUM(C86:I86)</f>
        <v/>
      </c>
      <c r="K86" s="54" t="n"/>
      <c r="L86" s="48" t="inlineStr">
        <is>
          <t>Victoria</t>
        </is>
      </c>
      <c r="M86" s="48">
        <f>COUNTIFS('(B) Register of Participants'!$AH$3:$AH$600,"Victoria",'(B) Register of Participants'!$H$3:$H$600,"Tutor")</f>
        <v/>
      </c>
      <c r="N86" s="48">
        <f>COUNTIFS('(B) Register of Participants'!$AH$3:$AH$600,"Victoria",'(B) Register of Participants'!$H$3:$H$600,"Student")</f>
        <v/>
      </c>
      <c r="O86" s="48">
        <f>COUNTIFS('(B) Register of Participants'!$AH$3:$AH$600,"Victoria",'(B) Register of Participants'!$H$3:$H$600,"Tutor")+COUNTIFS('(B) Register of Participants'!$AH$3:$AH$600,"Victoria",'(B) Register of Participants'!$H$3:$H$600,"Student")</f>
        <v/>
      </c>
      <c r="P86" s="54" t="n"/>
      <c r="Q86" s="48" t="inlineStr">
        <is>
          <t>Epping</t>
        </is>
      </c>
      <c r="R86" s="48">
        <f>COUNTIFS('(B) Register of Participants'!$AI$3:$AI$600,"Epping",'(B) Register of Participants'!$H$3:$H$600,"Tutor")</f>
        <v/>
      </c>
      <c r="S86" s="48">
        <f>COUNTIFS('(B) Register of Participants'!$AI$3:$AI$600,"Epping",'(B) Register of Participants'!$H$3:$H$600,"Student")</f>
        <v/>
      </c>
      <c r="T86" s="48">
        <f>COUNTIFS('(B) Register of Participants'!$AI$3:$AI$600,"Epping",'(B) Register of Participants'!$H$3:$H$600,"Tutor")+COUNTIFS('(B) Register of Participants'!$AI$3:$AI$600,"Epping",'(B) Register of Participants'!$H$3:$H$600,"Student")</f>
        <v/>
      </c>
      <c r="U86" s="54" t="n"/>
    </row>
    <row r="87">
      <c r="A87" s="54" t="n"/>
      <c r="B87" s="48" t="inlineStr">
        <is>
          <t>12pm-3pm</t>
        </is>
      </c>
      <c r="C87" s="48">
        <f>COUNTIF('(B) Register of Participants'!$X$3:$X$600,"*12pm-3pm*")</f>
        <v/>
      </c>
      <c r="D87" s="48">
        <f>COUNTIF('(B) Register of Participants'!$Y$3:$Y$600,"*12pm-3pm*")</f>
        <v/>
      </c>
      <c r="E87" s="48">
        <f>COUNTIF('(B) Register of Participants'!$Z$3:$Z$600,"*12pm-3pm*")</f>
        <v/>
      </c>
      <c r="F87" s="48">
        <f>COUNTIF('(B) Register of Participants'!$AA$3:$AA$600,"*12pm-3pm*")</f>
        <v/>
      </c>
      <c r="G87" s="48">
        <f>COUNTIF('(B) Register of Participants'!$AB$3:$AB$600,"*12pm-3pm*")</f>
        <v/>
      </c>
      <c r="H87" s="48">
        <f>COUNTIF('(B) Register of Participants'!$AC$3:$AC$600,"*12pm-3pm*")</f>
        <v/>
      </c>
      <c r="I87" s="48">
        <f>COUNTIF('(B) Register of Participants'!$AD$3:$AD$600,"*12pm-3pm*")</f>
        <v/>
      </c>
      <c r="J87" s="48">
        <f>SUM(C87:I87)</f>
        <v/>
      </c>
      <c r="K87" s="54" t="n"/>
      <c r="L87" s="48" t="inlineStr">
        <is>
          <t>Queensland</t>
        </is>
      </c>
      <c r="M87" s="48">
        <f>COUNTIFS('(B) Register of Participants'!$AH$3:$AH$600,"Queensland",'(B) Register of Participants'!$H$3:$H$600,"Tutor")</f>
        <v/>
      </c>
      <c r="N87" s="48">
        <f>COUNTIFS('(B) Register of Participants'!$AH$3:$AH$600,"Queensland",'(B) Register of Participants'!$H$3:$H$600,"Student")</f>
        <v/>
      </c>
      <c r="O87" s="48">
        <f>COUNTIFS('(B) Register of Participants'!$AH$3:$AH$600,"Queensland",'(B) Register of Participants'!$H$3:$H$600,"Tutor")+COUNTIFS('(B) Register of Participants'!$AH$3:$AH$600,"Queensland",'(B) Register of Participants'!$H$3:$H$600,"Student")</f>
        <v/>
      </c>
      <c r="P87" s="54" t="n"/>
      <c r="Q87" s="48" t="inlineStr">
        <is>
          <t>Parramatta</t>
        </is>
      </c>
      <c r="R87" s="48">
        <f>COUNTIFS('(B) Register of Participants'!$AI$3:$AI$600,"Parramatta",'(B) Register of Participants'!$H$3:$H$600,"Tutor")</f>
        <v/>
      </c>
      <c r="S87" s="48">
        <f>COUNTIFS('(B) Register of Participants'!$AI$3:$AI$600,"Parramatta",'(B) Register of Participants'!$H$3:$H$600,"Student")</f>
        <v/>
      </c>
      <c r="T87" s="48">
        <f>COUNTIFS('(B) Register of Participants'!$AI$3:$AI$600,"Parramatta",'(B) Register of Participants'!$H$3:$H$600,"Tutor")+COUNTIFS('(B) Register of Participants'!$AI$3:$AI$600,"Parramatta",'(B) Register of Participants'!$H$3:$H$600,"Student")</f>
        <v/>
      </c>
      <c r="U87" s="54" t="n"/>
    </row>
    <row r="88">
      <c r="A88" s="54" t="n"/>
      <c r="B88" s="48" t="inlineStr">
        <is>
          <t>3pm-6pm</t>
        </is>
      </c>
      <c r="C88" s="48">
        <f>COUNTIF('(B) Register of Participants'!$X$3:$X$600,"*3pm-6pm*")</f>
        <v/>
      </c>
      <c r="D88" s="48">
        <f>COUNTIF('(B) Register of Participants'!$Y$3:$Y$600,"*3pm-6pm*")</f>
        <v/>
      </c>
      <c r="E88" s="48">
        <f>COUNTIF('(B) Register of Participants'!$Z$3:$Z$600,"*3pm-6pm*")</f>
        <v/>
      </c>
      <c r="F88" s="48">
        <f>COUNTIF('(B) Register of Participants'!$AA$3:$AA$600,"*3pm-6pm*")</f>
        <v/>
      </c>
      <c r="G88" s="48">
        <f>COUNTIF('(B) Register of Participants'!$AB$3:$AB$600,"*3pm-6pm*")</f>
        <v/>
      </c>
      <c r="H88" s="48">
        <f>COUNTIF('(B) Register of Participants'!$AC$3:$AC$600,"*3pm-6pm*")</f>
        <v/>
      </c>
      <c r="I88" s="48">
        <f>COUNTIF('(B) Register of Participants'!$AD$3:$AD$600,"*3pm-6pm*")</f>
        <v/>
      </c>
      <c r="J88" s="48">
        <f>SUM(C88:I88)</f>
        <v/>
      </c>
      <c r="K88" s="54" t="n"/>
      <c r="L88" s="48" t="inlineStr">
        <is>
          <t>South Australia</t>
        </is>
      </c>
      <c r="M88" s="48">
        <f>COUNTIFS('(B) Register of Participants'!$AH$3:$AH$600,"South Australia",'(B) Register of Participants'!$H$3:$H$600,"Tutor")</f>
        <v/>
      </c>
      <c r="N88" s="48">
        <f>COUNTIFS('(B) Register of Participants'!$AH$3:$AH$600,"South Australia",'(B) Register of Participants'!$H$3:$H$600,"Student")</f>
        <v/>
      </c>
      <c r="O88" s="48">
        <f>COUNTIFS('(B) Register of Participants'!$AH$3:$AH$600,"South Australia",'(B) Register of Participants'!$H$3:$H$600,"Tutor")+COUNTIFS('(B) Register of Participants'!$AH$3:$AH$600,"South Australia",'(B) Register of Participants'!$H$3:$H$600,"Student")</f>
        <v/>
      </c>
      <c r="P88" s="54" t="n"/>
      <c r="Q88" s="48" t="inlineStr">
        <is>
          <t>Canterbury</t>
        </is>
      </c>
      <c r="R88" s="48">
        <f>COUNTIFS('(B) Register of Participants'!$AI$3:$AI$600,"Canterbury",'(B) Register of Participants'!$H$3:$H$600,"Tutor")</f>
        <v/>
      </c>
      <c r="S88" s="48">
        <f>COUNTIFS('(B) Register of Participants'!$AI$3:$AI$600,"Canterbury",'(B) Register of Participants'!$H$3:$H$600,"Student")</f>
        <v/>
      </c>
      <c r="T88" s="48">
        <f>COUNTIFS('(B) Register of Participants'!$AI$3:$AI$600,"Canterbury",'(B) Register of Participants'!$H$3:$H$600,"Tutor")+COUNTIFS('(B) Register of Participants'!$AI$3:$AI$600,"Canterbury",'(B) Register of Participants'!$H$3:$H$600,"Student")</f>
        <v/>
      </c>
      <c r="U88" s="54" t="n"/>
    </row>
    <row r="89">
      <c r="A89" s="54" t="n"/>
      <c r="B89" s="48" t="inlineStr">
        <is>
          <t>6pm-9pm</t>
        </is>
      </c>
      <c r="C89" s="48">
        <f>COUNTIF('(B) Register of Participants'!$X$3:$X$600,"*6pm-9pm*")</f>
        <v/>
      </c>
      <c r="D89" s="48">
        <f>COUNTIF('(B) Register of Participants'!$Y$3:$Y$600,"*6pm-9pm*")</f>
        <v/>
      </c>
      <c r="E89" s="48">
        <f>COUNTIF('(B) Register of Participants'!$Z$3:$Z$600,"*6pm-9pm*")</f>
        <v/>
      </c>
      <c r="F89" s="48">
        <f>COUNTIF('(B) Register of Participants'!$AA$3:$AA$600,"*6pm-9pm*")</f>
        <v/>
      </c>
      <c r="G89" s="48">
        <f>COUNTIF('(B) Register of Participants'!$AB$3:$AB$600,"*6pm-9pm*")</f>
        <v/>
      </c>
      <c r="H89" s="48">
        <f>COUNTIF('(B) Register of Participants'!$AC$3:$AC$600,"*6pm-9pm*")</f>
        <v/>
      </c>
      <c r="I89" s="48">
        <f>COUNTIF('(B) Register of Participants'!$AD$3:$AD$600,"*6pm-9pm*")</f>
        <v/>
      </c>
      <c r="J89" s="48">
        <f>SUM(C89:I89)</f>
        <v/>
      </c>
      <c r="K89" s="54" t="n"/>
      <c r="L89" s="48" t="inlineStr">
        <is>
          <t>Western Australia</t>
        </is>
      </c>
      <c r="M89" s="48">
        <f>COUNTIFS('(B) Register of Participants'!$AH$3:$AH$600,"Western Australia",'(B) Register of Participants'!$H$3:$H$600,"Tutor")</f>
        <v/>
      </c>
      <c r="N89" s="48">
        <f>COUNTIFS('(B) Register of Participants'!$AH$3:$AH$600,"Western Australia",'(B) Register of Participants'!$H$3:$H$600,"Student")</f>
        <v/>
      </c>
      <c r="O89" s="48">
        <f>COUNTIFS('(B) Register of Participants'!$AH$3:$AH$600,"Western Australia",'(B) Register of Participants'!$H$3:$H$600,"Tutor")+COUNTIFS('(B) Register of Participants'!$AH$3:$AH$600,"Western Australia",'(B) Register of Participants'!$H$3:$H$600,"Student")</f>
        <v/>
      </c>
      <c r="P89" s="54" t="n"/>
      <c r="Q89" s="48" t="inlineStr">
        <is>
          <t>Kogarah</t>
        </is>
      </c>
      <c r="R89" s="48">
        <f>COUNTIFS('(B) Register of Participants'!$AI$3:$AI$600,"Kogarah",'(B) Register of Participants'!$H$3:$H$600,"Tutor")</f>
        <v/>
      </c>
      <c r="S89" s="48">
        <f>COUNTIFS('(B) Register of Participants'!$AI$3:$AI$600,"Kogarah",'(B) Register of Participants'!$H$3:$H$600,"Student")</f>
        <v/>
      </c>
      <c r="T89" s="48">
        <f>COUNTIFS('(B) Register of Participants'!$AI$3:$AI$600,"Kogarah",'(B) Register of Participants'!$H$3:$H$600,"Tutor")+COUNTIFS('(B) Register of Participants'!$AI$3:$AI$600,"Kogarah",'(B) Register of Participants'!$H$3:$H$600,"Student")</f>
        <v/>
      </c>
      <c r="U89" s="54" t="n"/>
    </row>
    <row r="90">
      <c r="A90" s="54" t="n"/>
      <c r="L90" s="48" t="inlineStr">
        <is>
          <t>Tasmania</t>
        </is>
      </c>
      <c r="M90" s="48">
        <f>COUNTIFS('(B) Register of Participants'!$AH$3:$AH$600,"Tasmania",'(B) Register of Participants'!$H$3:$H$600,"Tutor")</f>
        <v/>
      </c>
      <c r="N90" s="48">
        <f>COUNTIFS('(B) Register of Participants'!$AH$3:$AH$600,"Tasmania",'(B) Register of Participants'!$H$3:$H$600,"Student")</f>
        <v/>
      </c>
      <c r="O90" s="48">
        <f>COUNTIFS('(B) Register of Participants'!$AH$3:$AH$600,"Tasmania",'(B) Register of Participants'!$H$3:$H$600,"Tutor")+COUNTIFS('(B) Register of Participants'!$AH$3:$AH$600,"Tasmania",'(B) Register of Participants'!$H$3:$H$600,"Student")</f>
        <v/>
      </c>
      <c r="P90" s="54" t="n"/>
      <c r="Q90" s="48" t="inlineStr">
        <is>
          <t>Greenacre</t>
        </is>
      </c>
      <c r="R90" s="48">
        <f>COUNTIFS('(B) Register of Participants'!$AI$3:$AI$600,"Greenacre",'(B) Register of Participants'!$H$3:$H$600,"Tutor")</f>
        <v/>
      </c>
      <c r="S90" s="48">
        <f>COUNTIFS('(B) Register of Participants'!$AI$3:$AI$600,"Greenacre",'(B) Register of Participants'!$H$3:$H$600,"Student")</f>
        <v/>
      </c>
      <c r="T90" s="48">
        <f>COUNTIFS('(B) Register of Participants'!$AI$3:$AI$600,"Greenacre",'(B) Register of Participants'!$H$3:$H$600,"Tutor")+COUNTIFS('(B) Register of Participants'!$AI$3:$AI$600,"Greenacre",'(B) Register of Participants'!$H$3:$H$600,"Student")</f>
        <v/>
      </c>
      <c r="U90" s="54" t="n"/>
    </row>
    <row r="91">
      <c r="A91" s="54" t="n"/>
      <c r="L91" s="48" t="inlineStr">
        <is>
          <t>Northern Territory</t>
        </is>
      </c>
      <c r="M91" s="48">
        <f>COUNTIFS('(B) Register of Participants'!$AH$3:$AH$600,"Northern Territory",'(B) Register of Participants'!$H$3:$H$600,"Tutor")</f>
        <v/>
      </c>
      <c r="N91" s="48">
        <f>COUNTIFS('(B) Register of Participants'!$AH$3:$AH$600,"Northern Territory",'(B) Register of Participants'!$H$3:$H$600,"Student")</f>
        <v/>
      </c>
      <c r="O91" s="48">
        <f>COUNTIFS('(B) Register of Participants'!$AH$3:$AH$600,"Northern Territory",'(B) Register of Participants'!$H$3:$H$600,"Tutor")+COUNTIFS('(B) Register of Participants'!$AH$3:$AH$600,"Northern Territory",'(B) Register of Participants'!$H$3:$H$600,"Student")</f>
        <v/>
      </c>
      <c r="P91" s="54" t="n"/>
      <c r="Q91" s="48" t="inlineStr">
        <is>
          <t>Campsie</t>
        </is>
      </c>
      <c r="R91" s="48">
        <f>COUNTIFS('(B) Register of Participants'!$AI$3:$AI$600,"Campsie",'(B) Register of Participants'!$H$3:$H$600,"Tutor")</f>
        <v/>
      </c>
      <c r="S91" s="48">
        <f>COUNTIFS('(B) Register of Participants'!$AI$3:$AI$600,"Campsie",'(B) Register of Participants'!$H$3:$H$600,"Student")</f>
        <v/>
      </c>
      <c r="T91" s="48">
        <f>COUNTIFS('(B) Register of Participants'!$AI$3:$AI$600,"Campsie",'(B) Register of Participants'!$H$3:$H$600,"Tutor")+COUNTIFS('(B) Register of Participants'!$AI$3:$AI$600,"Campsie",'(B) Register of Participants'!$H$3:$H$600,"Student")</f>
        <v/>
      </c>
      <c r="U91" s="54" t="n"/>
    </row>
    <row r="92">
      <c r="A92" s="54" t="n"/>
      <c r="L92" s="48" t="inlineStr">
        <is>
          <t>Australian Capital Territory</t>
        </is>
      </c>
      <c r="M92" s="48">
        <f>COUNTIFS('(B) Register of Participants'!$AH$3:$AH$600,"Australian Capital Territory",'(B) Register of Participants'!$H$3:$H$600,"Tutor")</f>
        <v/>
      </c>
      <c r="N92" s="48">
        <f>COUNTIFS('(B) Register of Participants'!$AH$3:$AH$600,"Australian Capital Territory",'(B) Register of Participants'!$H$3:$H$600,"Student")</f>
        <v/>
      </c>
      <c r="O92" s="48">
        <f>COUNTIFS('(B) Register of Participants'!$AH$3:$AH$600,"Australian Capital Territory",'(B) Register of Participants'!$H$3:$H$600,"Tutor")+COUNTIFS('(B) Register of Participants'!$AH$3:$AH$600,"Australian Capital Territory",'(B) Register of Participants'!$H$3:$H$600,"Student")</f>
        <v/>
      </c>
      <c r="P92" s="54" t="n"/>
      <c r="Q92" s="48" t="inlineStr">
        <is>
          <t>Eastlakes</t>
        </is>
      </c>
      <c r="R92" s="48">
        <f>COUNTIFS('(B) Register of Participants'!$AI$3:$AI$600,"Eastlakes",'(B) Register of Participants'!$H$3:$H$600,"Tutor")</f>
        <v/>
      </c>
      <c r="S92" s="48">
        <f>COUNTIFS('(B) Register of Participants'!$AI$3:$AI$600,"Eastlakes",'(B) Register of Participants'!$H$3:$H$600,"Student")</f>
        <v/>
      </c>
      <c r="T92" s="48">
        <f>COUNTIFS('(B) Register of Participants'!$AI$3:$AI$600,"Eastlakes",'(B) Register of Participants'!$H$3:$H$600,"Tutor")+COUNTIFS('(B) Register of Participants'!$AI$3:$AI$600,"Eastlakes",'(B) Register of Participants'!$H$3:$H$600,"Student")</f>
        <v/>
      </c>
      <c r="U92" s="54" t="n"/>
    </row>
    <row r="93">
      <c r="A93" s="54" t="n"/>
      <c r="L93" s="48" t="inlineStr">
        <is>
          <t>Grand Total</t>
        </is>
      </c>
      <c r="M93" s="48">
        <f>COUNTIFS('(B) Register of Participants'!$AH$3:$AH$600,"?*",'(B) Register of Participants'!$H$3:$H$600,"Tutor")</f>
        <v/>
      </c>
      <c r="N93" s="48">
        <f>COUNTIFS('(B) Register of Participants'!$AH$3:$AH$600,"?*",'(B) Register of Participants'!$H$3:$H$600,"Student")</f>
        <v/>
      </c>
      <c r="O93" s="48">
        <f>SUM(O85:O92)</f>
        <v/>
      </c>
      <c r="P93" s="54" t="n"/>
      <c r="Q93" s="48" t="inlineStr">
        <is>
          <t>Doonside</t>
        </is>
      </c>
      <c r="R93" s="48">
        <f>COUNTIFS('(B) Register of Participants'!$AI$3:$AI$600,"Doonside",'(B) Register of Participants'!$H$3:$H$600,"Tutor")</f>
        <v/>
      </c>
      <c r="S93" s="48">
        <f>COUNTIFS('(B) Register of Participants'!$AI$3:$AI$600,"Doonside",'(B) Register of Participants'!$H$3:$H$600,"Student")</f>
        <v/>
      </c>
      <c r="T93" s="48">
        <f>COUNTIFS('(B) Register of Participants'!$AI$3:$AI$600,"Doonside",'(B) Register of Participants'!$H$3:$H$600,"Tutor")+COUNTIFS('(B) Register of Participants'!$AI$3:$AI$600,"Doonside",'(B) Register of Participants'!$H$3:$H$600,"Student")</f>
        <v/>
      </c>
      <c r="U93" s="54" t="n"/>
    </row>
    <row r="94">
      <c r="A94" s="54" t="n"/>
      <c r="Q94" s="48" t="inlineStr">
        <is>
          <t>Auburn</t>
        </is>
      </c>
      <c r="R94" s="48">
        <f>COUNTIFS('(B) Register of Participants'!$AI$3:$AI$600,"Auburn",'(B) Register of Participants'!$H$3:$H$600,"Tutor")</f>
        <v/>
      </c>
      <c r="S94" s="48">
        <f>COUNTIFS('(B) Register of Participants'!$AI$3:$AI$600,"Auburn",'(B) Register of Participants'!$H$3:$H$600,"Student")</f>
        <v/>
      </c>
      <c r="T94" s="48">
        <f>COUNTIFS('(B) Register of Participants'!$AI$3:$AI$600,"Auburn",'(B) Register of Participants'!$H$3:$H$600,"Tutor")+COUNTIFS('(B) Register of Participants'!$AI$3:$AI$600,"Auburn",'(B) Register of Participants'!$H$3:$H$600,"Student")</f>
        <v/>
      </c>
      <c r="U94" s="54" t="n"/>
    </row>
    <row r="95">
      <c r="A95" s="54" t="n"/>
      <c r="Q95" s="48" t="inlineStr">
        <is>
          <t>Fairfield</t>
        </is>
      </c>
      <c r="R95" s="48">
        <f>COUNTIFS('(B) Register of Participants'!$AI$3:$AI$600,"Fairfield",'(B) Register of Participants'!$H$3:$H$600,"Tutor")</f>
        <v/>
      </c>
      <c r="S95" s="48">
        <f>COUNTIFS('(B) Register of Participants'!$AI$3:$AI$600,"Fairfield",'(B) Register of Participants'!$H$3:$H$600,"Student")</f>
        <v/>
      </c>
      <c r="T95" s="48">
        <f>COUNTIFS('(B) Register of Participants'!$AI$3:$AI$600,"Fairfield",'(B) Register of Participants'!$H$3:$H$600,"Tutor")+COUNTIFS('(B) Register of Participants'!$AI$3:$AI$600,"Fairfield",'(B) Register of Participants'!$H$3:$H$600,"Student")</f>
        <v/>
      </c>
      <c r="U95" s="54" t="n"/>
    </row>
    <row r="96">
      <c r="A96" s="54" t="n"/>
      <c r="Q96" s="48" t="inlineStr">
        <is>
          <t>Liverpool</t>
        </is>
      </c>
      <c r="R96" s="48">
        <f>COUNTIFS('(B) Register of Participants'!$AI$3:$AI$600,"Liverpool",'(B) Register of Participants'!$H$3:$H$600,"Tutor")</f>
        <v/>
      </c>
      <c r="S96" s="48">
        <f>COUNTIFS('(B) Register of Participants'!$AI$3:$AI$600,"Liverpool",'(B) Register of Participants'!$H$3:$H$600,"Student")</f>
        <v/>
      </c>
      <c r="T96" s="48">
        <f>COUNTIFS('(B) Register of Participants'!$AI$3:$AI$600,"Liverpool",'(B) Register of Participants'!$H$3:$H$600,"Tutor")+COUNTIFS('(B) Register of Participants'!$AI$3:$AI$600,"Liverpool",'(B) Register of Participants'!$H$3:$H$600,"Student")</f>
        <v/>
      </c>
      <c r="U96" s="54" t="n"/>
    </row>
    <row r="97">
      <c r="A97" s="54" t="n"/>
      <c r="Q97" s="48" t="inlineStr">
        <is>
          <t>Marrickville</t>
        </is>
      </c>
      <c r="R97" s="48">
        <f>COUNTIFS('(B) Register of Participants'!$AI$3:$AI$600,"Marrickville",'(B) Register of Participants'!$H$3:$H$600,"Tutor")</f>
        <v/>
      </c>
      <c r="S97" s="48">
        <f>COUNTIFS('(B) Register of Participants'!$AI$3:$AI$600,"Marrickville",'(B) Register of Participants'!$H$3:$H$600,"Student")</f>
        <v/>
      </c>
      <c r="T97" s="48">
        <f>COUNTIFS('(B) Register of Participants'!$AI$3:$AI$600,"Marrickville",'(B) Register of Participants'!$H$3:$H$600,"Tutor")+COUNTIFS('(B) Register of Participants'!$AI$3:$AI$600,"Marrickville",'(B) Register of Participants'!$H$3:$H$600,"Student")</f>
        <v/>
      </c>
      <c r="U97" s="54" t="n"/>
    </row>
    <row r="98">
      <c r="A98" s="54" t="n"/>
      <c r="Q98" s="48" t="inlineStr">
        <is>
          <t>Bankstown</t>
        </is>
      </c>
      <c r="R98" s="48">
        <f>COUNTIFS('(B) Register of Participants'!$AI$3:$AI$600,"Bankstown",'(B) Register of Participants'!$H$3:$H$600,"Tutor")</f>
        <v/>
      </c>
      <c r="S98" s="48">
        <f>COUNTIFS('(B) Register of Participants'!$AI$3:$AI$600,"Bankstown",'(B) Register of Participants'!$H$3:$H$600,"Student")</f>
        <v/>
      </c>
      <c r="T98" s="48">
        <f>COUNTIFS('(B) Register of Participants'!$AI$3:$AI$600,"Bankstown",'(B) Register of Participants'!$H$3:$H$600,"Tutor")+COUNTIFS('(B) Register of Participants'!$AI$3:$AI$600,"Bankstown",'(B) Register of Participants'!$H$3:$H$600,"Student")</f>
        <v/>
      </c>
      <c r="U98" s="54" t="n"/>
    </row>
    <row r="99">
      <c r="A99" s="54" t="n"/>
      <c r="Q99" s="48" t="inlineStr">
        <is>
          <t>Blacktown</t>
        </is>
      </c>
      <c r="R99" s="48">
        <f>COUNTIFS('(B) Register of Participants'!$AI$3:$AI$600,"Blacktown",'(B) Register of Participants'!$H$3:$H$600,"Tutor")</f>
        <v/>
      </c>
      <c r="S99" s="48">
        <f>COUNTIFS('(B) Register of Participants'!$AI$3:$AI$600,"Blacktown",'(B) Register of Participants'!$H$3:$H$600,"Student")</f>
        <v/>
      </c>
      <c r="T99" s="48">
        <f>COUNTIFS('(B) Register of Participants'!$AI$3:$AI$600,"Blacktown",'(B) Register of Participants'!$H$3:$H$600,"Tutor")+COUNTIFS('(B) Register of Participants'!$AI$3:$AI$600,"Blacktown",'(B) Register of Participants'!$H$3:$H$600,"Student")</f>
        <v/>
      </c>
      <c r="U99" s="54" t="n"/>
    </row>
    <row r="100">
      <c r="A100" s="54" t="n"/>
      <c r="Q100" s="48" t="inlineStr">
        <is>
          <t>Footscray</t>
        </is>
      </c>
      <c r="R100" s="48">
        <f>COUNTIFS('(B) Register of Participants'!$AI$3:$AI$600,"Footscray",'(B) Register of Participants'!$H$3:$H$600,"Tutor")</f>
        <v/>
      </c>
      <c r="S100" s="48">
        <f>COUNTIFS('(B) Register of Participants'!$AI$3:$AI$600,"Footscray",'(B) Register of Participants'!$H$3:$H$600,"Student")</f>
        <v/>
      </c>
      <c r="T100" s="48">
        <f>COUNTIFS('(B) Register of Participants'!$AI$3:$AI$600,"Footscray",'(B) Register of Participants'!$H$3:$H$600,"Tutor")+COUNTIFS('(B) Register of Participants'!$AI$3:$AI$600,"Footscray",'(B) Register of Participants'!$H$3:$H$600,"Student")</f>
        <v/>
      </c>
      <c r="U100" s="54" t="n"/>
    </row>
    <row r="101">
      <c r="A101" s="54" t="n"/>
      <c r="Q101" s="48" t="inlineStr">
        <is>
          <t>Dandenong</t>
        </is>
      </c>
      <c r="R101" s="48">
        <f>COUNTIFS('(B) Register of Participants'!$AI$3:$AI$600,"Dandenong",'(B) Register of Participants'!$H$3:$H$600,"Tutor")</f>
        <v/>
      </c>
      <c r="S101" s="48">
        <f>COUNTIFS('(B) Register of Participants'!$AI$3:$AI$600,"Dandenong",'(B) Register of Participants'!$H$3:$H$600,"Student")</f>
        <v/>
      </c>
      <c r="T101" s="48">
        <f>COUNTIFS('(B) Register of Participants'!$AI$3:$AI$600,"Dandenong",'(B) Register of Participants'!$H$3:$H$600,"Tutor")+COUNTIFS('(B) Register of Participants'!$AI$3:$AI$600,"Dandenong",'(B) Register of Participants'!$H$3:$H$600,"Student")</f>
        <v/>
      </c>
      <c r="U101" s="54" t="n"/>
    </row>
    <row r="102">
      <c r="A102" s="54" t="n"/>
      <c r="Q102" s="48" t="inlineStr">
        <is>
          <t>Sunshine</t>
        </is>
      </c>
      <c r="R102" s="48">
        <f>COUNTIFS('(B) Register of Participants'!$AI$3:$AI$600,"Sunshine",'(B) Register of Participants'!$H$3:$H$600,"Tutor")</f>
        <v/>
      </c>
      <c r="S102" s="48">
        <f>COUNTIFS('(B) Register of Participants'!$AI$3:$AI$600,"Sunshine",'(B) Register of Participants'!$H$3:$H$600,"Student")</f>
        <v/>
      </c>
      <c r="T102" s="48">
        <f>COUNTIFS('(B) Register of Participants'!$AI$3:$AI$600,"Sunshine",'(B) Register of Participants'!$H$3:$H$600,"Tutor")+COUNTIFS('(B) Register of Participants'!$AI$3:$AI$600,"Sunshine",'(B) Register of Participants'!$H$3:$H$600,"Student")</f>
        <v/>
      </c>
      <c r="U102" s="54" t="n"/>
    </row>
    <row r="103">
      <c r="A103" s="54" t="n"/>
      <c r="Q103" s="48" t="inlineStr">
        <is>
          <t>Logan</t>
        </is>
      </c>
      <c r="R103" s="48">
        <f>COUNTIFS('(B) Register of Participants'!$AI$3:$AI$600,"Logan",'(B) Register of Participants'!$H$3:$H$600,"Tutor")</f>
        <v/>
      </c>
      <c r="S103" s="48">
        <f>COUNTIFS('(B) Register of Participants'!$AI$3:$AI$600,"Logan",'(B) Register of Participants'!$H$3:$H$600,"Student")</f>
        <v/>
      </c>
      <c r="T103" s="48">
        <f>COUNTIFS('(B) Register of Participants'!$AI$3:$AI$600,"Logan",'(B) Register of Participants'!$H$3:$H$600,"Tutor")+COUNTIFS('(B) Register of Participants'!$AI$3:$AI$600,"Logan",'(B) Register of Participants'!$H$3:$H$600,"Student")</f>
        <v/>
      </c>
      <c r="U103" s="54" t="n"/>
    </row>
    <row r="104">
      <c r="A104" s="54" t="n"/>
      <c r="Q104" s="48" t="inlineStr">
        <is>
          <t>Salisbury</t>
        </is>
      </c>
      <c r="R104" s="48">
        <f>COUNTIFS('(B) Register of Participants'!$AI$3:$AI$600,"Salisbury",'(B) Register of Participants'!$H$3:$H$600,"Tutor")</f>
        <v/>
      </c>
      <c r="S104" s="48">
        <f>COUNTIFS('(B) Register of Participants'!$AI$3:$AI$600,"Salisbury",'(B) Register of Participants'!$H$3:$H$600,"Student")</f>
        <v/>
      </c>
      <c r="T104" s="48">
        <f>COUNTIFS('(B) Register of Participants'!$AI$3:$AI$600,"Salisbury",'(B) Register of Participants'!$H$3:$H$600,"Tutor")+COUNTIFS('(B) Register of Participants'!$AI$3:$AI$600,"Salisbury",'(B) Register of Participants'!$H$3:$H$600,"Student")</f>
        <v/>
      </c>
      <c r="U104" s="54" t="n"/>
    </row>
    <row r="105">
      <c r="A105" s="54" t="n"/>
      <c r="Q105" s="48" t="inlineStr">
        <is>
          <t>Grand Total</t>
        </is>
      </c>
      <c r="R105" s="48">
        <f>COUNTIFS('(B) Register of Participants'!$AI$3:$AI$600,"?*",'(B) Register of Participants'!$H$3:$H$600,"Tutor")</f>
        <v/>
      </c>
      <c r="S105" s="48">
        <f>COUNTIFS('(B) Register of Participants'!$AI$3:$AI$600,"?*",'(B) Register of Participants'!$H$3:$H$600,"Student")</f>
        <v/>
      </c>
      <c r="T105" s="48">
        <f>SUM(T85:T104)</f>
        <v/>
      </c>
      <c r="U105" s="54" t="n"/>
    </row>
    <row r="106">
      <c r="A106" s="54" t="n"/>
    </row>
    <row r="107">
      <c r="A107" s="54" t="n"/>
    </row>
    <row r="108">
      <c r="A108" s="54" t="n"/>
    </row>
    <row r="109">
      <c r="A109" s="54" t="n"/>
    </row>
    <row r="110">
      <c r="A110" s="54" t="n"/>
    </row>
    <row r="111">
      <c r="A111" s="54" t="n"/>
    </row>
    <row r="112">
      <c r="A112" s="54" t="n"/>
    </row>
    <row r="113">
      <c r="A113" s="54" t="n"/>
    </row>
    <row r="114">
      <c r="A114" s="54" t="n"/>
    </row>
    <row r="115">
      <c r="A115" s="54" t="n"/>
    </row>
    <row r="116">
      <c r="A116" s="54" t="n"/>
    </row>
    <row r="117">
      <c r="A117" s="54" t="n"/>
    </row>
    <row r="118">
      <c r="A118" s="54" t="n"/>
    </row>
    <row r="119">
      <c r="A119" s="54" t="n"/>
    </row>
    <row r="120">
      <c r="A120" s="54" t="n"/>
    </row>
    <row r="121">
      <c r="A121" s="54" t="n"/>
    </row>
    <row r="122">
      <c r="A122" s="54" t="n"/>
    </row>
    <row r="123">
      <c r="A123" s="54" t="n"/>
      <c r="B123" s="63" t="inlineStr">
        <is>
          <t>BASIC DEMOGRAPHIC INFORMATION</t>
        </is>
      </c>
      <c r="C123" s="64" t="n"/>
      <c r="D123" s="64" t="n"/>
      <c r="E123" s="64" t="n"/>
      <c r="F123" s="64" t="n"/>
      <c r="G123" s="64"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c r="AB123" s="64" t="n"/>
      <c r="AC123" s="64" t="n"/>
      <c r="AD123" s="64" t="n"/>
      <c r="AE123" s="64" t="n"/>
      <c r="AF123" s="64" t="n"/>
      <c r="AG123" s="64" t="n"/>
      <c r="AH123" s="64" t="n"/>
      <c r="AI123" s="64" t="n"/>
      <c r="AJ123" s="64" t="n"/>
      <c r="AK123" s="64" t="n"/>
    </row>
    <row r="124">
      <c r="A124" s="54" t="n"/>
    </row>
    <row r="125">
      <c r="A125" s="54" t="n"/>
      <c r="B125" s="15" t="inlineStr">
        <is>
          <t>(D.1) Nationality (each nationality counted, incl. dual)</t>
        </is>
      </c>
      <c r="F125" s="54" t="n"/>
      <c r="G125" s="15" t="inlineStr">
        <is>
          <t>(D.2) Linguistic background</t>
        </is>
      </c>
      <c r="K125" s="54" t="n"/>
      <c r="L125" s="15" t="inlineStr">
        <is>
          <t>(D.3) Gender</t>
        </is>
      </c>
      <c r="P125" s="54" t="n"/>
      <c r="Q125" s="15" t="inlineStr">
        <is>
          <t>(D.4) Protection</t>
        </is>
      </c>
      <c r="U125" s="54" t="n"/>
      <c r="V125" s="15" t="inlineStr">
        <is>
          <t>(D.5) Mode of tutoring</t>
        </is>
      </c>
      <c r="Z125" s="54" t="n"/>
      <c r="AA125" s="15" t="inlineStr">
        <is>
          <t>(D.6) Age band</t>
        </is>
      </c>
      <c r="AE125" s="54" t="n"/>
      <c r="AF125" s="15" t="inlineStr">
        <is>
          <t>(D.7) Professions &amp; education</t>
        </is>
      </c>
      <c r="AJ125" s="54" t="n"/>
    </row>
    <row r="126">
      <c r="A126" s="54" t="n"/>
      <c r="B126" s="65" t="inlineStr">
        <is>
          <t>Nationality</t>
        </is>
      </c>
      <c r="C126" s="65" t="inlineStr">
        <is>
          <t>Tutors</t>
        </is>
      </c>
      <c r="D126" s="65" t="inlineStr">
        <is>
          <t>Students</t>
        </is>
      </c>
      <c r="E126" s="65" t="inlineStr">
        <is>
          <t>Total</t>
        </is>
      </c>
      <c r="F126" s="54" t="n"/>
      <c r="G126" s="65" t="inlineStr">
        <is>
          <t>L</t>
        </is>
      </c>
      <c r="H126" s="65" t="inlineStr">
        <is>
          <t>Tutors</t>
        </is>
      </c>
      <c r="I126" s="65" t="inlineStr">
        <is>
          <t>Students</t>
        </is>
      </c>
      <c r="J126" s="65" t="inlineStr">
        <is>
          <t>Total</t>
        </is>
      </c>
      <c r="K126" s="56" t="inlineStr">
        <is>
          <t>u</t>
        </is>
      </c>
      <c r="L126" s="65" t="inlineStr">
        <is>
          <t>Gender</t>
        </is>
      </c>
      <c r="M126" s="65" t="inlineStr">
        <is>
          <t>Tutors</t>
        </is>
      </c>
      <c r="N126" s="65" t="inlineStr">
        <is>
          <t>Students</t>
        </is>
      </c>
      <c r="O126" s="65" t="inlineStr">
        <is>
          <t>Total</t>
        </is>
      </c>
      <c r="P126" s="54" t="n"/>
      <c r="Q126" s="65" t="inlineStr">
        <is>
          <t>Refugee/Asylum</t>
        </is>
      </c>
      <c r="R126" s="65" t="inlineStr">
        <is>
          <t>Tutors</t>
        </is>
      </c>
      <c r="S126" s="65" t="inlineStr">
        <is>
          <t>Students</t>
        </is>
      </c>
      <c r="T126" s="65" t="inlineStr">
        <is>
          <t>Total</t>
        </is>
      </c>
      <c r="U126" s="54" t="n"/>
      <c r="V126" s="65" t="inlineStr">
        <is>
          <t>Mode</t>
        </is>
      </c>
      <c r="W126" s="65" t="inlineStr">
        <is>
          <t>Tutors</t>
        </is>
      </c>
      <c r="X126" s="65" t="inlineStr">
        <is>
          <t>Students</t>
        </is>
      </c>
      <c r="Y126" s="65" t="inlineStr">
        <is>
          <t>Total</t>
        </is>
      </c>
      <c r="Z126" s="54" t="n"/>
      <c r="AA126" s="65" t="inlineStr">
        <is>
          <t>Age band</t>
        </is>
      </c>
      <c r="AB126" s="65" t="inlineStr">
        <is>
          <t>Tutors</t>
        </is>
      </c>
      <c r="AC126" s="65" t="inlineStr">
        <is>
          <t>Students</t>
        </is>
      </c>
      <c r="AD126" s="65" t="inlineStr">
        <is>
          <t>Total</t>
        </is>
      </c>
      <c r="AE126" s="54" t="n"/>
      <c r="AF126" s="65" t="inlineStr">
        <is>
          <t>Job/Study Category</t>
        </is>
      </c>
      <c r="AG126" s="65" t="inlineStr">
        <is>
          <t>Tutors</t>
        </is>
      </c>
      <c r="AH126" s="65" t="inlineStr">
        <is>
          <t>Students</t>
        </is>
      </c>
      <c r="AI126" s="65" t="inlineStr">
        <is>
          <t>Total</t>
        </is>
      </c>
      <c r="AJ126" s="54" t="n"/>
    </row>
    <row r="127">
      <c r="A127" s="54" t="n"/>
      <c r="B127" s="48" t="inlineStr">
        <is>
          <t>Afghanistan</t>
        </is>
      </c>
      <c r="C127" s="48">
        <f>SUMPRODUCT(--ISNUMBER(SEARCH("; Afghanistan;","; "&amp;'(B) Register of Participants'!$AP$3:$AP$600&amp;";")),--('(B) Register of Participants'!$H$3:$H$600="Tutor"))</f>
        <v/>
      </c>
      <c r="D127" s="48">
        <f>SUMPRODUCT(--ISNUMBER(SEARCH("; Afghanistan;","; "&amp;'(B) Register of Participants'!$AP$3:$AP$600&amp;";")),--('(B) Register of Participants'!$H$3:$H$600="Student"))</f>
        <v/>
      </c>
      <c r="E127" s="48">
        <f>SUMPRODUCT(--ISNUMBER(SEARCH("; Afghanistan;","; "&amp;'(B) Register of Participants'!$AP$3:$AP$600&amp;";")))</f>
        <v/>
      </c>
      <c r="F127" s="54" t="n"/>
      <c r="G127" s="48" t="inlineStr">
        <is>
          <t>Arabic</t>
        </is>
      </c>
      <c r="H127" s="48">
        <f>COUNTIFS('(B) Register of Participants'!$AR$3:$AR$600,"Arabic*",'(B) Register of Participants'!$H$3:$H$600,"Tutor")</f>
        <v/>
      </c>
      <c r="I127" s="48">
        <f>COUNTIFS('(B) Register of Participants'!$AR$3:$AR$600,"Arabic*",'(B) Register of Participants'!$H$3:$H$600,"Student")</f>
        <v/>
      </c>
      <c r="J127" s="48">
        <f>COUNTIFS('(B) Register of Participants'!$AR$3:$AR$600,"Arabic*",'(B) Register of Participants'!$H$3:$H$600,"Tutor")+COUNTIFS('(B) Register of Participants'!$AR$3:$AR$600,"Arabic*",'(B) Register of Participants'!$H$3:$H$600,"Student")</f>
        <v/>
      </c>
      <c r="K127" s="54" t="n"/>
      <c r="L127" s="48" t="inlineStr">
        <is>
          <t>Female</t>
        </is>
      </c>
      <c r="M127" s="48">
        <f>COUNTIFS('(B) Register of Participants'!$AL$3:$AL$600,"Female",'(B) Register of Participants'!$H$3:$H$600,"Tutor")</f>
        <v/>
      </c>
      <c r="N127" s="48">
        <f>COUNTIFS('(B) Register of Participants'!$AL$3:$AL$600,"Female",'(B) Register of Participants'!$H$3:$H$600,"Student")</f>
        <v/>
      </c>
      <c r="O127" s="48">
        <f>COUNTIFS('(B) Register of Participants'!$AL$3:$AL$600,"Female",'(B) Register of Participants'!$H$3:$H$600,"Tutor")+COUNTIFS('(B) Register of Participants'!$AL$3:$AL$600,"Female",'(B) Register of Participants'!$H$3:$H$600,"Student")</f>
        <v/>
      </c>
      <c r="P127" s="54" t="n"/>
      <c r="Q127" s="48" t="inlineStr">
        <is>
          <t>Refugee</t>
        </is>
      </c>
      <c r="R127" s="48">
        <f>COUNTIFS('(B) Register of Participants'!$AX$3:$AX$600,"Refugee",'(B) Register of Participants'!$H$3:$H$600,"Tutor")</f>
        <v/>
      </c>
      <c r="S127" s="48">
        <f>COUNTIFS('(B) Register of Participants'!$AX$3:$AX$600,"Refugee",'(B) Register of Participants'!$H$3:$H$600,"Student")</f>
        <v/>
      </c>
      <c r="T127" s="48">
        <f>COUNTIFS('(B) Register of Participants'!$AX$3:$AX$600,"Refugee",'(B) Register of Participants'!$H$3:$H$600,"Tutor")+COUNTIFS('(B) Register of Participants'!$AX$3:$AX$600,"Refugee",'(B) Register of Participants'!$H$3:$H$600,"Student")</f>
        <v/>
      </c>
      <c r="U127" s="54" t="n"/>
      <c r="V127" s="48" t="inlineStr">
        <is>
          <t>Online</t>
        </is>
      </c>
      <c r="W127" s="48">
        <f>COUNTIFS('(B) Register of Participants'!$AE$3:$AE$600,"Online",'(B) Register of Participants'!$H$3:$H$600,"Tutor")</f>
        <v/>
      </c>
      <c r="X127" s="48">
        <f>COUNTIFS('(B) Register of Participants'!$AE$3:$AE$600,"Online",'(B) Register of Participants'!$H$3:$H$600,"Student")</f>
        <v/>
      </c>
      <c r="Y127" s="48">
        <f>COUNTIFS('(B) Register of Participants'!$AE$3:$AE$600,"Online",'(B) Register of Participants'!$H$3:$H$600,"Tutor")+COUNTIFS('(B) Register of Participants'!$AE$3:$AE$600,"Online",'(B) Register of Participants'!$H$3:$H$600,"Student")</f>
        <v/>
      </c>
      <c r="Z127" s="54" t="n"/>
      <c r="AA127" s="48" t="inlineStr">
        <is>
          <t>18-27</t>
        </is>
      </c>
      <c r="AB127" s="48">
        <f>COUNTIFS('(B) Register of Participants'!$CZ$3:$CZ$600,"18-27",'(B) Register of Participants'!$H$3:$H$600,"Tutor")</f>
        <v/>
      </c>
      <c r="AC127" s="48">
        <f>COUNTIFS('(B) Register of Participants'!$CZ$3:$CZ$600,"18-27",'(B) Register of Participants'!$H$3:$H$600,"Student")</f>
        <v/>
      </c>
      <c r="AD127" s="48">
        <f>COUNTIFS('(B) Register of Participants'!$CZ$3:$CZ$600,"18-27",'(B) Register of Participants'!$H$3:$H$600,"Tutor")+COUNTIFS('(B) Register of Participants'!$CZ$3:$CZ$600,"18-27",'(B) Register of Participants'!$H$3:$H$600,"Student")</f>
        <v/>
      </c>
      <c r="AE127" s="54" t="n"/>
      <c r="AF127" s="48" t="inlineStr">
        <is>
          <t>Arts, Media &amp; Design</t>
        </is>
      </c>
      <c r="AG127" s="48">
        <f>COUNTIFS('(B) Register of Participants'!$AT$3:$AT$600,"Arts, Media &amp; Design",'(B) Register of Participants'!$H$3:$H$600,"Tutor")</f>
        <v/>
      </c>
      <c r="AH127" s="48">
        <f>COUNTIFS('(B) Register of Participants'!$AT$3:$AT$600,"Arts, Media &amp; Design",'(B) Register of Participants'!$H$3:$H$600,"Student")</f>
        <v/>
      </c>
      <c r="AI127" s="48">
        <f>COUNTIFS('(B) Register of Participants'!$AT$3:$AT$600,"Arts, Media &amp; Design",'(B) Register of Participants'!$H$3:$H$600,"Tutor")+COUNTIFS('(B) Register of Participants'!$AT$3:$AT$600,"Arts, Media &amp; Design",'(B) Register of Participants'!$H$3:$H$600,"Student")</f>
        <v/>
      </c>
      <c r="AJ127" s="54" t="n"/>
    </row>
    <row r="128">
      <c r="A128" s="54" t="n"/>
      <c r="B128" s="48" t="inlineStr">
        <is>
          <t>Australia</t>
        </is>
      </c>
      <c r="C128" s="48">
        <f>SUMPRODUCT(--ISNUMBER(SEARCH("; Australia;","; "&amp;'(B) Register of Participants'!$AP$3:$AP$600&amp;";")),--('(B) Register of Participants'!$H$3:$H$600="Tutor"))</f>
        <v/>
      </c>
      <c r="D128" s="48">
        <f>SUMPRODUCT(--ISNUMBER(SEARCH("; Australia;","; "&amp;'(B) Register of Participants'!$AP$3:$AP$600&amp;";")),--('(B) Register of Participants'!$H$3:$H$600="Student"))</f>
        <v/>
      </c>
      <c r="E128" s="48">
        <f>SUMPRODUCT(--ISNUMBER(SEARCH("; Australia;","; "&amp;'(B) Register of Participants'!$AP$3:$AP$600&amp;";")))</f>
        <v/>
      </c>
      <c r="F128" s="54" t="n"/>
      <c r="G128" s="48" t="inlineStr">
        <is>
          <t>Bengali</t>
        </is>
      </c>
      <c r="H128" s="48">
        <f>COUNTIFS('(B) Register of Participants'!$AR$3:$AR$600,"Bengali*",'(B) Register of Participants'!$H$3:$H$600,"Tutor")</f>
        <v/>
      </c>
      <c r="I128" s="48">
        <f>COUNTIFS('(B) Register of Participants'!$AR$3:$AR$600,"Bengali*",'(B) Register of Participants'!$H$3:$H$600,"Student")</f>
        <v/>
      </c>
      <c r="J128" s="48">
        <f>COUNTIFS('(B) Register of Participants'!$AR$3:$AR$600,"Bengali*",'(B) Register of Participants'!$H$3:$H$600,"Tutor")+COUNTIFS('(B) Register of Participants'!$AR$3:$AR$600,"Bengali*",'(B) Register of Participants'!$H$3:$H$600,"Student")</f>
        <v/>
      </c>
      <c r="K128" s="54" t="n"/>
      <c r="L128" s="48" t="inlineStr">
        <is>
          <t>Male</t>
        </is>
      </c>
      <c r="M128" s="48">
        <f>COUNTIFS('(B) Register of Participants'!$AL$3:$AL$600,"Male",'(B) Register of Participants'!$H$3:$H$600,"Tutor")</f>
        <v/>
      </c>
      <c r="N128" s="48">
        <f>COUNTIFS('(B) Register of Participants'!$AL$3:$AL$600,"Male",'(B) Register of Participants'!$H$3:$H$600,"Student")</f>
        <v/>
      </c>
      <c r="O128" s="48">
        <f>COUNTIFS('(B) Register of Participants'!$AL$3:$AL$600,"Male",'(B) Register of Participants'!$H$3:$H$600,"Tutor")+COUNTIFS('(B) Register of Participants'!$AL$3:$AL$600,"Male",'(B) Register of Participants'!$H$3:$H$600,"Student")</f>
        <v/>
      </c>
      <c r="P128" s="54" t="n"/>
      <c r="Q128" s="48" t="inlineStr">
        <is>
          <t>Asylum Seeker</t>
        </is>
      </c>
      <c r="R128" s="48">
        <f>COUNTIFS('(B) Register of Participants'!$AX$3:$AX$600,"Asylum Seeker",'(B) Register of Participants'!$H$3:$H$600,"Tutor")</f>
        <v/>
      </c>
      <c r="S128" s="48">
        <f>COUNTIFS('(B) Register of Participants'!$AX$3:$AX$600,"Asylum Seeker",'(B) Register of Participants'!$H$3:$H$600,"Student")</f>
        <v/>
      </c>
      <c r="T128" s="48">
        <f>COUNTIFS('(B) Register of Participants'!$AX$3:$AX$600,"Asylum Seeker",'(B) Register of Participants'!$H$3:$H$600,"Tutor")+COUNTIFS('(B) Register of Participants'!$AX$3:$AX$600,"Asylum Seeker",'(B) Register of Participants'!$H$3:$H$600,"Student")</f>
        <v/>
      </c>
      <c r="U128" s="54" t="n"/>
      <c r="V128" s="48" t="inlineStr">
        <is>
          <t>In-Person</t>
        </is>
      </c>
      <c r="W128" s="48">
        <f>COUNTIFS('(B) Register of Participants'!$AE$3:$AE$600,"In-Person",'(B) Register of Participants'!$H$3:$H$600,"Tutor")</f>
        <v/>
      </c>
      <c r="X128" s="48">
        <f>COUNTIFS('(B) Register of Participants'!$AE$3:$AE$600,"In-Person",'(B) Register of Participants'!$H$3:$H$600,"Student")</f>
        <v/>
      </c>
      <c r="Y128" s="48">
        <f>COUNTIFS('(B) Register of Participants'!$AE$3:$AE$600,"In-Person",'(B) Register of Participants'!$H$3:$H$600,"Tutor")+COUNTIFS('(B) Register of Participants'!$AE$3:$AE$600,"In-Person",'(B) Register of Participants'!$H$3:$H$600,"Student")</f>
        <v/>
      </c>
      <c r="Z128" s="54" t="n"/>
      <c r="AA128" s="48" t="inlineStr">
        <is>
          <t>28-37</t>
        </is>
      </c>
      <c r="AB128" s="48">
        <f>COUNTIFS('(B) Register of Participants'!$CZ$3:$CZ$600,"28-37",'(B) Register of Participants'!$H$3:$H$600,"Tutor")</f>
        <v/>
      </c>
      <c r="AC128" s="48">
        <f>COUNTIFS('(B) Register of Participants'!$CZ$3:$CZ$600,"28-37",'(B) Register of Participants'!$H$3:$H$600,"Student")</f>
        <v/>
      </c>
      <c r="AD128" s="48">
        <f>COUNTIFS('(B) Register of Participants'!$CZ$3:$CZ$600,"28-37",'(B) Register of Participants'!$H$3:$H$600,"Tutor")+COUNTIFS('(B) Register of Participants'!$CZ$3:$CZ$600,"28-37",'(B) Register of Participants'!$H$3:$H$600,"Student")</f>
        <v/>
      </c>
      <c r="AE128" s="54" t="n"/>
      <c r="AF128" s="48" t="inlineStr">
        <is>
          <t>Business &amp; Finance</t>
        </is>
      </c>
      <c r="AG128" s="48">
        <f>COUNTIFS('(B) Register of Participants'!$AT$3:$AT$600,"Business &amp; Finance",'(B) Register of Participants'!$H$3:$H$600,"Tutor")</f>
        <v/>
      </c>
      <c r="AH128" s="48">
        <f>COUNTIFS('(B) Register of Participants'!$AT$3:$AT$600,"Business &amp; Finance",'(B) Register of Participants'!$H$3:$H$600,"Student")</f>
        <v/>
      </c>
      <c r="AI128" s="48">
        <f>COUNTIFS('(B) Register of Participants'!$AT$3:$AT$600,"Business &amp; Finance",'(B) Register of Participants'!$H$3:$H$600,"Tutor")+COUNTIFS('(B) Register of Participants'!$AT$3:$AT$600,"Business &amp; Finance",'(B) Register of Participants'!$H$3:$H$600,"Student")</f>
        <v/>
      </c>
      <c r="AJ128" s="54" t="n"/>
    </row>
    <row r="129">
      <c r="A129" s="54" t="n"/>
      <c r="B129" s="48" t="inlineStr">
        <is>
          <t>Bangladesh</t>
        </is>
      </c>
      <c r="C129" s="48">
        <f>SUMPRODUCT(--ISNUMBER(SEARCH("; Bangladesh;","; "&amp;'(B) Register of Participants'!$AP$3:$AP$600&amp;";")),--('(B) Register of Participants'!$H$3:$H$600="Tutor"))</f>
        <v/>
      </c>
      <c r="D129" s="48">
        <f>SUMPRODUCT(--ISNUMBER(SEARCH("; Bangladesh;","; "&amp;'(B) Register of Participants'!$AP$3:$AP$600&amp;";")),--('(B) Register of Participants'!$H$3:$H$600="Student"))</f>
        <v/>
      </c>
      <c r="E129" s="48">
        <f>SUMPRODUCT(--ISNUMBER(SEARCH("; Bangladesh;","; "&amp;'(B) Register of Participants'!$AP$3:$AP$600&amp;";")))</f>
        <v/>
      </c>
      <c r="F129" s="54" t="n"/>
      <c r="G129" s="48" t="inlineStr">
        <is>
          <t>Burmese</t>
        </is>
      </c>
      <c r="H129" s="48">
        <f>COUNTIFS('(B) Register of Participants'!$AR$3:$AR$600,"Burmese*",'(B) Register of Participants'!$H$3:$H$600,"Tutor")</f>
        <v/>
      </c>
      <c r="I129" s="48">
        <f>COUNTIFS('(B) Register of Participants'!$AR$3:$AR$600,"Burmese*",'(B) Register of Participants'!$H$3:$H$600,"Student")</f>
        <v/>
      </c>
      <c r="J129" s="48">
        <f>COUNTIFS('(B) Register of Participants'!$AR$3:$AR$600,"Burmese*",'(B) Register of Participants'!$H$3:$H$600,"Tutor")+COUNTIFS('(B) Register of Participants'!$AR$3:$AR$600,"Burmese*",'(B) Register of Participants'!$H$3:$H$600,"Student")</f>
        <v/>
      </c>
      <c r="K129" s="54" t="n"/>
      <c r="L129" s="48" t="inlineStr">
        <is>
          <t>Other</t>
        </is>
      </c>
      <c r="M129" s="48">
        <f>COUNTIFS('(B) Register of Participants'!$AL$3:$AL$600,"Other",'(B) Register of Participants'!$H$3:$H$600,"Tutor")</f>
        <v/>
      </c>
      <c r="N129" s="48">
        <f>COUNTIFS('(B) Register of Participants'!$AL$3:$AL$600,"Other",'(B) Register of Participants'!$H$3:$H$600,"Student")</f>
        <v/>
      </c>
      <c r="O129" s="48">
        <f>COUNTIFS('(B) Register of Participants'!$AL$3:$AL$600,"Other",'(B) Register of Participants'!$H$3:$H$600,"Tutor")+COUNTIFS('(B) Register of Participants'!$AL$3:$AL$600,"Other",'(B) Register of Participants'!$H$3:$H$600,"Student")</f>
        <v/>
      </c>
      <c r="P129" s="54" t="n"/>
      <c r="Q129" s="48" t="inlineStr">
        <is>
          <t>NA - Tutor</t>
        </is>
      </c>
      <c r="R129" s="48">
        <f>COUNTIFS('(B) Register of Participants'!$AX$3:$AX$600,"NA - Tutor",'(B) Register of Participants'!$H$3:$H$600,"Tutor")</f>
        <v/>
      </c>
      <c r="S129" s="48">
        <f>COUNTIFS('(B) Register of Participants'!$AX$3:$AX$600,"NA - Tutor",'(B) Register of Participants'!$H$3:$H$600,"Student")</f>
        <v/>
      </c>
      <c r="T129" s="48">
        <f>COUNTIFS('(B) Register of Participants'!$AX$3:$AX$600,"NA - Tutor",'(B) Register of Participants'!$H$3:$H$600,"Tutor")+COUNTIFS('(B) Register of Participants'!$AX$3:$AX$600,"NA - Tutor",'(B) Register of Participants'!$H$3:$H$600,"Student")</f>
        <v/>
      </c>
      <c r="U129" s="54" t="n"/>
      <c r="V129" s="48" t="inlineStr">
        <is>
          <t>Either</t>
        </is>
      </c>
      <c r="W129" s="48">
        <f>COUNTIFS('(B) Register of Participants'!$AE$3:$AE$600,"Either",'(B) Register of Participants'!$H$3:$H$600,"Tutor")</f>
        <v/>
      </c>
      <c r="X129" s="48">
        <f>COUNTIFS('(B) Register of Participants'!$AE$3:$AE$600,"Either",'(B) Register of Participants'!$H$3:$H$600,"Student")</f>
        <v/>
      </c>
      <c r="Y129" s="48">
        <f>COUNTIFS('(B) Register of Participants'!$AE$3:$AE$600,"Either",'(B) Register of Participants'!$H$3:$H$600,"Tutor")+COUNTIFS('(B) Register of Participants'!$AE$3:$AE$600,"Either",'(B) Register of Participants'!$H$3:$H$600,"Student")</f>
        <v/>
      </c>
      <c r="Z129" s="54" t="n"/>
      <c r="AA129" s="48" t="inlineStr">
        <is>
          <t>38-47</t>
        </is>
      </c>
      <c r="AB129" s="48">
        <f>COUNTIFS('(B) Register of Participants'!$CZ$3:$CZ$600,"38-47",'(B) Register of Participants'!$H$3:$H$600,"Tutor")</f>
        <v/>
      </c>
      <c r="AC129" s="48">
        <f>COUNTIFS('(B) Register of Participants'!$CZ$3:$CZ$600,"38-47",'(B) Register of Participants'!$H$3:$H$600,"Student")</f>
        <v/>
      </c>
      <c r="AD129" s="48">
        <f>COUNTIFS('(B) Register of Participants'!$CZ$3:$CZ$600,"38-47",'(B) Register of Participants'!$H$3:$H$600,"Tutor")+COUNTIFS('(B) Register of Participants'!$CZ$3:$CZ$600,"38-47",'(B) Register of Participants'!$H$3:$H$600,"Student")</f>
        <v/>
      </c>
      <c r="AE129" s="54" t="n"/>
      <c r="AF129" s="48" t="inlineStr">
        <is>
          <t>Childcare &amp; Aged Care</t>
        </is>
      </c>
      <c r="AG129" s="48">
        <f>COUNTIFS('(B) Register of Participants'!$AT$3:$AT$600,"Childcare &amp; Aged Care",'(B) Register of Participants'!$H$3:$H$600,"Tutor")</f>
        <v/>
      </c>
      <c r="AH129" s="48">
        <f>COUNTIFS('(B) Register of Participants'!$AT$3:$AT$600,"Childcare &amp; Aged Care",'(B) Register of Participants'!$H$3:$H$600,"Student")</f>
        <v/>
      </c>
      <c r="AI129" s="48">
        <f>COUNTIFS('(B) Register of Participants'!$AT$3:$AT$600,"Childcare &amp; Aged Care",'(B) Register of Participants'!$H$3:$H$600,"Tutor")+COUNTIFS('(B) Register of Participants'!$AT$3:$AT$600,"Childcare &amp; Aged Care",'(B) Register of Participants'!$H$3:$H$600,"Student")</f>
        <v/>
      </c>
      <c r="AJ129" s="54" t="n"/>
    </row>
    <row r="130">
      <c r="A130" s="54" t="n"/>
      <c r="B130" s="48" t="inlineStr">
        <is>
          <t>China</t>
        </is>
      </c>
      <c r="C130" s="48">
        <f>SUMPRODUCT(--ISNUMBER(SEARCH("; China;","; "&amp;'(B) Register of Participants'!$AP$3:$AP$600&amp;";")),--('(B) Register of Participants'!$H$3:$H$600="Tutor"))</f>
        <v/>
      </c>
      <c r="D130" s="48">
        <f>SUMPRODUCT(--ISNUMBER(SEARCH("; China;","; "&amp;'(B) Register of Participants'!$AP$3:$AP$600&amp;";")),--('(B) Register of Participants'!$H$3:$H$600="Student"))</f>
        <v/>
      </c>
      <c r="E130" s="48">
        <f>SUMPRODUCT(--ISNUMBER(SEARCH("; China;","; "&amp;'(B) Register of Participants'!$AP$3:$AP$600&amp;";")))</f>
        <v/>
      </c>
      <c r="F130" s="54" t="n"/>
      <c r="G130" s="48" t="inlineStr">
        <is>
          <t>Dari</t>
        </is>
      </c>
      <c r="H130" s="48">
        <f>COUNTIFS('(B) Register of Participants'!$AR$3:$AR$600,"Dari*",'(B) Register of Participants'!$H$3:$H$600,"Tutor")</f>
        <v/>
      </c>
      <c r="I130" s="48">
        <f>COUNTIFS('(B) Register of Participants'!$AR$3:$AR$600,"Dari*",'(B) Register of Participants'!$H$3:$H$600,"Student")</f>
        <v/>
      </c>
      <c r="J130" s="48">
        <f>COUNTIFS('(B) Register of Participants'!$AR$3:$AR$600,"Dari*",'(B) Register of Participants'!$H$3:$H$600,"Tutor")+COUNTIFS('(B) Register of Participants'!$AR$3:$AR$600,"Dari*",'(B) Register of Participants'!$H$3:$H$600,"Student")</f>
        <v/>
      </c>
      <c r="K130" s="54" t="n"/>
      <c r="L130" s="48" t="inlineStr">
        <is>
          <t>Grand Total</t>
        </is>
      </c>
      <c r="M130" s="48">
        <f>COUNTIFS('(B) Register of Participants'!$AL$3:$AL$600,"?*",'(B) Register of Participants'!$H$3:$H$600,"Tutor")</f>
        <v/>
      </c>
      <c r="N130" s="48">
        <f>COUNTIFS('(B) Register of Participants'!$AL$3:$AL$600,"?*",'(B) Register of Participants'!$H$3:$H$600,"Student")</f>
        <v/>
      </c>
      <c r="O130" s="48">
        <f>SUM(O127:O129)</f>
        <v/>
      </c>
      <c r="P130" s="54" t="n"/>
      <c r="Q130" s="48" t="inlineStr">
        <is>
          <t>Grand Total</t>
        </is>
      </c>
      <c r="R130" s="48">
        <f>COUNTIFS('(B) Register of Participants'!$AX$3:$AX$600,"?*",'(B) Register of Participants'!$H$3:$H$600,"Tutor")</f>
        <v/>
      </c>
      <c r="S130" s="48">
        <f>COUNTIFS('(B) Register of Participants'!$AX$3:$AX$600,"?*",'(B) Register of Participants'!$H$3:$H$600,"Student")</f>
        <v/>
      </c>
      <c r="T130" s="48">
        <f>SUM(T127:T129)</f>
        <v/>
      </c>
      <c r="U130" s="54" t="n"/>
      <c r="V130" s="48" t="inlineStr">
        <is>
          <t>Grand Total</t>
        </is>
      </c>
      <c r="W130" s="48">
        <f>COUNTIFS('(B) Register of Participants'!$AE$3:$AE$600,"?*",'(B) Register of Participants'!$H$3:$H$600,"Tutor")</f>
        <v/>
      </c>
      <c r="X130" s="48">
        <f>COUNTIFS('(B) Register of Participants'!$AE$3:$AE$600,"?*",'(B) Register of Participants'!$H$3:$H$600,"Student")</f>
        <v/>
      </c>
      <c r="Y130" s="48">
        <f>SUM(Y127:Y129)</f>
        <v/>
      </c>
      <c r="Z130" s="54" t="n"/>
      <c r="AA130" s="48" t="inlineStr">
        <is>
          <t>48-57</t>
        </is>
      </c>
      <c r="AB130" s="48">
        <f>COUNTIFS('(B) Register of Participants'!$CZ$3:$CZ$600,"48-57",'(B) Register of Participants'!$H$3:$H$600,"Tutor")</f>
        <v/>
      </c>
      <c r="AC130" s="48">
        <f>COUNTIFS('(B) Register of Participants'!$CZ$3:$CZ$600,"48-57",'(B) Register of Participants'!$H$3:$H$600,"Student")</f>
        <v/>
      </c>
      <c r="AD130" s="48">
        <f>COUNTIFS('(B) Register of Participants'!$CZ$3:$CZ$600,"48-57",'(B) Register of Participants'!$H$3:$H$600,"Tutor")+COUNTIFS('(B) Register of Participants'!$CZ$3:$CZ$600,"48-57",'(B) Register of Participants'!$H$3:$H$600,"Student")</f>
        <v/>
      </c>
      <c r="AE130" s="54" t="n"/>
      <c r="AF130" s="48" t="inlineStr">
        <is>
          <t>Education &amp; Academia</t>
        </is>
      </c>
      <c r="AG130" s="48">
        <f>COUNTIFS('(B) Register of Participants'!$AT$3:$AT$600,"Education &amp; Academia",'(B) Register of Participants'!$H$3:$H$600,"Tutor")</f>
        <v/>
      </c>
      <c r="AH130" s="48">
        <f>COUNTIFS('(B) Register of Participants'!$AT$3:$AT$600,"Education &amp; Academia",'(B) Register of Participants'!$H$3:$H$600,"Student")</f>
        <v/>
      </c>
      <c r="AI130" s="48">
        <f>COUNTIFS('(B) Register of Participants'!$AT$3:$AT$600,"Education &amp; Academia",'(B) Register of Participants'!$H$3:$H$600,"Tutor")+COUNTIFS('(B) Register of Participants'!$AT$3:$AT$600,"Education &amp; Academia",'(B) Register of Participants'!$H$3:$H$600,"Student")</f>
        <v/>
      </c>
      <c r="AJ130" s="54" t="n"/>
    </row>
    <row r="131">
      <c r="A131" s="54" t="n"/>
      <c r="B131" s="48" t="inlineStr">
        <is>
          <t>Colombia</t>
        </is>
      </c>
      <c r="C131" s="48">
        <f>SUMPRODUCT(--ISNUMBER(SEARCH("; Colombia;","; "&amp;'(B) Register of Participants'!$AP$3:$AP$600&amp;";")),--('(B) Register of Participants'!$H$3:$H$600="Tutor"))</f>
        <v/>
      </c>
      <c r="D131" s="48">
        <f>SUMPRODUCT(--ISNUMBER(SEARCH("; Colombia;","; "&amp;'(B) Register of Participants'!$AP$3:$AP$600&amp;";")),--('(B) Register of Participants'!$H$3:$H$600="Student"))</f>
        <v/>
      </c>
      <c r="E131" s="48">
        <f>SUMPRODUCT(--ISNUMBER(SEARCH("; Colombia;","; "&amp;'(B) Register of Participants'!$AP$3:$AP$600&amp;";")))</f>
        <v/>
      </c>
      <c r="F131" s="54" t="n"/>
      <c r="G131" s="48" t="inlineStr">
        <is>
          <t>Farsi</t>
        </is>
      </c>
      <c r="H131" s="48">
        <f>COUNTIFS('(B) Register of Participants'!$AR$3:$AR$600,"Farsi*",'(B) Register of Participants'!$H$3:$H$600,"Tutor")</f>
        <v/>
      </c>
      <c r="I131" s="48">
        <f>COUNTIFS('(B) Register of Participants'!$AR$3:$AR$600,"Farsi*",'(B) Register of Participants'!$H$3:$H$600,"Student")</f>
        <v/>
      </c>
      <c r="J131" s="48">
        <f>COUNTIFS('(B) Register of Participants'!$AR$3:$AR$600,"Farsi*",'(B) Register of Participants'!$H$3:$H$600,"Tutor")+COUNTIFS('(B) Register of Participants'!$AR$3:$AR$600,"Farsi*",'(B) Register of Participants'!$H$3:$H$600,"Student")</f>
        <v/>
      </c>
      <c r="K131" s="54" t="n"/>
      <c r="AA131" s="48" t="inlineStr">
        <is>
          <t>58-67</t>
        </is>
      </c>
      <c r="AB131" s="48">
        <f>COUNTIFS('(B) Register of Participants'!$CZ$3:$CZ$600,"58-67",'(B) Register of Participants'!$H$3:$H$600,"Tutor")</f>
        <v/>
      </c>
      <c r="AC131" s="48">
        <f>COUNTIFS('(B) Register of Participants'!$CZ$3:$CZ$600,"58-67",'(B) Register of Participants'!$H$3:$H$600,"Student")</f>
        <v/>
      </c>
      <c r="AD131" s="48">
        <f>COUNTIFS('(B) Register of Participants'!$CZ$3:$CZ$600,"58-67",'(B) Register of Participants'!$H$3:$H$600,"Tutor")+COUNTIFS('(B) Register of Participants'!$CZ$3:$CZ$600,"58-67",'(B) Register of Participants'!$H$3:$H$600,"Student")</f>
        <v/>
      </c>
      <c r="AE131" s="54" t="n"/>
      <c r="AF131" s="48" t="inlineStr">
        <is>
          <t>Health &amp; Medicine</t>
        </is>
      </c>
      <c r="AG131" s="48">
        <f>COUNTIFS('(B) Register of Participants'!$AT$3:$AT$600,"Health &amp; Medicine",'(B) Register of Participants'!$H$3:$H$600,"Tutor")</f>
        <v/>
      </c>
      <c r="AH131" s="48">
        <f>COUNTIFS('(B) Register of Participants'!$AT$3:$AT$600,"Health &amp; Medicine",'(B) Register of Participants'!$H$3:$H$600,"Student")</f>
        <v/>
      </c>
      <c r="AI131" s="48">
        <f>COUNTIFS('(B) Register of Participants'!$AT$3:$AT$600,"Health &amp; Medicine",'(B) Register of Participants'!$H$3:$H$600,"Tutor")+COUNTIFS('(B) Register of Participants'!$AT$3:$AT$600,"Health &amp; Medicine",'(B) Register of Participants'!$H$3:$H$600,"Student")</f>
        <v/>
      </c>
      <c r="AJ131" s="54" t="n"/>
    </row>
    <row r="132">
      <c r="A132" s="54" t="n"/>
      <c r="B132" s="48" t="inlineStr">
        <is>
          <t>Egypt</t>
        </is>
      </c>
      <c r="C132" s="48">
        <f>SUMPRODUCT(--ISNUMBER(SEARCH("; Egypt;","; "&amp;'(B) Register of Participants'!$AP$3:$AP$600&amp;";")),--('(B) Register of Participants'!$H$3:$H$600="Tutor"))</f>
        <v/>
      </c>
      <c r="D132" s="48">
        <f>SUMPRODUCT(--ISNUMBER(SEARCH("; Egypt;","; "&amp;'(B) Register of Participants'!$AP$3:$AP$600&amp;";")),--('(B) Register of Participants'!$H$3:$H$600="Student"))</f>
        <v/>
      </c>
      <c r="E132" s="48">
        <f>SUMPRODUCT(--ISNUMBER(SEARCH("; Egypt;","; "&amp;'(B) Register of Participants'!$AP$3:$AP$600&amp;";")))</f>
        <v/>
      </c>
      <c r="F132" s="54" t="n"/>
      <c r="G132" s="48" t="inlineStr">
        <is>
          <t>Pashto</t>
        </is>
      </c>
      <c r="H132" s="48">
        <f>COUNTIFS('(B) Register of Participants'!$AR$3:$AR$600,"Pashto*",'(B) Register of Participants'!$H$3:$H$600,"Tutor")</f>
        <v/>
      </c>
      <c r="I132" s="48">
        <f>COUNTIFS('(B) Register of Participants'!$AR$3:$AR$600,"Pashto*",'(B) Register of Participants'!$H$3:$H$600,"Student")</f>
        <v/>
      </c>
      <c r="J132" s="48">
        <f>COUNTIFS('(B) Register of Participants'!$AR$3:$AR$600,"Pashto*",'(B) Register of Participants'!$H$3:$H$600,"Tutor")+COUNTIFS('(B) Register of Participants'!$AR$3:$AR$600,"Pashto*",'(B) Register of Participants'!$H$3:$H$600,"Student")</f>
        <v/>
      </c>
      <c r="K132" s="54" t="n"/>
      <c r="AA132" s="48" t="inlineStr">
        <is>
          <t>68-77</t>
        </is>
      </c>
      <c r="AB132" s="48">
        <f>COUNTIFS('(B) Register of Participants'!$CZ$3:$CZ$600,"68-77",'(B) Register of Participants'!$H$3:$H$600,"Tutor")</f>
        <v/>
      </c>
      <c r="AC132" s="48">
        <f>COUNTIFS('(B) Register of Participants'!$CZ$3:$CZ$600,"68-77",'(B) Register of Participants'!$H$3:$H$600,"Student")</f>
        <v/>
      </c>
      <c r="AD132" s="48">
        <f>COUNTIFS('(B) Register of Participants'!$CZ$3:$CZ$600,"68-77",'(B) Register of Participants'!$H$3:$H$600,"Tutor")+COUNTIFS('(B) Register of Participants'!$CZ$3:$CZ$600,"68-77",'(B) Register of Participants'!$H$3:$H$600,"Student")</f>
        <v/>
      </c>
      <c r="AE132" s="54" t="n"/>
      <c r="AF132" s="48" t="inlineStr">
        <is>
          <t>Hospitality &amp; Retail</t>
        </is>
      </c>
      <c r="AG132" s="48">
        <f>COUNTIFS('(B) Register of Participants'!$AT$3:$AT$600,"Hospitality &amp; Retail",'(B) Register of Participants'!$H$3:$H$600,"Tutor")</f>
        <v/>
      </c>
      <c r="AH132" s="48">
        <f>COUNTIFS('(B) Register of Participants'!$AT$3:$AT$600,"Hospitality &amp; Retail",'(B) Register of Participants'!$H$3:$H$600,"Student")</f>
        <v/>
      </c>
      <c r="AI132" s="48">
        <f>COUNTIFS('(B) Register of Participants'!$AT$3:$AT$600,"Hospitality &amp; Retail",'(B) Register of Participants'!$H$3:$H$600,"Tutor")+COUNTIFS('(B) Register of Participants'!$AT$3:$AT$600,"Hospitality &amp; Retail",'(B) Register of Participants'!$H$3:$H$600,"Student")</f>
        <v/>
      </c>
      <c r="AJ132" s="54" t="n"/>
    </row>
    <row r="133">
      <c r="A133" s="54" t="n"/>
      <c r="B133" s="48" t="inlineStr">
        <is>
          <t>Eritrea</t>
        </is>
      </c>
      <c r="C133" s="48">
        <f>SUMPRODUCT(--ISNUMBER(SEARCH("; Eritrea;","; "&amp;'(B) Register of Participants'!$AP$3:$AP$600&amp;";")),--('(B) Register of Participants'!$H$3:$H$600="Tutor"))</f>
        <v/>
      </c>
      <c r="D133" s="48">
        <f>SUMPRODUCT(--ISNUMBER(SEARCH("; Eritrea;","; "&amp;'(B) Register of Participants'!$AP$3:$AP$600&amp;";")),--('(B) Register of Participants'!$H$3:$H$600="Student"))</f>
        <v/>
      </c>
      <c r="E133" s="48">
        <f>SUMPRODUCT(--ISNUMBER(SEARCH("; Eritrea;","; "&amp;'(B) Register of Participants'!$AP$3:$AP$600&amp;";")))</f>
        <v/>
      </c>
      <c r="F133" s="54" t="n"/>
      <c r="G133" s="48" t="inlineStr">
        <is>
          <t>Somali</t>
        </is>
      </c>
      <c r="H133" s="48">
        <f>COUNTIFS('(B) Register of Participants'!$AR$3:$AR$600,"Somali*",'(B) Register of Participants'!$H$3:$H$600,"Tutor")</f>
        <v/>
      </c>
      <c r="I133" s="48">
        <f>COUNTIFS('(B) Register of Participants'!$AR$3:$AR$600,"Somali*",'(B) Register of Participants'!$H$3:$H$600,"Student")</f>
        <v/>
      </c>
      <c r="J133" s="48">
        <f>COUNTIFS('(B) Register of Participants'!$AR$3:$AR$600,"Somali*",'(B) Register of Participants'!$H$3:$H$600,"Tutor")+COUNTIFS('(B) Register of Participants'!$AR$3:$AR$600,"Somali*",'(B) Register of Participants'!$H$3:$H$600,"Student")</f>
        <v/>
      </c>
      <c r="K133" s="54" t="n"/>
      <c r="AA133" s="48" t="inlineStr">
        <is>
          <t>78+</t>
        </is>
      </c>
      <c r="AB133" s="48">
        <f>COUNTIFS('(B) Register of Participants'!$CZ$3:$CZ$600,"78+",'(B) Register of Participants'!$H$3:$H$600,"Tutor")</f>
        <v/>
      </c>
      <c r="AC133" s="48">
        <f>COUNTIFS('(B) Register of Participants'!$CZ$3:$CZ$600,"78+",'(B) Register of Participants'!$H$3:$H$600,"Student")</f>
        <v/>
      </c>
      <c r="AD133" s="48">
        <f>COUNTIFS('(B) Register of Participants'!$CZ$3:$CZ$600,"78+",'(B) Register of Participants'!$H$3:$H$600,"Tutor")+COUNTIFS('(B) Register of Participants'!$CZ$3:$CZ$600,"78+",'(B) Register of Participants'!$H$3:$H$600,"Student")</f>
        <v/>
      </c>
      <c r="AE133" s="54" t="n"/>
      <c r="AF133" s="48" t="inlineStr">
        <is>
          <t>Labour, Administrative &amp; Clerical</t>
        </is>
      </c>
      <c r="AG133" s="48">
        <f>COUNTIFS('(B) Register of Participants'!$AT$3:$AT$600,"Labour, Administrative &amp; Clerical",'(B) Register of Participants'!$H$3:$H$600,"Tutor")</f>
        <v/>
      </c>
      <c r="AH133" s="48">
        <f>COUNTIFS('(B) Register of Participants'!$AT$3:$AT$600,"Labour, Administrative &amp; Clerical",'(B) Register of Participants'!$H$3:$H$600,"Student")</f>
        <v/>
      </c>
      <c r="AI133" s="48">
        <f>COUNTIFS('(B) Register of Participants'!$AT$3:$AT$600,"Labour, Administrative &amp; Clerical",'(B) Register of Participants'!$H$3:$H$600,"Tutor")+COUNTIFS('(B) Register of Participants'!$AT$3:$AT$600,"Labour, Administrative &amp; Clerical",'(B) Register of Participants'!$H$3:$H$600,"Student")</f>
        <v/>
      </c>
      <c r="AJ133" s="54" t="n"/>
    </row>
    <row r="134">
      <c r="A134" s="54" t="n"/>
      <c r="B134" s="48" t="inlineStr">
        <is>
          <t>India</t>
        </is>
      </c>
      <c r="C134" s="48">
        <f>SUMPRODUCT(--ISNUMBER(SEARCH("; India;","; "&amp;'(B) Register of Participants'!$AP$3:$AP$600&amp;";")),--('(B) Register of Participants'!$H$3:$H$600="Tutor"))</f>
        <v/>
      </c>
      <c r="D134" s="48">
        <f>SUMPRODUCT(--ISNUMBER(SEARCH("; India;","; "&amp;'(B) Register of Participants'!$AP$3:$AP$600&amp;";")),--('(B) Register of Participants'!$H$3:$H$600="Student"))</f>
        <v/>
      </c>
      <c r="E134" s="48">
        <f>SUMPRODUCT(--ISNUMBER(SEARCH("; India;","; "&amp;'(B) Register of Participants'!$AP$3:$AP$600&amp;";")))</f>
        <v/>
      </c>
      <c r="F134" s="54" t="n"/>
      <c r="G134" s="48" t="inlineStr">
        <is>
          <t>Spanish</t>
        </is>
      </c>
      <c r="H134" s="48">
        <f>COUNTIFS('(B) Register of Participants'!$AR$3:$AR$600,"Spanish*",'(B) Register of Participants'!$H$3:$H$600,"Tutor")</f>
        <v/>
      </c>
      <c r="I134" s="48">
        <f>COUNTIFS('(B) Register of Participants'!$AR$3:$AR$600,"Spanish*",'(B) Register of Participants'!$H$3:$H$600,"Student")</f>
        <v/>
      </c>
      <c r="J134" s="48">
        <f>COUNTIFS('(B) Register of Participants'!$AR$3:$AR$600,"Spanish*",'(B) Register of Participants'!$H$3:$H$600,"Tutor")+COUNTIFS('(B) Register of Participants'!$AR$3:$AR$600,"Spanish*",'(B) Register of Participants'!$H$3:$H$600,"Student")</f>
        <v/>
      </c>
      <c r="K134" s="54" t="n"/>
      <c r="AA134" s="48" t="inlineStr">
        <is>
          <t>Grand Total</t>
        </is>
      </c>
      <c r="AB134" s="48">
        <f>COUNTIFS('(B) Register of Participants'!$CZ$3:$CZ$600,"?*",'(B) Register of Participants'!$H$3:$H$600,"Tutor")</f>
        <v/>
      </c>
      <c r="AC134" s="48">
        <f>COUNTIFS('(B) Register of Participants'!$CZ$3:$CZ$600,"?*",'(B) Register of Participants'!$H$3:$H$600,"Student")</f>
        <v/>
      </c>
      <c r="AD134" s="48">
        <f>SUM(AD127:AD133)</f>
        <v/>
      </c>
      <c r="AE134" s="54" t="n"/>
      <c r="AF134" s="48" t="inlineStr">
        <is>
          <t>Law &amp; Legal Services</t>
        </is>
      </c>
      <c r="AG134" s="48">
        <f>COUNTIFS('(B) Register of Participants'!$AT$3:$AT$600,"Law &amp; Legal Services",'(B) Register of Participants'!$H$3:$H$600,"Tutor")</f>
        <v/>
      </c>
      <c r="AH134" s="48">
        <f>COUNTIFS('(B) Register of Participants'!$AT$3:$AT$600,"Law &amp; Legal Services",'(B) Register of Participants'!$H$3:$H$600,"Student")</f>
        <v/>
      </c>
      <c r="AI134" s="48">
        <f>COUNTIFS('(B) Register of Participants'!$AT$3:$AT$600,"Law &amp; Legal Services",'(B) Register of Participants'!$H$3:$H$600,"Tutor")+COUNTIFS('(B) Register of Participants'!$AT$3:$AT$600,"Law &amp; Legal Services",'(B) Register of Participants'!$H$3:$H$600,"Student")</f>
        <v/>
      </c>
      <c r="AJ134" s="54" t="n"/>
    </row>
    <row r="135">
      <c r="A135" s="54" t="n"/>
      <c r="B135" s="48" t="inlineStr">
        <is>
          <t>Iran</t>
        </is>
      </c>
      <c r="C135" s="48">
        <f>SUMPRODUCT(--ISNUMBER(SEARCH("; Iran;","; "&amp;'(B) Register of Participants'!$AP$3:$AP$600&amp;";")),--('(B) Register of Participants'!$H$3:$H$600="Tutor"))</f>
        <v/>
      </c>
      <c r="D135" s="48">
        <f>SUMPRODUCT(--ISNUMBER(SEARCH("; Iran;","; "&amp;'(B) Register of Participants'!$AP$3:$AP$600&amp;";")),--('(B) Register of Participants'!$H$3:$H$600="Student"))</f>
        <v/>
      </c>
      <c r="E135" s="48">
        <f>SUMPRODUCT(--ISNUMBER(SEARCH("; Iran;","; "&amp;'(B) Register of Participants'!$AP$3:$AP$600&amp;";")))</f>
        <v/>
      </c>
      <c r="F135" s="54" t="n"/>
      <c r="G135" s="48" t="inlineStr">
        <is>
          <t>Tigrinya</t>
        </is>
      </c>
      <c r="H135" s="48">
        <f>COUNTIFS('(B) Register of Participants'!$AR$3:$AR$600,"Tigrinya*",'(B) Register of Participants'!$H$3:$H$600,"Tutor")</f>
        <v/>
      </c>
      <c r="I135" s="48">
        <f>COUNTIFS('(B) Register of Participants'!$AR$3:$AR$600,"Tigrinya*",'(B) Register of Participants'!$H$3:$H$600,"Student")</f>
        <v/>
      </c>
      <c r="J135" s="48">
        <f>COUNTIFS('(B) Register of Participants'!$AR$3:$AR$600,"Tigrinya*",'(B) Register of Participants'!$H$3:$H$600,"Tutor")+COUNTIFS('(B) Register of Participants'!$AR$3:$AR$600,"Tigrinya*",'(B) Register of Participants'!$H$3:$H$600,"Student")</f>
        <v/>
      </c>
      <c r="K135" s="54" t="n"/>
      <c r="AF135" s="48" t="inlineStr">
        <is>
          <t>Military &amp; Public Safety</t>
        </is>
      </c>
      <c r="AG135" s="48">
        <f>COUNTIFS('(B) Register of Participants'!$AT$3:$AT$600,"Military &amp; Public Safety",'(B) Register of Participants'!$H$3:$H$600,"Tutor")</f>
        <v/>
      </c>
      <c r="AH135" s="48">
        <f>COUNTIFS('(B) Register of Participants'!$AT$3:$AT$600,"Military &amp; Public Safety",'(B) Register of Participants'!$H$3:$H$600,"Student")</f>
        <v/>
      </c>
      <c r="AI135" s="48">
        <f>COUNTIFS('(B) Register of Participants'!$AT$3:$AT$600,"Military &amp; Public Safety",'(B) Register of Participants'!$H$3:$H$600,"Tutor")+COUNTIFS('(B) Register of Participants'!$AT$3:$AT$600,"Military &amp; Public Safety",'(B) Register of Participants'!$H$3:$H$600,"Student")</f>
        <v/>
      </c>
      <c r="AJ135" s="54" t="n"/>
    </row>
    <row r="136">
      <c r="A136" s="54" t="n"/>
      <c r="B136" s="48" t="inlineStr">
        <is>
          <t>Iraq</t>
        </is>
      </c>
      <c r="C136" s="48">
        <f>SUMPRODUCT(--ISNUMBER(SEARCH("; Iraq;","; "&amp;'(B) Register of Participants'!$AP$3:$AP$600&amp;";")),--('(B) Register of Participants'!$H$3:$H$600="Tutor"))</f>
        <v/>
      </c>
      <c r="D136" s="48">
        <f>SUMPRODUCT(--ISNUMBER(SEARCH("; Iraq;","; "&amp;'(B) Register of Participants'!$AP$3:$AP$600&amp;";")),--('(B) Register of Participants'!$H$3:$H$600="Student"))</f>
        <v/>
      </c>
      <c r="E136" s="48">
        <f>SUMPRODUCT(--ISNUMBER(SEARCH("; Iraq;","; "&amp;'(B) Register of Participants'!$AP$3:$AP$600&amp;";")))</f>
        <v/>
      </c>
      <c r="F136" s="54" t="n"/>
      <c r="G136" s="48" t="inlineStr">
        <is>
          <t>Ukrainian</t>
        </is>
      </c>
      <c r="H136" s="48">
        <f>COUNTIFS('(B) Register of Participants'!$AR$3:$AR$600,"Ukrainian*",'(B) Register of Participants'!$H$3:$H$600,"Tutor")</f>
        <v/>
      </c>
      <c r="I136" s="48">
        <f>COUNTIFS('(B) Register of Participants'!$AR$3:$AR$600,"Ukrainian*",'(B) Register of Participants'!$H$3:$H$600,"Student")</f>
        <v/>
      </c>
      <c r="J136" s="48">
        <f>COUNTIFS('(B) Register of Participants'!$AR$3:$AR$600,"Ukrainian*",'(B) Register of Participants'!$H$3:$H$600,"Tutor")+COUNTIFS('(B) Register of Participants'!$AR$3:$AR$600,"Ukrainian*",'(B) Register of Participants'!$H$3:$H$600,"Student")</f>
        <v/>
      </c>
      <c r="K136" s="54" t="n"/>
      <c r="AF136" s="48" t="inlineStr">
        <is>
          <t>Social &amp; Community Services</t>
        </is>
      </c>
      <c r="AG136" s="48">
        <f>COUNTIFS('(B) Register of Participants'!$AT$3:$AT$600,"Social &amp; Community Services",'(B) Register of Participants'!$H$3:$H$600,"Tutor")</f>
        <v/>
      </c>
      <c r="AH136" s="48">
        <f>COUNTIFS('(B) Register of Participants'!$AT$3:$AT$600,"Social &amp; Community Services",'(B) Register of Participants'!$H$3:$H$600,"Student")</f>
        <v/>
      </c>
      <c r="AI136" s="48">
        <f>COUNTIFS('(B) Register of Participants'!$AT$3:$AT$600,"Social &amp; Community Services",'(B) Register of Participants'!$H$3:$H$600,"Tutor")+COUNTIFS('(B) Register of Participants'!$AT$3:$AT$600,"Social &amp; Community Services",'(B) Register of Participants'!$H$3:$H$600,"Student")</f>
        <v/>
      </c>
      <c r="AJ136" s="54" t="n"/>
    </row>
    <row r="137">
      <c r="A137" s="54" t="n"/>
      <c r="B137" s="48" t="inlineStr">
        <is>
          <t>Israel</t>
        </is>
      </c>
      <c r="C137" s="48">
        <f>SUMPRODUCT(--ISNUMBER(SEARCH("; Israel;","; "&amp;'(B) Register of Participants'!$AP$3:$AP$600&amp;";")),--('(B) Register of Participants'!$H$3:$H$600="Tutor"))</f>
        <v/>
      </c>
      <c r="D137" s="48">
        <f>SUMPRODUCT(--ISNUMBER(SEARCH("; Israel;","; "&amp;'(B) Register of Participants'!$AP$3:$AP$600&amp;";")),--('(B) Register of Participants'!$H$3:$H$600="Student"))</f>
        <v/>
      </c>
      <c r="E137" s="48">
        <f>SUMPRODUCT(--ISNUMBER(SEARCH("; Israel;","; "&amp;'(B) Register of Participants'!$AP$3:$AP$600&amp;";")))</f>
        <v/>
      </c>
      <c r="F137" s="54" t="n"/>
      <c r="G137" s="48" t="inlineStr">
        <is>
          <t>English</t>
        </is>
      </c>
      <c r="H137" s="48">
        <f>COUNTIFS('(B) Register of Participants'!$AR$3:$AR$600,"English*",'(B) Register of Participants'!$H$3:$H$600,"Tutor")</f>
        <v/>
      </c>
      <c r="I137" s="48">
        <f>COUNTIFS('(B) Register of Participants'!$AR$3:$AR$600,"English*",'(B) Register of Participants'!$H$3:$H$600,"Student")</f>
        <v/>
      </c>
      <c r="J137" s="48">
        <f>COUNTIFS('(B) Register of Participants'!$AR$3:$AR$600,"English*",'(B) Register of Participants'!$H$3:$H$600,"Tutor")+COUNTIFS('(B) Register of Participants'!$AR$3:$AR$600,"English*",'(B) Register of Participants'!$H$3:$H$600,"Student")</f>
        <v/>
      </c>
      <c r="K137" s="54" t="n"/>
      <c r="AF137" s="48" t="inlineStr">
        <is>
          <t>Science, Tech, Engineering and Math</t>
        </is>
      </c>
      <c r="AG137" s="48">
        <f>COUNTIFS('(B) Register of Participants'!$AT$3:$AT$600,"Science, Tech, Engineering and Math",'(B) Register of Participants'!$H$3:$H$600,"Tutor")</f>
        <v/>
      </c>
      <c r="AH137" s="48">
        <f>COUNTIFS('(B) Register of Participants'!$AT$3:$AT$600,"Science, Tech, Engineering and Math",'(B) Register of Participants'!$H$3:$H$600,"Student")</f>
        <v/>
      </c>
      <c r="AI137" s="48">
        <f>COUNTIFS('(B) Register of Participants'!$AT$3:$AT$600,"Science, Tech, Engineering and Math",'(B) Register of Participants'!$H$3:$H$600,"Tutor")+COUNTIFS('(B) Register of Participants'!$AT$3:$AT$600,"Science, Tech, Engineering and Math",'(B) Register of Participants'!$H$3:$H$600,"Student")</f>
        <v/>
      </c>
      <c r="AJ137" s="54" t="n"/>
    </row>
    <row r="138">
      <c r="A138" s="54" t="n"/>
      <c r="B138" s="48" t="inlineStr">
        <is>
          <t>Lebanon</t>
        </is>
      </c>
      <c r="C138" s="48">
        <f>SUMPRODUCT(--ISNUMBER(SEARCH("; Lebanon;","; "&amp;'(B) Register of Participants'!$AP$3:$AP$600&amp;";")),--('(B) Register of Participants'!$H$3:$H$600="Tutor"))</f>
        <v/>
      </c>
      <c r="D138" s="48">
        <f>SUMPRODUCT(--ISNUMBER(SEARCH("; Lebanon;","; "&amp;'(B) Register of Participants'!$AP$3:$AP$600&amp;";")),--('(B) Register of Participants'!$H$3:$H$600="Student"))</f>
        <v/>
      </c>
      <c r="E138" s="48">
        <f>SUMPRODUCT(--ISNUMBER(SEARCH("; Lebanon;","; "&amp;'(B) Register of Participants'!$AP$3:$AP$600&amp;";")))</f>
        <v/>
      </c>
      <c r="F138" s="54" t="n"/>
      <c r="AF138" s="48" t="inlineStr">
        <is>
          <t>Trades &amp; Construction</t>
        </is>
      </c>
      <c r="AG138" s="48">
        <f>COUNTIFS('(B) Register of Participants'!$AT$3:$AT$600,"Trades &amp; Construction",'(B) Register of Participants'!$H$3:$H$600,"Tutor")</f>
        <v/>
      </c>
      <c r="AH138" s="48">
        <f>COUNTIFS('(B) Register of Participants'!$AT$3:$AT$600,"Trades &amp; Construction",'(B) Register of Participants'!$H$3:$H$600,"Student")</f>
        <v/>
      </c>
      <c r="AI138" s="48">
        <f>COUNTIFS('(B) Register of Participants'!$AT$3:$AT$600,"Trades &amp; Construction",'(B) Register of Participants'!$H$3:$H$600,"Tutor")+COUNTIFS('(B) Register of Participants'!$AT$3:$AT$600,"Trades &amp; Construction",'(B) Register of Participants'!$H$3:$H$600,"Student")</f>
        <v/>
      </c>
      <c r="AJ138" s="54" t="n"/>
    </row>
    <row r="139">
      <c r="A139" s="54" t="n"/>
      <c r="B139" s="48" t="inlineStr">
        <is>
          <t>Myanmar</t>
        </is>
      </c>
      <c r="C139" s="48">
        <f>SUMPRODUCT(--ISNUMBER(SEARCH("; Myanmar;","; "&amp;'(B) Register of Participants'!$AP$3:$AP$600&amp;";")),--('(B) Register of Participants'!$H$3:$H$600="Tutor"))</f>
        <v/>
      </c>
      <c r="D139" s="48">
        <f>SUMPRODUCT(--ISNUMBER(SEARCH("; Myanmar;","; "&amp;'(B) Register of Participants'!$AP$3:$AP$600&amp;";")),--('(B) Register of Participants'!$H$3:$H$600="Student"))</f>
        <v/>
      </c>
      <c r="E139" s="48">
        <f>SUMPRODUCT(--ISNUMBER(SEARCH("; Myanmar;","; "&amp;'(B) Register of Participants'!$AP$3:$AP$600&amp;";")))</f>
        <v/>
      </c>
      <c r="F139" s="54" t="n"/>
      <c r="AF139" s="48" t="inlineStr">
        <is>
          <t>Other / Unspecified</t>
        </is>
      </c>
      <c r="AG139" s="48">
        <f>COUNTIFS('(B) Register of Participants'!$AT$3:$AT$600,"Other / Unspecified",'(B) Register of Participants'!$H$3:$H$600,"Tutor")</f>
        <v/>
      </c>
      <c r="AH139" s="48">
        <f>COUNTIFS('(B) Register of Participants'!$AT$3:$AT$600,"Other / Unspecified",'(B) Register of Participants'!$H$3:$H$600,"Student")</f>
        <v/>
      </c>
      <c r="AI139" s="48">
        <f>COUNTIFS('(B) Register of Participants'!$AT$3:$AT$600,"Other / Unspecified",'(B) Register of Participants'!$H$3:$H$600,"Tutor")+COUNTIFS('(B) Register of Participants'!$AT$3:$AT$600,"Other / Unspecified",'(B) Register of Participants'!$H$3:$H$600,"Student")</f>
        <v/>
      </c>
      <c r="AJ139" s="54" t="n"/>
    </row>
    <row r="140">
      <c r="A140" s="54" t="n"/>
      <c r="B140" s="48" t="inlineStr">
        <is>
          <t>Pakistan</t>
        </is>
      </c>
      <c r="C140" s="48">
        <f>SUMPRODUCT(--ISNUMBER(SEARCH("; Pakistan;","; "&amp;'(B) Register of Participants'!$AP$3:$AP$600&amp;";")),--('(B) Register of Participants'!$H$3:$H$600="Tutor"))</f>
        <v/>
      </c>
      <c r="D140" s="48">
        <f>SUMPRODUCT(--ISNUMBER(SEARCH("; Pakistan;","; "&amp;'(B) Register of Participants'!$AP$3:$AP$600&amp;";")),--('(B) Register of Participants'!$H$3:$H$600="Student"))</f>
        <v/>
      </c>
      <c r="E140" s="48">
        <f>SUMPRODUCT(--ISNUMBER(SEARCH("; Pakistan;","; "&amp;'(B) Register of Participants'!$AP$3:$AP$600&amp;";")))</f>
        <v/>
      </c>
      <c r="F140" s="54" t="n"/>
      <c r="AF140" s="48" t="inlineStr">
        <is>
          <t>Grand Total</t>
        </is>
      </c>
      <c r="AG140" s="48">
        <f>COUNTIFS('(B) Register of Participants'!$AT$3:$AT$600,"?*",'(B) Register of Participants'!$H$3:$H$600,"Tutor")</f>
        <v/>
      </c>
      <c r="AH140" s="48">
        <f>COUNTIFS('(B) Register of Participants'!$AT$3:$AT$600,"?*",'(B) Register of Participants'!$H$3:$H$600,"Student")</f>
        <v/>
      </c>
      <c r="AI140" s="48">
        <f>SUM(AI127:AI139)</f>
        <v/>
      </c>
      <c r="AJ140" s="54" t="n"/>
    </row>
    <row r="141">
      <c r="A141" s="54" t="n"/>
      <c r="B141" s="48" t="inlineStr">
        <is>
          <t>Palestine</t>
        </is>
      </c>
      <c r="C141" s="48">
        <f>SUMPRODUCT(--ISNUMBER(SEARCH("; Palestine;","; "&amp;'(B) Register of Participants'!$AP$3:$AP$600&amp;";")),--('(B) Register of Participants'!$H$3:$H$600="Tutor"))</f>
        <v/>
      </c>
      <c r="D141" s="48">
        <f>SUMPRODUCT(--ISNUMBER(SEARCH("; Palestine;","; "&amp;'(B) Register of Participants'!$AP$3:$AP$600&amp;";")),--('(B) Register of Participants'!$H$3:$H$600="Student"))</f>
        <v/>
      </c>
      <c r="E141" s="48">
        <f>SUMPRODUCT(--ISNUMBER(SEARCH("; Palestine;","; "&amp;'(B) Register of Participants'!$AP$3:$AP$600&amp;";")))</f>
        <v/>
      </c>
      <c r="F141" s="54" t="n"/>
    </row>
    <row r="142">
      <c r="A142" s="54" t="n"/>
      <c r="B142" s="48" t="inlineStr">
        <is>
          <t>Russia</t>
        </is>
      </c>
      <c r="C142" s="48">
        <f>SUMPRODUCT(--ISNUMBER(SEARCH("; Russia;","; "&amp;'(B) Register of Participants'!$AP$3:$AP$600&amp;";")),--('(B) Register of Participants'!$H$3:$H$600="Tutor"))</f>
        <v/>
      </c>
      <c r="D142" s="48">
        <f>SUMPRODUCT(--ISNUMBER(SEARCH("; Russia;","; "&amp;'(B) Register of Participants'!$AP$3:$AP$600&amp;";")),--('(B) Register of Participants'!$H$3:$H$600="Student"))</f>
        <v/>
      </c>
      <c r="E142" s="48">
        <f>SUMPRODUCT(--ISNUMBER(SEARCH("; Russia;","; "&amp;'(B) Register of Participants'!$AP$3:$AP$600&amp;";")))</f>
        <v/>
      </c>
      <c r="F142" s="54" t="n"/>
    </row>
    <row r="143">
      <c r="A143" s="54" t="n"/>
      <c r="B143" s="48" t="inlineStr">
        <is>
          <t>Somalia</t>
        </is>
      </c>
      <c r="C143" s="48">
        <f>SUMPRODUCT(--ISNUMBER(SEARCH("; Somalia;","; "&amp;'(B) Register of Participants'!$AP$3:$AP$600&amp;";")),--('(B) Register of Participants'!$H$3:$H$600="Tutor"))</f>
        <v/>
      </c>
      <c r="D143" s="48">
        <f>SUMPRODUCT(--ISNUMBER(SEARCH("; Somalia;","; "&amp;'(B) Register of Participants'!$AP$3:$AP$600&amp;";")),--('(B) Register of Participants'!$H$3:$H$600="Student"))</f>
        <v/>
      </c>
      <c r="E143" s="48">
        <f>SUMPRODUCT(--ISNUMBER(SEARCH("; Somalia;","; "&amp;'(B) Register of Participants'!$AP$3:$AP$600&amp;";")))</f>
        <v/>
      </c>
      <c r="F143" s="54" t="n"/>
    </row>
    <row r="144">
      <c r="A144" s="54" t="n"/>
      <c r="B144" s="48" t="inlineStr">
        <is>
          <t>South Sudan</t>
        </is>
      </c>
      <c r="C144" s="48">
        <f>SUMPRODUCT(--ISNUMBER(SEARCH("; South Sudan;","; "&amp;'(B) Register of Participants'!$AP$3:$AP$600&amp;";")),--('(B) Register of Participants'!$H$3:$H$600="Tutor"))</f>
        <v/>
      </c>
      <c r="D144" s="48">
        <f>SUMPRODUCT(--ISNUMBER(SEARCH("; South Sudan;","; "&amp;'(B) Register of Participants'!$AP$3:$AP$600&amp;";")),--('(B) Register of Participants'!$H$3:$H$600="Student"))</f>
        <v/>
      </c>
      <c r="E144" s="48">
        <f>SUMPRODUCT(--ISNUMBER(SEARCH("; South Sudan;","; "&amp;'(B) Register of Participants'!$AP$3:$AP$600&amp;";")))</f>
        <v/>
      </c>
      <c r="F144" s="54" t="n"/>
    </row>
    <row r="145">
      <c r="A145" s="54" t="n"/>
      <c r="B145" s="48" t="inlineStr">
        <is>
          <t>Sri Lanka</t>
        </is>
      </c>
      <c r="C145" s="48">
        <f>SUMPRODUCT(--ISNUMBER(SEARCH("; Sri Lanka;","; "&amp;'(B) Register of Participants'!$AP$3:$AP$600&amp;";")),--('(B) Register of Participants'!$H$3:$H$600="Tutor"))</f>
        <v/>
      </c>
      <c r="D145" s="48">
        <f>SUMPRODUCT(--ISNUMBER(SEARCH("; Sri Lanka;","; "&amp;'(B) Register of Participants'!$AP$3:$AP$600&amp;";")),--('(B) Register of Participants'!$H$3:$H$600="Student"))</f>
        <v/>
      </c>
      <c r="E145" s="48">
        <f>SUMPRODUCT(--ISNUMBER(SEARCH("; Sri Lanka;","; "&amp;'(B) Register of Participants'!$AP$3:$AP$600&amp;";")))</f>
        <v/>
      </c>
      <c r="F145" s="54" t="n"/>
    </row>
    <row r="146">
      <c r="A146" s="54" t="n"/>
      <c r="B146" s="48" t="inlineStr">
        <is>
          <t>Sudan</t>
        </is>
      </c>
      <c r="C146" s="48">
        <f>SUMPRODUCT(--ISNUMBER(SEARCH("; Sudan;","; "&amp;'(B) Register of Participants'!$AP$3:$AP$600&amp;";")),--('(B) Register of Participants'!$H$3:$H$600="Tutor"))</f>
        <v/>
      </c>
      <c r="D146" s="48">
        <f>SUMPRODUCT(--ISNUMBER(SEARCH("; Sudan;","; "&amp;'(B) Register of Participants'!$AP$3:$AP$600&amp;";")),--('(B) Register of Participants'!$H$3:$H$600="Student"))</f>
        <v/>
      </c>
      <c r="E146" s="48">
        <f>SUMPRODUCT(--ISNUMBER(SEARCH("; Sudan;","; "&amp;'(B) Register of Participants'!$AP$3:$AP$600&amp;";")))</f>
        <v/>
      </c>
      <c r="F146" s="54" t="n"/>
    </row>
    <row r="147">
      <c r="A147" s="54" t="n"/>
      <c r="B147" s="48" t="inlineStr">
        <is>
          <t>Syria</t>
        </is>
      </c>
      <c r="C147" s="48">
        <f>SUMPRODUCT(--ISNUMBER(SEARCH("; Syria;","; "&amp;'(B) Register of Participants'!$AP$3:$AP$600&amp;";")),--('(B) Register of Participants'!$H$3:$H$600="Tutor"))</f>
        <v/>
      </c>
      <c r="D147" s="48">
        <f>SUMPRODUCT(--ISNUMBER(SEARCH("; Syria;","; "&amp;'(B) Register of Participants'!$AP$3:$AP$600&amp;";")),--('(B) Register of Participants'!$H$3:$H$600="Student"))</f>
        <v/>
      </c>
      <c r="E147" s="48">
        <f>SUMPRODUCT(--ISNUMBER(SEARCH("; Syria;","; "&amp;'(B) Register of Participants'!$AP$3:$AP$600&amp;";")))</f>
        <v/>
      </c>
      <c r="F147" s="54" t="n"/>
    </row>
    <row r="148">
      <c r="A148" s="54" t="n"/>
      <c r="B148" s="48" t="inlineStr">
        <is>
          <t>Ukraine</t>
        </is>
      </c>
      <c r="C148" s="48">
        <f>SUMPRODUCT(--ISNUMBER(SEARCH("; Ukraine;","; "&amp;'(B) Register of Participants'!$AP$3:$AP$600&amp;";")),--('(B) Register of Participants'!$H$3:$H$600="Tutor"))</f>
        <v/>
      </c>
      <c r="D148" s="48">
        <f>SUMPRODUCT(--ISNUMBER(SEARCH("; Ukraine;","; "&amp;'(B) Register of Participants'!$AP$3:$AP$600&amp;";")),--('(B) Register of Participants'!$H$3:$H$600="Student"))</f>
        <v/>
      </c>
      <c r="E148" s="48">
        <f>SUMPRODUCT(--ISNUMBER(SEARCH("; Ukraine;","; "&amp;'(B) Register of Participants'!$AP$3:$AP$600&amp;";")))</f>
        <v/>
      </c>
      <c r="F148" s="54" t="n"/>
    </row>
    <row r="149">
      <c r="A149" s="54" t="n"/>
      <c r="B149" s="48" t="inlineStr">
        <is>
          <t>United Kingdom</t>
        </is>
      </c>
      <c r="C149" s="48">
        <f>SUMPRODUCT(--ISNUMBER(SEARCH("; United Kingdom;","; "&amp;'(B) Register of Participants'!$AP$3:$AP$600&amp;";")),--('(B) Register of Participants'!$H$3:$H$600="Tutor"))</f>
        <v/>
      </c>
      <c r="D149" s="48">
        <f>SUMPRODUCT(--ISNUMBER(SEARCH("; United Kingdom;","; "&amp;'(B) Register of Participants'!$AP$3:$AP$600&amp;";")),--('(B) Register of Participants'!$H$3:$H$600="Student"))</f>
        <v/>
      </c>
      <c r="E149" s="48">
        <f>SUMPRODUCT(--ISNUMBER(SEARCH("; United Kingdom;","; "&amp;'(B) Register of Participants'!$AP$3:$AP$600&amp;";")))</f>
        <v/>
      </c>
      <c r="F149" s="54" t="n"/>
    </row>
    <row r="150">
      <c r="A150" s="54" t="n"/>
      <c r="B150" s="48" t="inlineStr">
        <is>
          <t>Venezuela</t>
        </is>
      </c>
      <c r="C150" s="48">
        <f>SUMPRODUCT(--ISNUMBER(SEARCH("; Venezuela;","; "&amp;'(B) Register of Participants'!$AP$3:$AP$600&amp;";")),--('(B) Register of Participants'!$H$3:$H$600="Tutor"))</f>
        <v/>
      </c>
      <c r="D150" s="48">
        <f>SUMPRODUCT(--ISNUMBER(SEARCH("; Venezuela;","; "&amp;'(B) Register of Participants'!$AP$3:$AP$600&amp;";")),--('(B) Register of Participants'!$H$3:$H$600="Student"))</f>
        <v/>
      </c>
      <c r="E150" s="48">
        <f>SUMPRODUCT(--ISNUMBER(SEARCH("; Venezuela;","; "&amp;'(B) Register of Participants'!$AP$3:$AP$600&amp;";")))</f>
        <v/>
      </c>
      <c r="F150" s="54" t="n"/>
    </row>
    <row r="151">
      <c r="A151" s="54" t="n"/>
      <c r="B151" s="48" t="inlineStr">
        <is>
          <t>Vietnam</t>
        </is>
      </c>
      <c r="C151" s="48">
        <f>SUMPRODUCT(--ISNUMBER(SEARCH("; Vietnam;","; "&amp;'(B) Register of Participants'!$AP$3:$AP$600&amp;";")),--('(B) Register of Participants'!$H$3:$H$600="Tutor"))</f>
        <v/>
      </c>
      <c r="D151" s="48">
        <f>SUMPRODUCT(--ISNUMBER(SEARCH("; Vietnam;","; "&amp;'(B) Register of Participants'!$AP$3:$AP$600&amp;";")),--('(B) Register of Participants'!$H$3:$H$600="Student"))</f>
        <v/>
      </c>
      <c r="E151" s="48">
        <f>SUMPRODUCT(--ISNUMBER(SEARCH("; Vietnam;","; "&amp;'(B) Register of Participants'!$AP$3:$AP$600&amp;";")))</f>
        <v/>
      </c>
      <c r="F151" s="54" t="n"/>
    </row>
    <row r="152">
      <c r="A152" s="54" t="n"/>
    </row>
    <row r="153">
      <c r="A153" s="54" t="n"/>
    </row>
    <row r="154">
      <c r="A154" s="54" t="n"/>
    </row>
    <row r="155">
      <c r="A155" s="54" t="n"/>
    </row>
    <row r="156">
      <c r="A156" s="54" t="n"/>
    </row>
    <row r="157">
      <c r="A157" s="54" t="n"/>
    </row>
    <row r="158">
      <c r="A158" s="54" t="n"/>
    </row>
    <row r="159">
      <c r="A159" s="54" t="n"/>
    </row>
    <row r="160">
      <c r="A160" s="54" t="n"/>
    </row>
    <row r="161">
      <c r="A161" s="54" t="n"/>
    </row>
    <row r="162">
      <c r="A162" s="54" t="n"/>
    </row>
    <row r="163">
      <c r="A163" s="54" t="n"/>
    </row>
    <row r="164">
      <c r="A164" s="54" t="n"/>
    </row>
    <row r="165">
      <c r="A165" s="54" t="n"/>
    </row>
    <row r="166">
      <c r="A166" s="54" t="n"/>
    </row>
    <row r="167">
      <c r="A167" s="54" t="n"/>
    </row>
    <row r="168">
      <c r="A168" s="54" t="n"/>
    </row>
    <row r="169">
      <c r="A169" s="54" t="n"/>
      <c r="B169" s="60" t="inlineStr">
        <is>
          <t>FEEDBACK (from the Register of Feedback)</t>
        </is>
      </c>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c r="AA169" s="61" t="n"/>
      <c r="AB169" s="61" t="n"/>
      <c r="AC169" s="61" t="n"/>
      <c r="AD169" s="61" t="n"/>
      <c r="AE169" s="61" t="n"/>
      <c r="AF169" s="61" t="n"/>
      <c r="AG169" s="61" t="n"/>
      <c r="AH169" s="61" t="n"/>
      <c r="AI169" s="61" t="n"/>
      <c r="AJ169" s="61" t="n"/>
      <c r="AK169" s="61" t="n"/>
    </row>
    <row r="170">
      <c r="A170" s="54" t="n"/>
    </row>
    <row r="171">
      <c r="A171" s="54" t="n"/>
      <c r="B171" s="15" t="inlineStr">
        <is>
          <t>(E.1) Overall opinion</t>
        </is>
      </c>
      <c r="D171" s="54" t="n"/>
      <c r="E171" s="15" t="inlineStr">
        <is>
          <t>(E.2) English confidence change</t>
        </is>
      </c>
      <c r="G171" s="54" t="n"/>
      <c r="H171" s="15" t="inlineStr">
        <is>
          <t>(E.3) Likelihood to recommend</t>
        </is>
      </c>
      <c r="J171" s="54" t="n"/>
      <c r="K171" s="15" t="inlineStr">
        <is>
          <t>(E.4) Ease of communication</t>
        </is>
      </c>
      <c r="M171" s="54" t="n"/>
      <c r="N171" s="15" t="inlineStr">
        <is>
          <t>(E.5) Support from RELT (tutors)</t>
        </is>
      </c>
      <c r="P171" s="54" t="n"/>
    </row>
    <row r="172">
      <c r="A172" s="54" t="n"/>
      <c r="B172" s="62" t="inlineStr">
        <is>
          <t>Response</t>
        </is>
      </c>
      <c r="C172" s="62" t="inlineStr">
        <is>
          <t>Count</t>
        </is>
      </c>
      <c r="D172" s="54" t="n"/>
      <c r="E172" s="62" t="inlineStr">
        <is>
          <t>Response</t>
        </is>
      </c>
      <c r="F172" s="62" t="inlineStr">
        <is>
          <t>Count</t>
        </is>
      </c>
      <c r="G172" s="54" t="n"/>
      <c r="H172" s="62" t="inlineStr">
        <is>
          <t>Response</t>
        </is>
      </c>
      <c r="I172" s="62" t="inlineStr">
        <is>
          <t>Count</t>
        </is>
      </c>
      <c r="J172" s="54" t="n"/>
      <c r="K172" s="62" t="inlineStr">
        <is>
          <t>Response</t>
        </is>
      </c>
      <c r="L172" s="62" t="inlineStr">
        <is>
          <t>Count</t>
        </is>
      </c>
      <c r="M172" s="54" t="n"/>
      <c r="N172" s="62" t="inlineStr">
        <is>
          <t>Response</t>
        </is>
      </c>
      <c r="O172" s="62" t="inlineStr">
        <is>
          <t>Count</t>
        </is>
      </c>
      <c r="P172" s="54" t="n"/>
    </row>
    <row r="173">
      <c r="A173" s="54" t="n"/>
      <c r="B173" s="48" t="inlineStr">
        <is>
          <t>Very Good</t>
        </is>
      </c>
      <c r="C173" s="48">
        <f>COUNTIF('(C) Register of Feedback'!$H$4:$H$600,"Very Good")</f>
        <v/>
      </c>
      <c r="D173" s="54" t="n"/>
      <c r="E173" s="48" t="inlineStr">
        <is>
          <t>I am much more confident</t>
        </is>
      </c>
      <c r="F173" s="48">
        <f>COUNTIF('(C) Register of Feedback'!$J$4:$J$600,"I am much more confident")</f>
        <v/>
      </c>
      <c r="G173" s="54" t="n"/>
      <c r="H173" s="48" t="inlineStr">
        <is>
          <t>Very Likely</t>
        </is>
      </c>
      <c r="I173" s="48">
        <f>COUNTIF('(C) Register of Feedback'!$K$4:$K$600,"Very Likely")</f>
        <v/>
      </c>
      <c r="J173" s="54" t="n"/>
      <c r="K173" s="48" t="inlineStr">
        <is>
          <t>Very easy</t>
        </is>
      </c>
      <c r="L173" s="48">
        <f>COUNTIF('(C) Register of Feedback'!$L$4:$L$600,"Very easy")</f>
        <v/>
      </c>
      <c r="M173" s="54" t="n"/>
      <c r="N173" s="48" t="inlineStr">
        <is>
          <t>Sufficient support</t>
        </is>
      </c>
      <c r="O173" s="48">
        <f>COUNTIF('(C) Register of Feedback'!$I$4:$I$600,"Sufficient support")</f>
        <v/>
      </c>
      <c r="P173" s="54" t="n"/>
    </row>
    <row r="174">
      <c r="A174" s="54" t="n"/>
      <c r="B174" s="48" t="inlineStr">
        <is>
          <t>Good</t>
        </is>
      </c>
      <c r="C174" s="48">
        <f>COUNTIF('(C) Register of Feedback'!$H$4:$H$600,"Good")</f>
        <v/>
      </c>
      <c r="D174" s="54" t="n"/>
      <c r="E174" s="48" t="inlineStr">
        <is>
          <t>I am slightly more confident</t>
        </is>
      </c>
      <c r="F174" s="48">
        <f>COUNTIF('(C) Register of Feedback'!$J$4:$J$600,"I am slightly more confident")</f>
        <v/>
      </c>
      <c r="G174" s="54" t="n"/>
      <c r="H174" s="48" t="inlineStr">
        <is>
          <t>Likely</t>
        </is>
      </c>
      <c r="I174" s="48">
        <f>COUNTIF('(C) Register of Feedback'!$K$4:$K$600,"Likely")</f>
        <v/>
      </c>
      <c r="J174" s="54" t="n"/>
      <c r="K174" s="48" t="inlineStr">
        <is>
          <t>Easy</t>
        </is>
      </c>
      <c r="L174" s="48">
        <f>COUNTIF('(C) Register of Feedback'!$L$4:$L$600,"Easy")</f>
        <v/>
      </c>
      <c r="M174" s="54" t="n"/>
      <c r="N174" s="48" t="inlineStr">
        <is>
          <t>Somewhat sufficient support</t>
        </is>
      </c>
      <c r="O174" s="48">
        <f>COUNTIF('(C) Register of Feedback'!$I$4:$I$600,"Somewhat sufficient support")</f>
        <v/>
      </c>
      <c r="P174" s="54" t="n"/>
    </row>
    <row r="175">
      <c r="A175" s="54" t="n"/>
      <c r="B175" s="48" t="inlineStr">
        <is>
          <t>Neither Bad or Good</t>
        </is>
      </c>
      <c r="C175" s="48">
        <f>COUNTIF('(C) Register of Feedback'!$H$4:$H$600,"Neither Bad or Good")</f>
        <v/>
      </c>
      <c r="D175" s="54" t="n"/>
      <c r="E175" s="48" t="inlineStr">
        <is>
          <t>My confidence has not changed</t>
        </is>
      </c>
      <c r="F175" s="48">
        <f>COUNTIF('(C) Register of Feedback'!$J$4:$J$600,"My confidence has not changed")</f>
        <v/>
      </c>
      <c r="G175" s="54" t="n"/>
      <c r="H175" s="48" t="inlineStr">
        <is>
          <t>Neither Likely or Unlikely</t>
        </is>
      </c>
      <c r="I175" s="48">
        <f>COUNTIF('(C) Register of Feedback'!$K$4:$K$600,"Neither Likely or Unlikely")</f>
        <v/>
      </c>
      <c r="J175" s="54" t="n"/>
      <c r="K175" s="48" t="inlineStr">
        <is>
          <t>Neither Difficult or Easy</t>
        </is>
      </c>
      <c r="L175" s="48">
        <f>COUNTIF('(C) Register of Feedback'!$L$4:$L$600,"Neither Difficult or Easy")</f>
        <v/>
      </c>
      <c r="M175" s="54" t="n"/>
      <c r="N175" s="48" t="inlineStr">
        <is>
          <t>Neither insufficient or sufficient support</t>
        </is>
      </c>
      <c r="O175" s="48">
        <f>COUNTIF('(C) Register of Feedback'!$I$4:$I$600,"Neither insufficient or sufficient support")</f>
        <v/>
      </c>
      <c r="P175" s="54" t="n"/>
    </row>
    <row r="176">
      <c r="A176" s="54" t="n"/>
      <c r="B176" s="48" t="inlineStr">
        <is>
          <t>Bad</t>
        </is>
      </c>
      <c r="C176" s="48">
        <f>COUNTIF('(C) Register of Feedback'!$H$4:$H$600,"Bad")</f>
        <v/>
      </c>
      <c r="D176" s="54" t="n"/>
      <c r="E176" s="48" t="inlineStr">
        <is>
          <t>Remarkably improvement</t>
        </is>
      </c>
      <c r="F176" s="48">
        <f>COUNTIF('(C) Register of Feedback'!$J$4:$J$600,"Remarkably improvement")</f>
        <v/>
      </c>
      <c r="G176" s="54" t="n"/>
      <c r="H176" s="48" t="inlineStr">
        <is>
          <t>Unlikely</t>
        </is>
      </c>
      <c r="I176" s="48">
        <f>COUNTIF('(C) Register of Feedback'!$K$4:$K$600,"Unlikely")</f>
        <v/>
      </c>
      <c r="J176" s="54" t="n"/>
      <c r="K176" s="48" t="inlineStr">
        <is>
          <t>Difficult</t>
        </is>
      </c>
      <c r="L176" s="48">
        <f>COUNTIF('(C) Register of Feedback'!$L$4:$L$600,"Difficult")</f>
        <v/>
      </c>
      <c r="M176" s="54" t="n"/>
      <c r="N176" s="48" t="inlineStr">
        <is>
          <t>Somewhat insufficient support</t>
        </is>
      </c>
      <c r="O176" s="48">
        <f>COUNTIF('(C) Register of Feedback'!$I$4:$I$600,"Somewhat insufficient support")</f>
        <v/>
      </c>
      <c r="P176" s="54" t="n"/>
    </row>
    <row r="177">
      <c r="A177" s="54" t="n"/>
      <c r="B177" s="48" t="inlineStr">
        <is>
          <t>Very Bad</t>
        </is>
      </c>
      <c r="C177" s="48">
        <f>COUNTIF('(C) Register of Feedback'!$H$4:$H$600,"Very Bad")</f>
        <v/>
      </c>
      <c r="D177" s="54" t="n"/>
      <c r="E177" s="48" t="inlineStr">
        <is>
          <t>Some improvement</t>
        </is>
      </c>
      <c r="F177" s="48">
        <f>COUNTIF('(C) Register of Feedback'!$J$4:$J$600,"Some improvement")</f>
        <v/>
      </c>
      <c r="G177" s="54" t="n"/>
      <c r="H177" s="48" t="inlineStr">
        <is>
          <t>Very Unlikely</t>
        </is>
      </c>
      <c r="I177" s="48">
        <f>COUNTIF('(C) Register of Feedback'!$K$4:$K$600,"Very Unlikely")</f>
        <v/>
      </c>
      <c r="J177" s="54" t="n"/>
      <c r="K177" s="48" t="inlineStr">
        <is>
          <t>Very Difficult</t>
        </is>
      </c>
      <c r="L177" s="48">
        <f>COUNTIF('(C) Register of Feedback'!$L$4:$L$600,"Very Difficult")</f>
        <v/>
      </c>
      <c r="M177" s="54" t="n"/>
      <c r="N177" s="48" t="inlineStr">
        <is>
          <t>Insufficient support</t>
        </is>
      </c>
      <c r="O177" s="48">
        <f>COUNTIF('(C) Register of Feedback'!$I$4:$I$600,"Insufficient support")</f>
        <v/>
      </c>
      <c r="P177" s="54" t="n"/>
    </row>
    <row r="178">
      <c r="A178" s="54" t="n"/>
      <c r="E178" s="48" t="inlineStr">
        <is>
          <t>Neither improved or deteriorated</t>
        </is>
      </c>
      <c r="F178" s="48">
        <f>COUNTIF('(C) Register of Feedback'!$J$4:$J$600,"Neither improved or deteriorated")</f>
        <v/>
      </c>
      <c r="G178" s="54" t="n"/>
    </row>
    <row r="179">
      <c r="A179" s="54" t="n"/>
      <c r="E179" s="48" t="inlineStr">
        <is>
          <t>Deteriorated</t>
        </is>
      </c>
      <c r="F179" s="48">
        <f>COUNTIF('(C) Register of Feedback'!$J$4:$J$600,"Deteriorated")</f>
        <v/>
      </c>
      <c r="G179" s="54" t="n"/>
    </row>
    <row r="180">
      <c r="A180" s="54" t="n"/>
    </row>
    <row r="181">
      <c r="A181" s="54" t="n"/>
    </row>
    <row r="182">
      <c r="A182" s="54" t="n"/>
    </row>
    <row r="183">
      <c r="A183" s="54" t="n"/>
    </row>
    <row r="184">
      <c r="A184" s="54" t="n"/>
    </row>
    <row r="185">
      <c r="A185" s="54" t="n"/>
    </row>
    <row r="186">
      <c r="A186" s="54" t="n"/>
    </row>
    <row r="187">
      <c r="A187" s="54" t="n"/>
    </row>
    <row r="188">
      <c r="A188" s="54" t="n"/>
    </row>
    <row r="189">
      <c r="A189" s="54" t="n"/>
    </row>
    <row r="190">
      <c r="A190" s="54" t="n"/>
    </row>
    <row r="191">
      <c r="A191" s="54" t="n"/>
    </row>
    <row r="192">
      <c r="A192" s="54" t="n"/>
    </row>
    <row r="193">
      <c r="A193" s="54" t="n"/>
    </row>
    <row r="194">
      <c r="A194" s="54" t="n"/>
    </row>
    <row r="195">
      <c r="A195" s="54" t="n"/>
    </row>
    <row r="196">
      <c r="A196" s="54" t="n"/>
    </row>
    <row r="197">
      <c r="A197" s="54" t="n"/>
    </row>
    <row r="198">
      <c r="A198" s="54" t="n"/>
    </row>
    <row r="199">
      <c r="B199" s="50" t="inlineStr">
        <is>
          <t>NOTES / TO BUILD: geographic MAP → Power BI Filled Map (State/Suburb); applications per org per month → PivotTable (Pathway × MonthText); employment/study-outcome capture is recommended as a new structured feedback-form question (not yet collected).</t>
        </is>
      </c>
    </row>
  </sheetData>
  <mergeCells count="1">
    <mergeCell ref="B199:L199"/>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66" t="inlineStr">
        <is>
          <t>ACRIMONIOUS_KEY</t>
        </is>
      </c>
    </row>
    <row r="2">
      <c r="A2" t="inlineStr">
        <is>
          <t>Hindu|Muslim</t>
        </is>
      </c>
    </row>
    <row r="3">
      <c r="A3" t="inlineStr">
        <is>
          <t>India|Pakistan</t>
        </is>
      </c>
    </row>
    <row r="4">
      <c r="A4" t="inlineStr">
        <is>
          <t>Iran|Israel</t>
        </is>
      </c>
    </row>
    <row r="5">
      <c r="A5" t="inlineStr">
        <is>
          <t>Israel|Iran</t>
        </is>
      </c>
    </row>
    <row r="6">
      <c r="A6" t="inlineStr">
        <is>
          <t>Israel|Palestine</t>
        </is>
      </c>
    </row>
    <row r="7">
      <c r="A7" t="inlineStr">
        <is>
          <t>Jewish|Muslim</t>
        </is>
      </c>
    </row>
    <row r="8">
      <c r="A8" t="inlineStr">
        <is>
          <t>Muslim|Hindu</t>
        </is>
      </c>
    </row>
    <row r="9">
      <c r="A9" t="inlineStr">
        <is>
          <t>Muslim|Jewish</t>
        </is>
      </c>
    </row>
    <row r="10">
      <c r="A10" t="inlineStr">
        <is>
          <t>Pakistan|India</t>
        </is>
      </c>
    </row>
    <row r="11">
      <c r="A11" t="inlineStr">
        <is>
          <t>Palestine|Israel</t>
        </is>
      </c>
    </row>
    <row r="12">
      <c r="A12" t="inlineStr">
        <is>
          <t>Russia|Ukraine</t>
        </is>
      </c>
    </row>
    <row r="13">
      <c r="A13" t="inlineStr">
        <is>
          <t>Shia|Sunni</t>
        </is>
      </c>
    </row>
    <row r="14">
      <c r="A14" t="inlineStr">
        <is>
          <t>South Sudan|Sudan</t>
        </is>
      </c>
    </row>
    <row r="15">
      <c r="A15" t="inlineStr">
        <is>
          <t>Sudan|South Sudan</t>
        </is>
      </c>
    </row>
    <row r="16">
      <c r="A16" t="inlineStr">
        <is>
          <t>Sunni|Shia</t>
        </is>
      </c>
    </row>
    <row r="17">
      <c r="A17" t="inlineStr">
        <is>
          <t>Ukraine|Russia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AS124"/>
  <sheetViews>
    <sheetView showGridLines="0" workbookViewId="0">
      <pane xSplit="1" ySplit="24" topLeftCell="B25" activePane="bottomRight" state="frozen"/>
      <selection pane="topRight"/>
      <selection pane="bottomLeft"/>
      <selection pane="bottomRight" activeCell="A1" sqref="A1"/>
    </sheetView>
  </sheetViews>
  <sheetFormatPr baseColWidth="8" defaultRowHeight="15"/>
  <cols>
    <col width="6" customWidth="1" min="2" max="2"/>
    <col width="13" customWidth="1" min="3" max="3"/>
    <col width="18" customWidth="1" min="4" max="4"/>
    <col width="16" customWidth="1" min="5" max="5"/>
    <col width="6" customWidth="1" min="6" max="6"/>
    <col width="10" customWidth="1" min="7" max="7"/>
    <col width="14" customWidth="1" min="8" max="8"/>
    <col width="11" customWidth="1" min="9" max="9"/>
    <col width="18" customWidth="1" min="10" max="10"/>
    <col width="9" customWidth="1" min="11" max="11"/>
    <col width="11" customWidth="1" min="12" max="12"/>
    <col width="7" customWidth="1" min="13" max="13"/>
    <col width="5" customWidth="1" min="14" max="14"/>
    <col width="9" customWidth="1" min="15" max="15"/>
    <col width="7" customWidth="1" min="16" max="16"/>
    <col width="7" customWidth="1" min="17" max="17"/>
    <col width="9"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7" customWidth="1" min="30" max="30"/>
    <col width="60"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2">
      <c r="B2" s="1" t="inlineStr">
        <is>
          <t>(E) Pairing Engine — deterministic candidate finder</t>
        </is>
      </c>
    </row>
    <row r="3" ht="42" customHeight="1">
      <c r="B3" s="67" t="inlineStr">
        <is>
          <t>Pick a Student awaiting a pairing. Every tutor is scored against the point system in the program’s matching rules: eligibility is a hard gate (status, capacity, blacklist, both parties vetted, an overlapping 3-hour AEST block, and shared language where the student is A1); then priority scoring adds or subtracts points. Eligible tutors are ranked. Reads the Register read-only — recording the chosen pairing stays a manual step in (B).</t>
        </is>
      </c>
    </row>
    <row r="5">
      <c r="B5" s="66" t="inlineStr">
        <is>
          <t>Student to pair →</t>
        </is>
      </c>
      <c r="C5" s="68" t="inlineStr">
        <is>
          <t>S-O-00042</t>
        </is>
      </c>
      <c r="E5" s="66" t="inlineStr">
        <is>
          <t>Eligible candidates →</t>
        </is>
      </c>
      <c r="F5" s="66">
        <f>COUNTIF($R$25:$R$124,"Yes")</f>
        <v/>
      </c>
    </row>
    <row r="6">
      <c r="B6" s="66" t="inlineStr">
        <is>
          <t>Name</t>
        </is>
      </c>
      <c r="C6" s="67">
        <f>IFERROR(VLOOKUP($C$5,'(B) Register of Participants'!$A:$DJ,2,FALSE),"")</f>
        <v/>
      </c>
      <c r="E6" s="66" t="inlineStr">
        <is>
          <t>Status warning →</t>
        </is>
      </c>
      <c r="F6" s="69">
        <f>IF(OR(IFERROR(VLOOKUP($C$5,'(B) Register of Participants'!$A:$DJ,10,FALSE),"")="ADM-ACT-UNMAT",IFERROR(VLOOKUP($C$5,'(B) Register of Participants'!$A:$DJ,10,FALSE),"")="ADM-ACT-MAT-CNE"),"OK — awaiting/with capacity","⚠ Selected participant is not awaiting a pairing")</f>
        <v/>
      </c>
      <c r="AR6" s="70" t="inlineStr">
        <is>
          <t>sgender</t>
        </is>
      </c>
      <c r="AS6">
        <f>IFERROR(VLOOKUP($C$5,'(B) Register of Participants'!$A:$DJ,38,FALSE),"")</f>
        <v/>
      </c>
    </row>
    <row r="7">
      <c r="B7" s="66" t="inlineStr">
        <is>
          <t>Status</t>
        </is>
      </c>
      <c r="C7" s="67">
        <f>IFERROR(VLOOKUP($C$5,'(B) Register of Participants'!$A:$DJ,10,FALSE),"")</f>
        <v/>
      </c>
      <c r="AR7" s="70" t="inlineStr">
        <is>
          <t>sopt</t>
        </is>
      </c>
      <c r="AS7">
        <f>IFERROR(VLOOKUP($C$5,'(B) Register of Participants'!$A:$DJ,39,FALSE),"")</f>
        <v/>
      </c>
    </row>
    <row r="8">
      <c r="B8" s="66" t="inlineStr">
        <is>
          <t>Gender</t>
        </is>
      </c>
      <c r="C8" s="67">
        <f>IFERROR(VLOOKUP($C$5,'(B) Register of Participants'!$A:$DJ,38,FALSE),"")</f>
        <v/>
      </c>
      <c r="AR8" s="70" t="inlineStr">
        <is>
          <t>seng</t>
        </is>
      </c>
      <c r="AS8">
        <f>IFERROR(VLOOKUP($C$5,'(B) Register of Participants'!$A:$DJ,40,FALSE),"")</f>
        <v/>
      </c>
    </row>
    <row r="9">
      <c r="B9" s="66" t="inlineStr">
        <is>
          <t>Same-gender required</t>
        </is>
      </c>
      <c r="C9" s="67">
        <f>IFERROR(VLOOKUP($C$5,'(B) Register of Participants'!$A:$DJ,39,FALSE),"")</f>
        <v/>
      </c>
      <c r="AR9" s="70" t="inlineStr">
        <is>
          <t>snat</t>
        </is>
      </c>
      <c r="AS9">
        <f>IFERROR(VLOOKUP($C$5,'(B) Register of Participants'!$A:$DJ,42,FALSE),"")</f>
        <v/>
      </c>
    </row>
    <row r="10">
      <c r="B10" s="66" t="inlineStr">
        <is>
          <t>English (CEFR)</t>
        </is>
      </c>
      <c r="C10" s="67">
        <f>IFERROR(VLOOKUP($C$5,'(B) Register of Participants'!$A:$DJ,40,FALSE),"")</f>
        <v/>
      </c>
      <c r="AR10" s="70" t="inlineStr">
        <is>
          <t>scat</t>
        </is>
      </c>
      <c r="AS10">
        <f>IFERROR(VLOOKUP($C$5,'(B) Register of Participants'!$A:$DJ,46,FALSE),"")</f>
        <v/>
      </c>
    </row>
    <row r="11">
      <c r="B11" s="66" t="inlineStr">
        <is>
          <t>Linguistic background</t>
        </is>
      </c>
      <c r="C11" s="67">
        <f>IFERROR(VLOOKUP($C$5,'(B) Register of Participants'!$A:$DJ,44,FALSE),"")</f>
        <v/>
      </c>
      <c r="AR11" s="70" t="inlineStr">
        <is>
          <t>smode</t>
        </is>
      </c>
      <c r="AS11">
        <f>IFERROR(VLOOKUP($C$5,'(B) Register of Participants'!$A:$DJ,31,FALSE),"")</f>
        <v/>
      </c>
    </row>
    <row r="12">
      <c r="B12" s="66" t="inlineStr">
        <is>
          <t>National background</t>
        </is>
      </c>
      <c r="C12" s="67">
        <f>IFERROR(VLOOKUP($C$5,'(B) Register of Participants'!$A:$DJ,42,FALSE),"")</f>
        <v/>
      </c>
      <c r="AR12" s="70" t="inlineStr">
        <is>
          <t>sage</t>
        </is>
      </c>
      <c r="AS12">
        <f>IFERROR(VLOOKUP($C$5,'(B) Register of Participants'!$A:$DJ,103,FALSE),"")</f>
        <v/>
      </c>
    </row>
    <row r="13">
      <c r="B13" s="66" t="inlineStr">
        <is>
          <t>Religious background</t>
        </is>
      </c>
      <c r="C13" s="67">
        <f>IFERROR(VLOOKUP($C$5,'(B) Register of Participants'!$A:$DJ,45,FALSE),"")</f>
        <v/>
      </c>
      <c r="AR13" s="70" t="inlineStr">
        <is>
          <t>sdayswait</t>
        </is>
      </c>
      <c r="AS13">
        <f>IFERROR(VLOOKUP($C$5,'(B) Register of Participants'!$A:$DJ,101,FALSE),"")</f>
        <v/>
      </c>
    </row>
    <row r="14">
      <c r="B14" s="66" t="inlineStr">
        <is>
          <t>Job / Study Category</t>
        </is>
      </c>
      <c r="C14" s="67">
        <f>IFERROR(VLOOKUP($C$5,'(B) Register of Participants'!$A:$DJ,46,FALSE),"")</f>
        <v/>
      </c>
      <c r="AR14" s="70" t="inlineStr">
        <is>
          <t>snat1</t>
        </is>
      </c>
      <c r="AS14">
        <f>TRIM(IFERROR(LEFT($AS$9,FIND(";",$AS$9)-1),$AS$9))</f>
        <v/>
      </c>
    </row>
    <row r="15">
      <c r="B15" s="66" t="inlineStr">
        <is>
          <t>Mode</t>
        </is>
      </c>
      <c r="C15" s="67">
        <f>IFERROR(VLOOKUP($C$5,'(B) Register of Participants'!$A:$DJ,31,FALSE),"")</f>
        <v/>
      </c>
      <c r="AR15" s="70" t="inlineStr">
        <is>
          <t>snat2</t>
        </is>
      </c>
      <c r="AS15">
        <f>IF(ISNUMBER(FIND(";",$AS$9)),TRIM(MID($AS$9,FIND(";",$AS$9)+1,80)),"")</f>
        <v/>
      </c>
    </row>
    <row r="16">
      <c r="B16" s="66" t="inlineStr">
        <is>
          <t>Technology access</t>
        </is>
      </c>
      <c r="C16" s="67">
        <f>IFERROR(VLOOKUP($C$5,'(B) Register of Participants'!$A:$DJ,32,FALSE),"")</f>
        <v/>
      </c>
      <c r="AR16" s="70" t="inlineStr">
        <is>
          <t>slingbase</t>
        </is>
      </c>
      <c r="AS16">
        <f>TRIM(IFERROR(LEFT((IFERROR(VLOOKUP($C$5,'(B) Register of Participants'!$A:$DJ,44,FALSE),"")),FIND(" (",(IFERROR(VLOOKUP($C$5,'(B) Register of Participants'!$A:$DJ,44,FALSE),"")))-1),(IFERROR(VLOOKUP($C$5,'(B) Register of Participants'!$A:$DJ,44,FALSE),""))))</f>
        <v/>
      </c>
    </row>
    <row r="17">
      <c r="B17" s="66" t="inlineStr">
        <is>
          <t>Suburb</t>
        </is>
      </c>
      <c r="C17" s="67">
        <f>IFERROR(VLOOKUP($C$5,'(B) Register of Participants'!$A:$DJ,35,FALSE),"")</f>
        <v/>
      </c>
      <c r="AR17" s="70" t="inlineStr">
        <is>
          <t>slingnorm</t>
        </is>
      </c>
      <c r="AS17">
        <f>IF(ISNUMBER(SEARCH("Mandarin",(IFERROR(VLOOKUP($C$5,'(B) Register of Participants'!$A:$DJ,44,FALSE),"")))),"Mandarin",IF(ISNUMBER(SEARCH("Cantonese",(IFERROR(VLOOKUP($C$5,'(B) Register of Participants'!$A:$DJ,44,FALSE),"")))),"Cantonese",IF(OR($AS$16="Dari",$AS$16="Farsi",$AS$16="Persian",$AS$16="Hazaragi"),"Persian",$AS$16)))</f>
        <v/>
      </c>
    </row>
    <row r="18">
      <c r="B18" s="66" t="inlineStr">
        <is>
          <t>Postcode</t>
        </is>
      </c>
      <c r="C18" s="67">
        <f>IFERROR(VLOOKUP($C$5,'(B) Register of Participants'!$A:$DJ,36,FALSE),"")</f>
        <v/>
      </c>
      <c r="AR18" s="70" t="inlineStr">
        <is>
          <t>sling2raw</t>
        </is>
      </c>
      <c r="AS18">
        <f>IF(ISNUMBER(FIND(";",(IFERROR(VLOOKUP($C$5,'(B) Register of Participants'!$A:$DJ,44,FALSE),"")))),TRIM(MID((IFERROR(VLOOKUP($C$5,'(B) Register of Participants'!$A:$DJ,44,FALSE),"")),FIND(";",(IFERROR(VLOOKUP($C$5,'(B) Register of Participants'!$A:$DJ,44,FALSE),"")))+1,80)),"")</f>
        <v/>
      </c>
    </row>
    <row r="19">
      <c r="B19" s="66" t="inlineStr">
        <is>
          <t>Age</t>
        </is>
      </c>
      <c r="C19" s="67">
        <f>IFERROR(VLOOKUP($C$5,'(B) Register of Participants'!$A:$DJ,103,FALSE),"")</f>
        <v/>
      </c>
      <c r="AR19" s="70" t="inlineStr">
        <is>
          <t>slingbase2</t>
        </is>
      </c>
      <c r="AS19">
        <f>TRIM(IFERROR(LEFT($AS$18,FIND(" (",$AS$18)-1),$AS$18))</f>
        <v/>
      </c>
    </row>
    <row r="20">
      <c r="B20" s="66" t="inlineStr">
        <is>
          <t>Days waiting</t>
        </is>
      </c>
      <c r="C20" s="67">
        <f>IFERROR(VLOOKUP($C$5,'(B) Register of Participants'!$A:$DJ,101,FALSE),"")</f>
        <v/>
      </c>
      <c r="AR20" s="70" t="inlineStr">
        <is>
          <t>slingnorm2</t>
        </is>
      </c>
      <c r="AS20">
        <f>IF(ISNUMBER(SEARCH("Mandarin",$AS$18)),"Mandarin",IF(ISNUMBER(SEARCH("Cantonese",$AS$18)),"Cantonese",IF(OR($AS$19="Dari",$AS$19="Farsi",$AS$19="Persian",$AS$19="Hazaragi"),"Persian",$AS$19)))</f>
        <v/>
      </c>
    </row>
    <row r="21">
      <c r="B21" s="66" t="inlineStr">
        <is>
          <t>Availability</t>
        </is>
      </c>
      <c r="C21" s="67">
        <f>IFERROR(VLOOKUP($C$5,'(B) Register of Participants'!$A:$DJ,114,FALSE),"")</f>
        <v/>
      </c>
      <c r="AR21" s="70" t="inlineStr">
        <is>
          <t>srelbase</t>
        </is>
      </c>
      <c r="AS21">
        <f>TRIM(IFERROR(LEFT((IFERROR(VLOOKUP($C$5,'(B) Register of Participants'!$A:$DJ,45,FALSE),"")),FIND(" (",(IFERROR(VLOOKUP($C$5,'(B) Register of Participants'!$A:$DJ,45,FALSE),"")))-1),(IFERROR(VLOOKUP($C$5,'(B) Register of Participants'!$A:$DJ,45,FALSE),""))))</f>
        <v/>
      </c>
    </row>
    <row r="22">
      <c r="B22" s="50" t="inlineStr">
        <is>
          <t>Scoring (each at most once per pair): −8 acrimonious background · +7 A2/B1 &amp; shared language · +5 same-sex · −5 B2/C1/C2 &amp; shared language · −5 online without laptop/tablet · +3 same mode · +3 in-person &amp; postcode ≤50 · +3 same category · +3 waiting ≥150 days · +2 same religion · +2 shared nationality · +2 age within 10 yrs.</t>
        </is>
      </c>
      <c r="AR22" s="70" t="inlineStr">
        <is>
          <t>spc</t>
        </is>
      </c>
      <c r="AS22">
        <f>IFERROR(VALUE(IFERROR(VLOOKUP($C$5,'(B) Register of Participants'!$A:$DJ,36,FALSE),"")),"")</f>
        <v/>
      </c>
    </row>
    <row r="23">
      <c r="AR23" s="70" t="inlineStr">
        <is>
          <t>stech</t>
        </is>
      </c>
      <c r="AS23">
        <f>IFERROR(VLOOKUP($C$5,'(B) Register of Participants'!$A:$DJ,32,FALSE),"")</f>
        <v/>
      </c>
    </row>
    <row r="24">
      <c r="B24" s="71" t="inlineStr">
        <is>
          <t>Rank</t>
        </is>
      </c>
      <c r="C24" s="71" t="inlineStr">
        <is>
          <t>Tutor ID</t>
        </is>
      </c>
      <c r="D24" s="71" t="inlineStr">
        <is>
          <t>Tutor Name</t>
        </is>
      </c>
      <c r="E24" s="71" t="inlineStr">
        <is>
          <t>Status</t>
        </is>
      </c>
      <c r="F24" s="71" t="inlineStr">
        <is>
          <t>Spare</t>
        </is>
      </c>
      <c r="G24" s="71" t="inlineStr">
        <is>
          <t>Gender</t>
        </is>
      </c>
      <c r="H24" s="71" t="inlineStr">
        <is>
          <t>Nat.</t>
        </is>
      </c>
      <c r="I24" s="71" t="inlineStr">
        <is>
          <t>Relig.</t>
        </is>
      </c>
      <c r="J24" s="71" t="inlineStr">
        <is>
          <t>Job/Study Cat</t>
        </is>
      </c>
      <c r="K24" s="71" t="inlineStr">
        <is>
          <t>Mode</t>
        </is>
      </c>
      <c r="L24" s="71" t="inlineStr">
        <is>
          <t>Tech</t>
        </is>
      </c>
      <c r="M24" s="71" t="inlineStr">
        <is>
          <t>PCode</t>
        </is>
      </c>
      <c r="N24" s="71" t="inlineStr">
        <is>
          <t>Age</t>
        </is>
      </c>
      <c r="O24" s="71" t="inlineStr">
        <is>
          <t>DaysWait</t>
        </is>
      </c>
      <c r="P24" s="71" t="inlineStr">
        <is>
          <t>Overlap</t>
        </is>
      </c>
      <c r="Q24" s="71" t="inlineStr">
        <is>
          <t>ShLang</t>
        </is>
      </c>
      <c r="R24" s="71" t="inlineStr">
        <is>
          <t>Eligible</t>
        </is>
      </c>
      <c r="S24" s="71" t="inlineStr">
        <is>
          <t>−8 acr</t>
        </is>
      </c>
      <c r="T24" s="71" t="inlineStr">
        <is>
          <t>lang</t>
        </is>
      </c>
      <c r="U24" s="71" t="inlineStr">
        <is>
          <t>+5 sex</t>
        </is>
      </c>
      <c r="V24" s="71" t="inlineStr">
        <is>
          <t>−5 onl</t>
        </is>
      </c>
      <c r="W24" s="71" t="inlineStr">
        <is>
          <t>+3 mode</t>
        </is>
      </c>
      <c r="X24" s="71" t="inlineStr">
        <is>
          <t>+3 prox</t>
        </is>
      </c>
      <c r="Y24" s="71" t="inlineStr">
        <is>
          <t>+3 cat</t>
        </is>
      </c>
      <c r="Z24" s="71" t="inlineStr">
        <is>
          <t>+3 wait</t>
        </is>
      </c>
      <c r="AA24" s="71" t="inlineStr">
        <is>
          <t>+2 rel</t>
        </is>
      </c>
      <c r="AB24" s="71" t="inlineStr">
        <is>
          <t>+2 nat</t>
        </is>
      </c>
      <c r="AC24" s="71" t="inlineStr">
        <is>
          <t>+2 age</t>
        </is>
      </c>
      <c r="AD24" s="71" t="inlineStr">
        <is>
          <t>SCORE</t>
        </is>
      </c>
      <c r="AE24" s="71" t="inlineStr">
        <is>
          <t>Rationale &amp; risks</t>
        </is>
      </c>
      <c r="AF24" s="70" t="inlineStr">
        <is>
          <t>tutBase</t>
        </is>
      </c>
      <c r="AG24" s="70" t="inlineStr">
        <is>
          <t>tutNorm</t>
        </is>
      </c>
      <c r="AH24" s="70" t="inlineStr">
        <is>
          <t>statusOK</t>
        </is>
      </c>
      <c r="AI24" s="70" t="inlineStr">
        <is>
          <t>capOK</t>
        </is>
      </c>
      <c r="AJ24" s="70" t="inlineStr">
        <is>
          <t>tutBlack</t>
        </is>
      </c>
      <c r="AK24" s="70" t="inlineStr">
        <is>
          <t>tutVet</t>
        </is>
      </c>
      <c r="AL24" s="70" t="inlineStr">
        <is>
          <t>doNotPair</t>
        </is>
      </c>
      <c r="AM24" s="70" t="inlineStr">
        <is>
          <t>overlapOK</t>
        </is>
      </c>
      <c r="AN24" s="70" t="inlineStr">
        <is>
          <t>langReqOK</t>
        </is>
      </c>
      <c r="AO24" s="70" t="inlineStr">
        <is>
          <t>tnat1</t>
        </is>
      </c>
      <c r="AP24" s="70" t="inlineStr">
        <is>
          <t>tnat2</t>
        </is>
      </c>
      <c r="AR24" s="70" t="inlineStr">
        <is>
          <t>stechlacks</t>
        </is>
      </c>
      <c r="AS24">
        <f>OR($AS$23="Phone",$AS$23="None",$AS$23="",$AS$23="NA")</f>
        <v/>
      </c>
    </row>
    <row r="25">
      <c r="B25" s="20">
        <f>IF(R25="Yes",RANK(AD25,$AD$25:$AD$124),"")</f>
        <v/>
      </c>
      <c r="C25" s="20">
        <f>'(B) Register of Participants'!$A$3</f>
        <v/>
      </c>
      <c r="D25" s="20">
        <f>'(B) Register of Participants'!$B$3</f>
        <v/>
      </c>
      <c r="E25" s="20">
        <f>'(B) Register of Participants'!$J$3</f>
        <v/>
      </c>
      <c r="F25" s="20">
        <f>IFERROR('(B) Register of Participants'!$O$3-'(B) Register of Participants'!$P$3,0)</f>
        <v/>
      </c>
      <c r="G25" s="20">
        <f>'(B) Register of Participants'!$AL$3</f>
        <v/>
      </c>
      <c r="H25" s="20">
        <f>'(B) Register of Participants'!$AP$3</f>
        <v/>
      </c>
      <c r="I25" s="20">
        <f>TRIM(IFERROR(LEFT('(B) Register of Participants'!$AS$3,FIND(" (",'(B) Register of Participants'!$AS$3)-1),'(B) Register of Participants'!$AS$3))</f>
        <v/>
      </c>
      <c r="J25" s="20">
        <f>'(B) Register of Participants'!$AT$3</f>
        <v/>
      </c>
      <c r="K25" s="20">
        <f>'(B) Register of Participants'!$AE$3</f>
        <v/>
      </c>
      <c r="L25" s="20">
        <f>'(B) Register of Participants'!$AF$3</f>
        <v/>
      </c>
      <c r="M25" s="20">
        <f>'(B) Register of Participants'!$AJ$3</f>
        <v/>
      </c>
      <c r="N25" s="20">
        <f>'(B) Register of Participants'!$CY$3</f>
        <v/>
      </c>
      <c r="O25" s="20">
        <f>'(B) Register of Participants'!$CW$3</f>
        <v/>
      </c>
      <c r="P25" s="20">
        <f>(ISNUMBER(SEARCH("6am-9am",$AS$27))*ISNUMBER(SEARCH("6am-9am",'(B) Register of Participants'!$X$3)))+(ISNUMBER(SEARCH("9am-12pm",$AS$27))*ISNUMBER(SEARCH("9am-12pm",'(B) Register of Participants'!$X$3)))+(ISNUMBER(SEARCH("12pm-3pm",$AS$27))*ISNUMBER(SEARCH("12pm-3pm",'(B) Register of Participants'!$X$3)))+(ISNUMBER(SEARCH("3pm-6pm",$AS$27))*ISNUMBER(SEARCH("3pm-6pm",'(B) Register of Participants'!$X$3)))+(ISNUMBER(SEARCH("6pm-9pm",$AS$27))*ISNUMBER(SEARCH("6pm-9pm",'(B) Register of Participants'!$X$3)))+(ISNUMBER(SEARCH("6am-9am",$AS$28))*ISNUMBER(SEARCH("6am-9am",'(B) Register of Participants'!$Y$3)))+(ISNUMBER(SEARCH("9am-12pm",$AS$28))*ISNUMBER(SEARCH("9am-12pm",'(B) Register of Participants'!$Y$3)))+(ISNUMBER(SEARCH("12pm-3pm",$AS$28))*ISNUMBER(SEARCH("12pm-3pm",'(B) Register of Participants'!$Y$3)))+(ISNUMBER(SEARCH("3pm-6pm",$AS$28))*ISNUMBER(SEARCH("3pm-6pm",'(B) Register of Participants'!$Y$3)))+(ISNUMBER(SEARCH("6pm-9pm",$AS$28))*ISNUMBER(SEARCH("6pm-9pm",'(B) Register of Participants'!$Y$3)))+(ISNUMBER(SEARCH("6am-9am",$AS$29))*ISNUMBER(SEARCH("6am-9am",'(B) Register of Participants'!$Z$3)))+(ISNUMBER(SEARCH("9am-12pm",$AS$29))*ISNUMBER(SEARCH("9am-12pm",'(B) Register of Participants'!$Z$3)))+(ISNUMBER(SEARCH("12pm-3pm",$AS$29))*ISNUMBER(SEARCH("12pm-3pm",'(B) Register of Participants'!$Z$3)))+(ISNUMBER(SEARCH("3pm-6pm",$AS$29))*ISNUMBER(SEARCH("3pm-6pm",'(B) Register of Participants'!$Z$3)))+(ISNUMBER(SEARCH("6pm-9pm",$AS$29))*ISNUMBER(SEARCH("6pm-9pm",'(B) Register of Participants'!$Z$3)))+(ISNUMBER(SEARCH("6am-9am",$AS$30))*ISNUMBER(SEARCH("6am-9am",'(B) Register of Participants'!$AA$3)))+(ISNUMBER(SEARCH("9am-12pm",$AS$30))*ISNUMBER(SEARCH("9am-12pm",'(B) Register of Participants'!$AA$3)))+(ISNUMBER(SEARCH("12pm-3pm",$AS$30))*ISNUMBER(SEARCH("12pm-3pm",'(B) Register of Participants'!$AA$3)))+(ISNUMBER(SEARCH("3pm-6pm",$AS$30))*ISNUMBER(SEARCH("3pm-6pm",'(B) Register of Participants'!$AA$3)))+(ISNUMBER(SEARCH("6pm-9pm",$AS$30))*ISNUMBER(SEARCH("6pm-9pm",'(B) Register of Participants'!$AA$3)))+(ISNUMBER(SEARCH("6am-9am",$AS$31))*ISNUMBER(SEARCH("6am-9am",'(B) Register of Participants'!$AB$3)))+(ISNUMBER(SEARCH("9am-12pm",$AS$31))*ISNUMBER(SEARCH("9am-12pm",'(B) Register of Participants'!$AB$3)))+(ISNUMBER(SEARCH("12pm-3pm",$AS$31))*ISNUMBER(SEARCH("12pm-3pm",'(B) Register of Participants'!$AB$3)))+(ISNUMBER(SEARCH("3pm-6pm",$AS$31))*ISNUMBER(SEARCH("3pm-6pm",'(B) Register of Participants'!$AB$3)))+(ISNUMBER(SEARCH("6pm-9pm",$AS$31))*ISNUMBER(SEARCH("6pm-9pm",'(B) Register of Participants'!$AB$3)))+(ISNUMBER(SEARCH("6am-9am",$AS$32))*ISNUMBER(SEARCH("6am-9am",'(B) Register of Participants'!$AC$3)))+(ISNUMBER(SEARCH("9am-12pm",$AS$32))*ISNUMBER(SEARCH("9am-12pm",'(B) Register of Participants'!$AC$3)))+(ISNUMBER(SEARCH("12pm-3pm",$AS$32))*ISNUMBER(SEARCH("12pm-3pm",'(B) Register of Participants'!$AC$3)))+(ISNUMBER(SEARCH("3pm-6pm",$AS$32))*ISNUMBER(SEARCH("3pm-6pm",'(B) Register of Participants'!$AC$3)))+(ISNUMBER(SEARCH("6pm-9pm",$AS$32))*ISNUMBER(SEARCH("6pm-9pm",'(B) Register of Participants'!$AC$3)))+(ISNUMBER(SEARCH("6am-9am",$AS$33))*ISNUMBER(SEARCH("6am-9am",'(B) Register of Participants'!$AD$3)))+(ISNUMBER(SEARCH("9am-12pm",$AS$33))*ISNUMBER(SEARCH("9am-12pm",'(B) Register of Participants'!$AD$3)))+(ISNUMBER(SEARCH("12pm-3pm",$AS$33))*ISNUMBER(SEARCH("12pm-3pm",'(B) Register of Participants'!$AD$3)))+(ISNUMBER(SEARCH("3pm-6pm",$AS$33))*ISNUMBER(SEARCH("3pm-6pm",'(B) Register of Participants'!$AD$3)))+(ISNUMBER(SEARCH("6pm-9pm",$AS$33))*ISNUMBER(SEARCH("6pm-9pm",'(B) Register of Participants'!$AD$3)))</f>
        <v/>
      </c>
      <c r="Q25" s="20">
        <f>IF(OR(AND($AS$17&lt;&gt;"",$AS$17&lt;&gt;"English",IF($AS$17="Persian",OR(ISNUMBER(SEARCH("Dari",'(B) Register of Participants'!$AR$3)),ISNUMBER(SEARCH("Farsi",'(B) Register of Participants'!$AR$3)),ISNUMBER(SEARCH("Persian",'(B) Register of Participants'!$AR$3)),ISNUMBER(SEARCH("Hazaragi",'(B) Register of Participants'!$AR$3))),ISNUMBER(SEARCH($AS$17,'(B) Register of Participants'!$AR$3)))),AND($AS$20&lt;&gt;"",$AS$20&lt;&gt;"English",IF($AS$20="Persian",OR(ISNUMBER(SEARCH("Dari",'(B) Register of Participants'!$AR$3)),ISNUMBER(SEARCH("Farsi",'(B) Register of Participants'!$AR$3)),ISNUMBER(SEARCH("Persian",'(B) Register of Participants'!$AR$3)),ISNUMBER(SEARCH("Hazaragi",'(B) Register of Participants'!$AR$3))),ISNUMBER(SEARCH($AS$20,'(B) Register of Participants'!$AR$3))))),1,0)</f>
        <v/>
      </c>
      <c r="R25" s="20">
        <f>IF(AND(AH25,AI25,NOT(AJ25),NOT($AS$25),AK25,$AS$26,AM25,AN25,NOT(AL25)),"Yes","No")</f>
        <v/>
      </c>
      <c r="S25" s="20">
        <f>IF(OR(COUNTIF('Engine Lists'!$A:$A,$AS$14&amp;"|"&amp;AO25)&gt;0,COUNTIF('Engine Lists'!$A:$A,$AS$14&amp;"|"&amp;AP25)&gt;0,COUNTIF('Engine Lists'!$A:$A,$AS$15&amp;"|"&amp;AO25)&gt;0,COUNTIF('Engine Lists'!$A:$A,$AS$15&amp;"|"&amp;AP25)&gt;0,COUNTIF('Engine Lists'!$A:$A,$AS$21&amp;"|"&amp;I25)&gt;0),-8,0)</f>
        <v/>
      </c>
      <c r="T25" s="20">
        <f>IF(Q25=1,IF(OR($AS$8="A2",$AS$8="B1"),7,IF(OR($AS$8="B2",$AS$8="C1",$AS$8="C2"),-5,0)),0)</f>
        <v/>
      </c>
      <c r="U25" s="20">
        <f>IF(AND($AS$6=G25,OR($AS$6="Male",$AS$6="Female")),5,0)</f>
        <v/>
      </c>
      <c r="V25" s="20">
        <f>IF(AND($AS$24,$AS$11&lt;&gt;"In-Person",K25&lt;&gt;"In-Person"),-5,0)</f>
        <v/>
      </c>
      <c r="W25" s="20">
        <f>IF(OR($AS$11=K25,$AS$11="Either",K25="Either"),3,0)</f>
        <v/>
      </c>
      <c r="X25" s="20">
        <f>IF(AND($AS$11&lt;&gt;"Online",K25&lt;&gt;"Online",ISNUMBER($AS$22),ISNUMBER(IFERROR(VALUE(M25),"x"))),IF(ABS($AS$22-VALUE(M25))&lt;=50,3,0),0)</f>
        <v/>
      </c>
      <c r="Y25" s="20">
        <f>IF(AND($AS$10&lt;&gt;"",$AS$10=J25),3,0)</f>
        <v/>
      </c>
      <c r="Z25" s="20">
        <f>IF(OR(N($AS$13)&gt;=150,N(O25)&gt;=150),3,0)</f>
        <v/>
      </c>
      <c r="AA25" s="20">
        <f>IF(AND($AS$21&lt;&gt;"",$AS$21&lt;&gt;"NA",$AS$21=I25),2,0)</f>
        <v/>
      </c>
      <c r="AB25" s="20">
        <f>IF(OR(AND($AS$14&lt;&gt;"",$AS$14&lt;&gt;"NA",OR($AS$14=AO25,$AS$14=AP25)),AND($AS$15&lt;&gt;"",OR($AS$15=AO25,$AS$15=AP25))),2,0)</f>
        <v/>
      </c>
      <c r="AC25" s="20">
        <f>IF(AND(ISNUMBER($AS$12),ISNUMBER(N25),ABS($AS$12-N25)&lt;=10),2,0)</f>
        <v/>
      </c>
      <c r="AD25" s="20">
        <f>IF(R25="Yes",SUM(S25:AC25),"")</f>
        <v/>
      </c>
      <c r="AE25" s="20">
        <f>IF(R25="Yes","Score "&amp;AD25&amp;": "&amp;TRIM(IF(S25&lt;&gt;0,"−8 acrimonious; ","")&amp;IF(T25=7,"+7 shared language; ","")&amp;IF(T25=-5,"−5 shared lang(adv); ","")&amp;IF(U25=5,"+5 same-sex; ","")&amp;IF(V25=-5,"−5 online no device; ","")&amp;IF(W25=3,"+3 mode; ","")&amp;IF(X25=3,"+3 proximity; ","")&amp;IF(Y25=3,"+3 category; ","")&amp;IF(Z25=3,"+3 long wait; ","")&amp;IF(AA25=2,"+2 religion; ","")&amp;IF(AB25=2,"+2 nationality; ","")&amp;IF(AC25=2,"+2 age; ","")),"Not eligible: "&amp;IF(NOT(AH25),"tutor not pending/with-capacity",IF(NOT(AI25),"no spare capacity",IF(AJ25,"tutor blacklisted",IF($AS$25,"student blacklisted",IF(NOT(AK25),"tutor vetting incomplete",IF(NOT($AS$26),"student vetting incomplete",IF(NOT(AM25),"no overlapping 3h AEST block",IF(NOT(AN25),"A1 student needs a shared language",IF(AL25,"'do not pair' note present",""))))))))))</f>
        <v/>
      </c>
      <c r="AF25">
        <f>TRIM(IFERROR(LEFT('(B) Register of Participants'!$AR$3,FIND(" (",'(B) Register of Participants'!$AR$3)-1),'(B) Register of Participants'!$AR$3))</f>
        <v/>
      </c>
      <c r="AG25">
        <f>IF(ISNUMBER(SEARCH("Mandarin",'(B) Register of Participants'!$AR$3)),"Mandarin",IF(ISNUMBER(SEARCH("Cantonese",'(B) Register of Participants'!$AR$3)),"Cantonese",IF(OR(AF25="Dari",AF25="Farsi",AF25="Persian",AF25="Hazaragi"),"Persian",AF25)))</f>
        <v/>
      </c>
      <c r="AH25">
        <f>OR(E25="ADM-ACT-UNMAT",E25="ADM-ACT-MAT-CNE")</f>
        <v/>
      </c>
      <c r="AI25">
        <f>F25&gt;0</f>
        <v/>
      </c>
      <c r="AJ25">
        <f>LEFT('(B) Register of Participants'!$L$3,3)="Yes"</f>
        <v/>
      </c>
      <c r="AK25">
        <f>AND(OR(LEFT('(B) Register of Participants'!$AY$3,3)="Yes",LEFT('(B) Register of Participants'!$AY$3,2)="NA"),OR(LEFT('(B) Register of Participants'!$AZ$3,3)="Yes",LEFT('(B) Register of Participants'!$AZ$3,2)="NA"))</f>
        <v/>
      </c>
      <c r="AL25">
        <f>OR(ISNUMBER(SEARCH("do not pair",'(B) Register of Participants'!$BL$3)),ISNUMBER(SEARCH("do not pair",'(B) Register of Participants'!$BM$3)))</f>
        <v/>
      </c>
      <c r="AM25">
        <f>P25&gt;0</f>
        <v/>
      </c>
      <c r="AN25">
        <f>IF($AS$8="A1",Q25=1,TRUE)</f>
        <v/>
      </c>
      <c r="AO25">
        <f>TRIM(IFERROR(LEFT('(B) Register of Participants'!$AP$3,FIND(";",'(B) Register of Participants'!$AP$3)-1),'(B) Register of Participants'!$AP$3))</f>
        <v/>
      </c>
      <c r="AP25">
        <f>IF(ISNUMBER(FIND(";",'(B) Register of Participants'!$AP$3)),TRIM(MID('(B) Register of Participants'!$AP$3,FIND(";",'(B) Register of Participants'!$AP$3)+1,80)),"")</f>
        <v/>
      </c>
      <c r="AR25" s="70" t="inlineStr">
        <is>
          <t>sblack</t>
        </is>
      </c>
      <c r="AS25">
        <f>LEFT(IFERROR(VLOOKUP($C$5,'(B) Register of Participants'!$A:$DJ,12,FALSE),""),3)="Yes"</f>
        <v/>
      </c>
    </row>
    <row r="26">
      <c r="B26" s="20">
        <f>IF(R26="Yes",RANK(AD26,$AD$25:$AD$124),"")</f>
        <v/>
      </c>
      <c r="C26" s="20">
        <f>'(B) Register of Participants'!$A$4</f>
        <v/>
      </c>
      <c r="D26" s="20">
        <f>'(B) Register of Participants'!$B$4</f>
        <v/>
      </c>
      <c r="E26" s="20">
        <f>'(B) Register of Participants'!$J$4</f>
        <v/>
      </c>
      <c r="F26" s="20">
        <f>IFERROR('(B) Register of Participants'!$O$4-'(B) Register of Participants'!$P$4,0)</f>
        <v/>
      </c>
      <c r="G26" s="20">
        <f>'(B) Register of Participants'!$AL$4</f>
        <v/>
      </c>
      <c r="H26" s="20">
        <f>'(B) Register of Participants'!$AP$4</f>
        <v/>
      </c>
      <c r="I26" s="20">
        <f>TRIM(IFERROR(LEFT('(B) Register of Participants'!$AS$4,FIND(" (",'(B) Register of Participants'!$AS$4)-1),'(B) Register of Participants'!$AS$4))</f>
        <v/>
      </c>
      <c r="J26" s="20">
        <f>'(B) Register of Participants'!$AT$4</f>
        <v/>
      </c>
      <c r="K26" s="20">
        <f>'(B) Register of Participants'!$AE$4</f>
        <v/>
      </c>
      <c r="L26" s="20">
        <f>'(B) Register of Participants'!$AF$4</f>
        <v/>
      </c>
      <c r="M26" s="20">
        <f>'(B) Register of Participants'!$AJ$4</f>
        <v/>
      </c>
      <c r="N26" s="20">
        <f>'(B) Register of Participants'!$CY$4</f>
        <v/>
      </c>
      <c r="O26" s="20">
        <f>'(B) Register of Participants'!$CW$4</f>
        <v/>
      </c>
      <c r="P26" s="20">
        <f>(ISNUMBER(SEARCH("6am-9am",$AS$27))*ISNUMBER(SEARCH("6am-9am",'(B) Register of Participants'!$X$4)))+(ISNUMBER(SEARCH("9am-12pm",$AS$27))*ISNUMBER(SEARCH("9am-12pm",'(B) Register of Participants'!$X$4)))+(ISNUMBER(SEARCH("12pm-3pm",$AS$27))*ISNUMBER(SEARCH("12pm-3pm",'(B) Register of Participants'!$X$4)))+(ISNUMBER(SEARCH("3pm-6pm",$AS$27))*ISNUMBER(SEARCH("3pm-6pm",'(B) Register of Participants'!$X$4)))+(ISNUMBER(SEARCH("6pm-9pm",$AS$27))*ISNUMBER(SEARCH("6pm-9pm",'(B) Register of Participants'!$X$4)))+(ISNUMBER(SEARCH("6am-9am",$AS$28))*ISNUMBER(SEARCH("6am-9am",'(B) Register of Participants'!$Y$4)))+(ISNUMBER(SEARCH("9am-12pm",$AS$28))*ISNUMBER(SEARCH("9am-12pm",'(B) Register of Participants'!$Y$4)))+(ISNUMBER(SEARCH("12pm-3pm",$AS$28))*ISNUMBER(SEARCH("12pm-3pm",'(B) Register of Participants'!$Y$4)))+(ISNUMBER(SEARCH("3pm-6pm",$AS$28))*ISNUMBER(SEARCH("3pm-6pm",'(B) Register of Participants'!$Y$4)))+(ISNUMBER(SEARCH("6pm-9pm",$AS$28))*ISNUMBER(SEARCH("6pm-9pm",'(B) Register of Participants'!$Y$4)))+(ISNUMBER(SEARCH("6am-9am",$AS$29))*ISNUMBER(SEARCH("6am-9am",'(B) Register of Participants'!$Z$4)))+(ISNUMBER(SEARCH("9am-12pm",$AS$29))*ISNUMBER(SEARCH("9am-12pm",'(B) Register of Participants'!$Z$4)))+(ISNUMBER(SEARCH("12pm-3pm",$AS$29))*ISNUMBER(SEARCH("12pm-3pm",'(B) Register of Participants'!$Z$4)))+(ISNUMBER(SEARCH("3pm-6pm",$AS$29))*ISNUMBER(SEARCH("3pm-6pm",'(B) Register of Participants'!$Z$4)))+(ISNUMBER(SEARCH("6pm-9pm",$AS$29))*ISNUMBER(SEARCH("6pm-9pm",'(B) Register of Participants'!$Z$4)))+(ISNUMBER(SEARCH("6am-9am",$AS$30))*ISNUMBER(SEARCH("6am-9am",'(B) Register of Participants'!$AA$4)))+(ISNUMBER(SEARCH("9am-12pm",$AS$30))*ISNUMBER(SEARCH("9am-12pm",'(B) Register of Participants'!$AA$4)))+(ISNUMBER(SEARCH("12pm-3pm",$AS$30))*ISNUMBER(SEARCH("12pm-3pm",'(B) Register of Participants'!$AA$4)))+(ISNUMBER(SEARCH("3pm-6pm",$AS$30))*ISNUMBER(SEARCH("3pm-6pm",'(B) Register of Participants'!$AA$4)))+(ISNUMBER(SEARCH("6pm-9pm",$AS$30))*ISNUMBER(SEARCH("6pm-9pm",'(B) Register of Participants'!$AA$4)))+(ISNUMBER(SEARCH("6am-9am",$AS$31))*ISNUMBER(SEARCH("6am-9am",'(B) Register of Participants'!$AB$4)))+(ISNUMBER(SEARCH("9am-12pm",$AS$31))*ISNUMBER(SEARCH("9am-12pm",'(B) Register of Participants'!$AB$4)))+(ISNUMBER(SEARCH("12pm-3pm",$AS$31))*ISNUMBER(SEARCH("12pm-3pm",'(B) Register of Participants'!$AB$4)))+(ISNUMBER(SEARCH("3pm-6pm",$AS$31))*ISNUMBER(SEARCH("3pm-6pm",'(B) Register of Participants'!$AB$4)))+(ISNUMBER(SEARCH("6pm-9pm",$AS$31))*ISNUMBER(SEARCH("6pm-9pm",'(B) Register of Participants'!$AB$4)))+(ISNUMBER(SEARCH("6am-9am",$AS$32))*ISNUMBER(SEARCH("6am-9am",'(B) Register of Participants'!$AC$4)))+(ISNUMBER(SEARCH("9am-12pm",$AS$32))*ISNUMBER(SEARCH("9am-12pm",'(B) Register of Participants'!$AC$4)))+(ISNUMBER(SEARCH("12pm-3pm",$AS$32))*ISNUMBER(SEARCH("12pm-3pm",'(B) Register of Participants'!$AC$4)))+(ISNUMBER(SEARCH("3pm-6pm",$AS$32))*ISNUMBER(SEARCH("3pm-6pm",'(B) Register of Participants'!$AC$4)))+(ISNUMBER(SEARCH("6pm-9pm",$AS$32))*ISNUMBER(SEARCH("6pm-9pm",'(B) Register of Participants'!$AC$4)))+(ISNUMBER(SEARCH("6am-9am",$AS$33))*ISNUMBER(SEARCH("6am-9am",'(B) Register of Participants'!$AD$4)))+(ISNUMBER(SEARCH("9am-12pm",$AS$33))*ISNUMBER(SEARCH("9am-12pm",'(B) Register of Participants'!$AD$4)))+(ISNUMBER(SEARCH("12pm-3pm",$AS$33))*ISNUMBER(SEARCH("12pm-3pm",'(B) Register of Participants'!$AD$4)))+(ISNUMBER(SEARCH("3pm-6pm",$AS$33))*ISNUMBER(SEARCH("3pm-6pm",'(B) Register of Participants'!$AD$4)))+(ISNUMBER(SEARCH("6pm-9pm",$AS$33))*ISNUMBER(SEARCH("6pm-9pm",'(B) Register of Participants'!$AD$4)))</f>
        <v/>
      </c>
      <c r="Q26" s="20">
        <f>IF(OR(AND($AS$17&lt;&gt;"",$AS$17&lt;&gt;"English",IF($AS$17="Persian",OR(ISNUMBER(SEARCH("Dari",'(B) Register of Participants'!$AR$4)),ISNUMBER(SEARCH("Farsi",'(B) Register of Participants'!$AR$4)),ISNUMBER(SEARCH("Persian",'(B) Register of Participants'!$AR$4)),ISNUMBER(SEARCH("Hazaragi",'(B) Register of Participants'!$AR$4))),ISNUMBER(SEARCH($AS$17,'(B) Register of Participants'!$AR$4)))),AND($AS$20&lt;&gt;"",$AS$20&lt;&gt;"English",IF($AS$20="Persian",OR(ISNUMBER(SEARCH("Dari",'(B) Register of Participants'!$AR$4)),ISNUMBER(SEARCH("Farsi",'(B) Register of Participants'!$AR$4)),ISNUMBER(SEARCH("Persian",'(B) Register of Participants'!$AR$4)),ISNUMBER(SEARCH("Hazaragi",'(B) Register of Participants'!$AR$4))),ISNUMBER(SEARCH($AS$20,'(B) Register of Participants'!$AR$4))))),1,0)</f>
        <v/>
      </c>
      <c r="R26" s="20">
        <f>IF(AND(AH26,AI26,NOT(AJ26),NOT($AS$25),AK26,$AS$26,AM26,AN26,NOT(AL26)),"Yes","No")</f>
        <v/>
      </c>
      <c r="S26" s="20">
        <f>IF(OR(COUNTIF('Engine Lists'!$A:$A,$AS$14&amp;"|"&amp;AO26)&gt;0,COUNTIF('Engine Lists'!$A:$A,$AS$14&amp;"|"&amp;AP26)&gt;0,COUNTIF('Engine Lists'!$A:$A,$AS$15&amp;"|"&amp;AO26)&gt;0,COUNTIF('Engine Lists'!$A:$A,$AS$15&amp;"|"&amp;AP26)&gt;0,COUNTIF('Engine Lists'!$A:$A,$AS$21&amp;"|"&amp;I26)&gt;0),-8,0)</f>
        <v/>
      </c>
      <c r="T26" s="20">
        <f>IF(Q26=1,IF(OR($AS$8="A2",$AS$8="B1"),7,IF(OR($AS$8="B2",$AS$8="C1",$AS$8="C2"),-5,0)),0)</f>
        <v/>
      </c>
      <c r="U26" s="20">
        <f>IF(AND($AS$6=G26,OR($AS$6="Male",$AS$6="Female")),5,0)</f>
        <v/>
      </c>
      <c r="V26" s="20">
        <f>IF(AND($AS$24,$AS$11&lt;&gt;"In-Person",K26&lt;&gt;"In-Person"),-5,0)</f>
        <v/>
      </c>
      <c r="W26" s="20">
        <f>IF(OR($AS$11=K26,$AS$11="Either",K26="Either"),3,0)</f>
        <v/>
      </c>
      <c r="X26" s="20">
        <f>IF(AND($AS$11&lt;&gt;"Online",K26&lt;&gt;"Online",ISNUMBER($AS$22),ISNUMBER(IFERROR(VALUE(M26),"x"))),IF(ABS($AS$22-VALUE(M26))&lt;=50,3,0),0)</f>
        <v/>
      </c>
      <c r="Y26" s="20">
        <f>IF(AND($AS$10&lt;&gt;"",$AS$10=J26),3,0)</f>
        <v/>
      </c>
      <c r="Z26" s="20">
        <f>IF(OR(N($AS$13)&gt;=150,N(O26)&gt;=150),3,0)</f>
        <v/>
      </c>
      <c r="AA26" s="20">
        <f>IF(AND($AS$21&lt;&gt;"",$AS$21&lt;&gt;"NA",$AS$21=I26),2,0)</f>
        <v/>
      </c>
      <c r="AB26" s="20">
        <f>IF(OR(AND($AS$14&lt;&gt;"",$AS$14&lt;&gt;"NA",OR($AS$14=AO26,$AS$14=AP26)),AND($AS$15&lt;&gt;"",OR($AS$15=AO26,$AS$15=AP26))),2,0)</f>
        <v/>
      </c>
      <c r="AC26" s="20">
        <f>IF(AND(ISNUMBER($AS$12),ISNUMBER(N26),ABS($AS$12-N26)&lt;=10),2,0)</f>
        <v/>
      </c>
      <c r="AD26" s="20">
        <f>IF(R26="Yes",SUM(S26:AC26),"")</f>
        <v/>
      </c>
      <c r="AE26" s="20">
        <f>IF(R26="Yes","Score "&amp;AD26&amp;": "&amp;TRIM(IF(S26&lt;&gt;0,"−8 acrimonious; ","")&amp;IF(T26=7,"+7 shared language; ","")&amp;IF(T26=-5,"−5 shared lang(adv); ","")&amp;IF(U26=5,"+5 same-sex; ","")&amp;IF(V26=-5,"−5 online no device; ","")&amp;IF(W26=3,"+3 mode; ","")&amp;IF(X26=3,"+3 proximity; ","")&amp;IF(Y26=3,"+3 category; ","")&amp;IF(Z26=3,"+3 long wait; ","")&amp;IF(AA26=2,"+2 religion; ","")&amp;IF(AB26=2,"+2 nationality; ","")&amp;IF(AC26=2,"+2 age; ","")),"Not eligible: "&amp;IF(NOT(AH26),"tutor not pending/with-capacity",IF(NOT(AI26),"no spare capacity",IF(AJ26,"tutor blacklisted",IF($AS$25,"student blacklisted",IF(NOT(AK26),"tutor vetting incomplete",IF(NOT($AS$26),"student vetting incomplete",IF(NOT(AM26),"no overlapping 3h AEST block",IF(NOT(AN26),"A1 student needs a shared language",IF(AL26,"'do not pair' note present",""))))))))))</f>
        <v/>
      </c>
      <c r="AF26">
        <f>TRIM(IFERROR(LEFT('(B) Register of Participants'!$AR$4,FIND(" (",'(B) Register of Participants'!$AR$4)-1),'(B) Register of Participants'!$AR$4))</f>
        <v/>
      </c>
      <c r="AG26">
        <f>IF(ISNUMBER(SEARCH("Mandarin",'(B) Register of Participants'!$AR$4)),"Mandarin",IF(ISNUMBER(SEARCH("Cantonese",'(B) Register of Participants'!$AR$4)),"Cantonese",IF(OR(AF26="Dari",AF26="Farsi",AF26="Persian",AF26="Hazaragi"),"Persian",AF26)))</f>
        <v/>
      </c>
      <c r="AH26">
        <f>OR(E26="ADM-ACT-UNMAT",E26="ADM-ACT-MAT-CNE")</f>
        <v/>
      </c>
      <c r="AI26">
        <f>F26&gt;0</f>
        <v/>
      </c>
      <c r="AJ26">
        <f>LEFT('(B) Register of Participants'!$L$4,3)="Yes"</f>
        <v/>
      </c>
      <c r="AK26">
        <f>AND(OR(LEFT('(B) Register of Participants'!$AY$4,3)="Yes",LEFT('(B) Register of Participants'!$AY$4,2)="NA"),OR(LEFT('(B) Register of Participants'!$AZ$4,3)="Yes",LEFT('(B) Register of Participants'!$AZ$4,2)="NA"))</f>
        <v/>
      </c>
      <c r="AL26">
        <f>OR(ISNUMBER(SEARCH("do not pair",'(B) Register of Participants'!$BL$4)),ISNUMBER(SEARCH("do not pair",'(B) Register of Participants'!$BM$4)))</f>
        <v/>
      </c>
      <c r="AM26">
        <f>P26&gt;0</f>
        <v/>
      </c>
      <c r="AN26">
        <f>IF($AS$8="A1",Q26=1,TRUE)</f>
        <v/>
      </c>
      <c r="AO26">
        <f>TRIM(IFERROR(LEFT('(B) Register of Participants'!$AP$4,FIND(";",'(B) Register of Participants'!$AP$4)-1),'(B) Register of Participants'!$AP$4))</f>
        <v/>
      </c>
      <c r="AP26">
        <f>IF(ISNUMBER(FIND(";",'(B) Register of Participants'!$AP$4)),TRIM(MID('(B) Register of Participants'!$AP$4,FIND(";",'(B) Register of Participants'!$AP$4)+1,80)),"")</f>
        <v/>
      </c>
      <c r="AR26" s="70" t="inlineStr">
        <is>
          <t>svet</t>
        </is>
      </c>
      <c r="AS26">
        <f>AND(OR(LEFT(IFERROR(VLOOKUP($C$5,'(B) Register of Participants'!$A:$DJ,51,FALSE),""),3)="Yes",LEFT(IFERROR(VLOOKUP($C$5,'(B) Register of Participants'!$A:$DJ,51,FALSE),""),2)="NA"),OR(LEFT(IFERROR(VLOOKUP($C$5,'(B) Register of Participants'!$A:$DJ,52,FALSE),""),3)="Yes",LEFT(IFERROR(VLOOKUP($C$5,'(B) Register of Participants'!$A:$DJ,52,FALSE),""),2)="NA"))</f>
        <v/>
      </c>
    </row>
    <row r="27">
      <c r="B27" s="20">
        <f>IF(R27="Yes",RANK(AD27,$AD$25:$AD$124),"")</f>
        <v/>
      </c>
      <c r="C27" s="20">
        <f>'(B) Register of Participants'!$A$5</f>
        <v/>
      </c>
      <c r="D27" s="20">
        <f>'(B) Register of Participants'!$B$5</f>
        <v/>
      </c>
      <c r="E27" s="20">
        <f>'(B) Register of Participants'!$J$5</f>
        <v/>
      </c>
      <c r="F27" s="20">
        <f>IFERROR('(B) Register of Participants'!$O$5-'(B) Register of Participants'!$P$5,0)</f>
        <v/>
      </c>
      <c r="G27" s="20">
        <f>'(B) Register of Participants'!$AL$5</f>
        <v/>
      </c>
      <c r="H27" s="20">
        <f>'(B) Register of Participants'!$AP$5</f>
        <v/>
      </c>
      <c r="I27" s="20">
        <f>TRIM(IFERROR(LEFT('(B) Register of Participants'!$AS$5,FIND(" (",'(B) Register of Participants'!$AS$5)-1),'(B) Register of Participants'!$AS$5))</f>
        <v/>
      </c>
      <c r="J27" s="20">
        <f>'(B) Register of Participants'!$AT$5</f>
        <v/>
      </c>
      <c r="K27" s="20">
        <f>'(B) Register of Participants'!$AE$5</f>
        <v/>
      </c>
      <c r="L27" s="20">
        <f>'(B) Register of Participants'!$AF$5</f>
        <v/>
      </c>
      <c r="M27" s="20">
        <f>'(B) Register of Participants'!$AJ$5</f>
        <v/>
      </c>
      <c r="N27" s="20">
        <f>'(B) Register of Participants'!$CY$5</f>
        <v/>
      </c>
      <c r="O27" s="20">
        <f>'(B) Register of Participants'!$CW$5</f>
        <v/>
      </c>
      <c r="P27" s="20">
        <f>(ISNUMBER(SEARCH("6am-9am",$AS$27))*ISNUMBER(SEARCH("6am-9am",'(B) Register of Participants'!$X$5)))+(ISNUMBER(SEARCH("9am-12pm",$AS$27))*ISNUMBER(SEARCH("9am-12pm",'(B) Register of Participants'!$X$5)))+(ISNUMBER(SEARCH("12pm-3pm",$AS$27))*ISNUMBER(SEARCH("12pm-3pm",'(B) Register of Participants'!$X$5)))+(ISNUMBER(SEARCH("3pm-6pm",$AS$27))*ISNUMBER(SEARCH("3pm-6pm",'(B) Register of Participants'!$X$5)))+(ISNUMBER(SEARCH("6pm-9pm",$AS$27))*ISNUMBER(SEARCH("6pm-9pm",'(B) Register of Participants'!$X$5)))+(ISNUMBER(SEARCH("6am-9am",$AS$28))*ISNUMBER(SEARCH("6am-9am",'(B) Register of Participants'!$Y$5)))+(ISNUMBER(SEARCH("9am-12pm",$AS$28))*ISNUMBER(SEARCH("9am-12pm",'(B) Register of Participants'!$Y$5)))+(ISNUMBER(SEARCH("12pm-3pm",$AS$28))*ISNUMBER(SEARCH("12pm-3pm",'(B) Register of Participants'!$Y$5)))+(ISNUMBER(SEARCH("3pm-6pm",$AS$28))*ISNUMBER(SEARCH("3pm-6pm",'(B) Register of Participants'!$Y$5)))+(ISNUMBER(SEARCH("6pm-9pm",$AS$28))*ISNUMBER(SEARCH("6pm-9pm",'(B) Register of Participants'!$Y$5)))+(ISNUMBER(SEARCH("6am-9am",$AS$29))*ISNUMBER(SEARCH("6am-9am",'(B) Register of Participants'!$Z$5)))+(ISNUMBER(SEARCH("9am-12pm",$AS$29))*ISNUMBER(SEARCH("9am-12pm",'(B) Register of Participants'!$Z$5)))+(ISNUMBER(SEARCH("12pm-3pm",$AS$29))*ISNUMBER(SEARCH("12pm-3pm",'(B) Register of Participants'!$Z$5)))+(ISNUMBER(SEARCH("3pm-6pm",$AS$29))*ISNUMBER(SEARCH("3pm-6pm",'(B) Register of Participants'!$Z$5)))+(ISNUMBER(SEARCH("6pm-9pm",$AS$29))*ISNUMBER(SEARCH("6pm-9pm",'(B) Register of Participants'!$Z$5)))+(ISNUMBER(SEARCH("6am-9am",$AS$30))*ISNUMBER(SEARCH("6am-9am",'(B) Register of Participants'!$AA$5)))+(ISNUMBER(SEARCH("9am-12pm",$AS$30))*ISNUMBER(SEARCH("9am-12pm",'(B) Register of Participants'!$AA$5)))+(ISNUMBER(SEARCH("12pm-3pm",$AS$30))*ISNUMBER(SEARCH("12pm-3pm",'(B) Register of Participants'!$AA$5)))+(ISNUMBER(SEARCH("3pm-6pm",$AS$30))*ISNUMBER(SEARCH("3pm-6pm",'(B) Register of Participants'!$AA$5)))+(ISNUMBER(SEARCH("6pm-9pm",$AS$30))*ISNUMBER(SEARCH("6pm-9pm",'(B) Register of Participants'!$AA$5)))+(ISNUMBER(SEARCH("6am-9am",$AS$31))*ISNUMBER(SEARCH("6am-9am",'(B) Register of Participants'!$AB$5)))+(ISNUMBER(SEARCH("9am-12pm",$AS$31))*ISNUMBER(SEARCH("9am-12pm",'(B) Register of Participants'!$AB$5)))+(ISNUMBER(SEARCH("12pm-3pm",$AS$31))*ISNUMBER(SEARCH("12pm-3pm",'(B) Register of Participants'!$AB$5)))+(ISNUMBER(SEARCH("3pm-6pm",$AS$31))*ISNUMBER(SEARCH("3pm-6pm",'(B) Register of Participants'!$AB$5)))+(ISNUMBER(SEARCH("6pm-9pm",$AS$31))*ISNUMBER(SEARCH("6pm-9pm",'(B) Register of Participants'!$AB$5)))+(ISNUMBER(SEARCH("6am-9am",$AS$32))*ISNUMBER(SEARCH("6am-9am",'(B) Register of Participants'!$AC$5)))+(ISNUMBER(SEARCH("9am-12pm",$AS$32))*ISNUMBER(SEARCH("9am-12pm",'(B) Register of Participants'!$AC$5)))+(ISNUMBER(SEARCH("12pm-3pm",$AS$32))*ISNUMBER(SEARCH("12pm-3pm",'(B) Register of Participants'!$AC$5)))+(ISNUMBER(SEARCH("3pm-6pm",$AS$32))*ISNUMBER(SEARCH("3pm-6pm",'(B) Register of Participants'!$AC$5)))+(ISNUMBER(SEARCH("6pm-9pm",$AS$32))*ISNUMBER(SEARCH("6pm-9pm",'(B) Register of Participants'!$AC$5)))+(ISNUMBER(SEARCH("6am-9am",$AS$33))*ISNUMBER(SEARCH("6am-9am",'(B) Register of Participants'!$AD$5)))+(ISNUMBER(SEARCH("9am-12pm",$AS$33))*ISNUMBER(SEARCH("9am-12pm",'(B) Register of Participants'!$AD$5)))+(ISNUMBER(SEARCH("12pm-3pm",$AS$33))*ISNUMBER(SEARCH("12pm-3pm",'(B) Register of Participants'!$AD$5)))+(ISNUMBER(SEARCH("3pm-6pm",$AS$33))*ISNUMBER(SEARCH("3pm-6pm",'(B) Register of Participants'!$AD$5)))+(ISNUMBER(SEARCH("6pm-9pm",$AS$33))*ISNUMBER(SEARCH("6pm-9pm",'(B) Register of Participants'!$AD$5)))</f>
        <v/>
      </c>
      <c r="Q27" s="20">
        <f>IF(OR(AND($AS$17&lt;&gt;"",$AS$17&lt;&gt;"English",IF($AS$17="Persian",OR(ISNUMBER(SEARCH("Dari",'(B) Register of Participants'!$AR$5)),ISNUMBER(SEARCH("Farsi",'(B) Register of Participants'!$AR$5)),ISNUMBER(SEARCH("Persian",'(B) Register of Participants'!$AR$5)),ISNUMBER(SEARCH("Hazaragi",'(B) Register of Participants'!$AR$5))),ISNUMBER(SEARCH($AS$17,'(B) Register of Participants'!$AR$5)))),AND($AS$20&lt;&gt;"",$AS$20&lt;&gt;"English",IF($AS$20="Persian",OR(ISNUMBER(SEARCH("Dari",'(B) Register of Participants'!$AR$5)),ISNUMBER(SEARCH("Farsi",'(B) Register of Participants'!$AR$5)),ISNUMBER(SEARCH("Persian",'(B) Register of Participants'!$AR$5)),ISNUMBER(SEARCH("Hazaragi",'(B) Register of Participants'!$AR$5))),ISNUMBER(SEARCH($AS$20,'(B) Register of Participants'!$AR$5))))),1,0)</f>
        <v/>
      </c>
      <c r="R27" s="20">
        <f>IF(AND(AH27,AI27,NOT(AJ27),NOT($AS$25),AK27,$AS$26,AM27,AN27,NOT(AL27)),"Yes","No")</f>
        <v/>
      </c>
      <c r="S27" s="20">
        <f>IF(OR(COUNTIF('Engine Lists'!$A:$A,$AS$14&amp;"|"&amp;AO27)&gt;0,COUNTIF('Engine Lists'!$A:$A,$AS$14&amp;"|"&amp;AP27)&gt;0,COUNTIF('Engine Lists'!$A:$A,$AS$15&amp;"|"&amp;AO27)&gt;0,COUNTIF('Engine Lists'!$A:$A,$AS$15&amp;"|"&amp;AP27)&gt;0,COUNTIF('Engine Lists'!$A:$A,$AS$21&amp;"|"&amp;I27)&gt;0),-8,0)</f>
        <v/>
      </c>
      <c r="T27" s="20">
        <f>IF(Q27=1,IF(OR($AS$8="A2",$AS$8="B1"),7,IF(OR($AS$8="B2",$AS$8="C1",$AS$8="C2"),-5,0)),0)</f>
        <v/>
      </c>
      <c r="U27" s="20">
        <f>IF(AND($AS$6=G27,OR($AS$6="Male",$AS$6="Female")),5,0)</f>
        <v/>
      </c>
      <c r="V27" s="20">
        <f>IF(AND($AS$24,$AS$11&lt;&gt;"In-Person",K27&lt;&gt;"In-Person"),-5,0)</f>
        <v/>
      </c>
      <c r="W27" s="20">
        <f>IF(OR($AS$11=K27,$AS$11="Either",K27="Either"),3,0)</f>
        <v/>
      </c>
      <c r="X27" s="20">
        <f>IF(AND($AS$11&lt;&gt;"Online",K27&lt;&gt;"Online",ISNUMBER($AS$22),ISNUMBER(IFERROR(VALUE(M27),"x"))),IF(ABS($AS$22-VALUE(M27))&lt;=50,3,0),0)</f>
        <v/>
      </c>
      <c r="Y27" s="20">
        <f>IF(AND($AS$10&lt;&gt;"",$AS$10=J27),3,0)</f>
        <v/>
      </c>
      <c r="Z27" s="20">
        <f>IF(OR(N($AS$13)&gt;=150,N(O27)&gt;=150),3,0)</f>
        <v/>
      </c>
      <c r="AA27" s="20">
        <f>IF(AND($AS$21&lt;&gt;"",$AS$21&lt;&gt;"NA",$AS$21=I27),2,0)</f>
        <v/>
      </c>
      <c r="AB27" s="20">
        <f>IF(OR(AND($AS$14&lt;&gt;"",$AS$14&lt;&gt;"NA",OR($AS$14=AO27,$AS$14=AP27)),AND($AS$15&lt;&gt;"",OR($AS$15=AO27,$AS$15=AP27))),2,0)</f>
        <v/>
      </c>
      <c r="AC27" s="20">
        <f>IF(AND(ISNUMBER($AS$12),ISNUMBER(N27),ABS($AS$12-N27)&lt;=10),2,0)</f>
        <v/>
      </c>
      <c r="AD27" s="20">
        <f>IF(R27="Yes",SUM(S27:AC27),"")</f>
        <v/>
      </c>
      <c r="AE27" s="20">
        <f>IF(R27="Yes","Score "&amp;AD27&amp;": "&amp;TRIM(IF(S27&lt;&gt;0,"−8 acrimonious; ","")&amp;IF(T27=7,"+7 shared language; ","")&amp;IF(T27=-5,"−5 shared lang(adv); ","")&amp;IF(U27=5,"+5 same-sex; ","")&amp;IF(V27=-5,"−5 online no device; ","")&amp;IF(W27=3,"+3 mode; ","")&amp;IF(X27=3,"+3 proximity; ","")&amp;IF(Y27=3,"+3 category; ","")&amp;IF(Z27=3,"+3 long wait; ","")&amp;IF(AA27=2,"+2 religion; ","")&amp;IF(AB27=2,"+2 nationality; ","")&amp;IF(AC27=2,"+2 age; ","")),"Not eligible: "&amp;IF(NOT(AH27),"tutor not pending/with-capacity",IF(NOT(AI27),"no spare capacity",IF(AJ27,"tutor blacklisted",IF($AS$25,"student blacklisted",IF(NOT(AK27),"tutor vetting incomplete",IF(NOT($AS$26),"student vetting incomplete",IF(NOT(AM27),"no overlapping 3h AEST block",IF(NOT(AN27),"A1 student needs a shared language",IF(AL27,"'do not pair' note present",""))))))))))</f>
        <v/>
      </c>
      <c r="AF27">
        <f>TRIM(IFERROR(LEFT('(B) Register of Participants'!$AR$5,FIND(" (",'(B) Register of Participants'!$AR$5)-1),'(B) Register of Participants'!$AR$5))</f>
        <v/>
      </c>
      <c r="AG27">
        <f>IF(ISNUMBER(SEARCH("Mandarin",'(B) Register of Participants'!$AR$5)),"Mandarin",IF(ISNUMBER(SEARCH("Cantonese",'(B) Register of Participants'!$AR$5)),"Cantonese",IF(OR(AF27="Dari",AF27="Farsi",AF27="Persian",AF27="Hazaragi"),"Persian",AF27)))</f>
        <v/>
      </c>
      <c r="AH27">
        <f>OR(E27="ADM-ACT-UNMAT",E27="ADM-ACT-MAT-CNE")</f>
        <v/>
      </c>
      <c r="AI27">
        <f>F27&gt;0</f>
        <v/>
      </c>
      <c r="AJ27">
        <f>LEFT('(B) Register of Participants'!$L$5,3)="Yes"</f>
        <v/>
      </c>
      <c r="AK27">
        <f>AND(OR(LEFT('(B) Register of Participants'!$AY$5,3)="Yes",LEFT('(B) Register of Participants'!$AY$5,2)="NA"),OR(LEFT('(B) Register of Participants'!$AZ$5,3)="Yes",LEFT('(B) Register of Participants'!$AZ$5,2)="NA"))</f>
        <v/>
      </c>
      <c r="AL27">
        <f>OR(ISNUMBER(SEARCH("do not pair",'(B) Register of Participants'!$BL$5)),ISNUMBER(SEARCH("do not pair",'(B) Register of Participants'!$BM$5)))</f>
        <v/>
      </c>
      <c r="AM27">
        <f>P27&gt;0</f>
        <v/>
      </c>
      <c r="AN27">
        <f>IF($AS$8="A1",Q27=1,TRUE)</f>
        <v/>
      </c>
      <c r="AO27">
        <f>TRIM(IFERROR(LEFT('(B) Register of Participants'!$AP$5,FIND(";",'(B) Register of Participants'!$AP$5)-1),'(B) Register of Participants'!$AP$5))</f>
        <v/>
      </c>
      <c r="AP27">
        <f>IF(ISNUMBER(FIND(";",'(B) Register of Participants'!$AP$5)),TRIM(MID('(B) Register of Participants'!$AP$5,FIND(";",'(B) Register of Participants'!$AP$5)+1,80)),"")</f>
        <v/>
      </c>
      <c r="AR27" s="70" t="inlineStr">
        <is>
          <t>sday0</t>
        </is>
      </c>
      <c r="AS27">
        <f>IFERROR(VLOOKUP($C$5,'(B) Register of Participants'!$A:$DJ,24,FALSE),"")</f>
        <v/>
      </c>
    </row>
    <row r="28">
      <c r="B28" s="20">
        <f>IF(R28="Yes",RANK(AD28,$AD$25:$AD$124),"")</f>
        <v/>
      </c>
      <c r="C28" s="20">
        <f>'(B) Register of Participants'!$A$6</f>
        <v/>
      </c>
      <c r="D28" s="20">
        <f>'(B) Register of Participants'!$B$6</f>
        <v/>
      </c>
      <c r="E28" s="20">
        <f>'(B) Register of Participants'!$J$6</f>
        <v/>
      </c>
      <c r="F28" s="20">
        <f>IFERROR('(B) Register of Participants'!$O$6-'(B) Register of Participants'!$P$6,0)</f>
        <v/>
      </c>
      <c r="G28" s="20">
        <f>'(B) Register of Participants'!$AL$6</f>
        <v/>
      </c>
      <c r="H28" s="20">
        <f>'(B) Register of Participants'!$AP$6</f>
        <v/>
      </c>
      <c r="I28" s="20">
        <f>TRIM(IFERROR(LEFT('(B) Register of Participants'!$AS$6,FIND(" (",'(B) Register of Participants'!$AS$6)-1),'(B) Register of Participants'!$AS$6))</f>
        <v/>
      </c>
      <c r="J28" s="20">
        <f>'(B) Register of Participants'!$AT$6</f>
        <v/>
      </c>
      <c r="K28" s="20">
        <f>'(B) Register of Participants'!$AE$6</f>
        <v/>
      </c>
      <c r="L28" s="20">
        <f>'(B) Register of Participants'!$AF$6</f>
        <v/>
      </c>
      <c r="M28" s="20">
        <f>'(B) Register of Participants'!$AJ$6</f>
        <v/>
      </c>
      <c r="N28" s="20">
        <f>'(B) Register of Participants'!$CY$6</f>
        <v/>
      </c>
      <c r="O28" s="20">
        <f>'(B) Register of Participants'!$CW$6</f>
        <v/>
      </c>
      <c r="P28" s="20">
        <f>(ISNUMBER(SEARCH("6am-9am",$AS$27))*ISNUMBER(SEARCH("6am-9am",'(B) Register of Participants'!$X$6)))+(ISNUMBER(SEARCH("9am-12pm",$AS$27))*ISNUMBER(SEARCH("9am-12pm",'(B) Register of Participants'!$X$6)))+(ISNUMBER(SEARCH("12pm-3pm",$AS$27))*ISNUMBER(SEARCH("12pm-3pm",'(B) Register of Participants'!$X$6)))+(ISNUMBER(SEARCH("3pm-6pm",$AS$27))*ISNUMBER(SEARCH("3pm-6pm",'(B) Register of Participants'!$X$6)))+(ISNUMBER(SEARCH("6pm-9pm",$AS$27))*ISNUMBER(SEARCH("6pm-9pm",'(B) Register of Participants'!$X$6)))+(ISNUMBER(SEARCH("6am-9am",$AS$28))*ISNUMBER(SEARCH("6am-9am",'(B) Register of Participants'!$Y$6)))+(ISNUMBER(SEARCH("9am-12pm",$AS$28))*ISNUMBER(SEARCH("9am-12pm",'(B) Register of Participants'!$Y$6)))+(ISNUMBER(SEARCH("12pm-3pm",$AS$28))*ISNUMBER(SEARCH("12pm-3pm",'(B) Register of Participants'!$Y$6)))+(ISNUMBER(SEARCH("3pm-6pm",$AS$28))*ISNUMBER(SEARCH("3pm-6pm",'(B) Register of Participants'!$Y$6)))+(ISNUMBER(SEARCH("6pm-9pm",$AS$28))*ISNUMBER(SEARCH("6pm-9pm",'(B) Register of Participants'!$Y$6)))+(ISNUMBER(SEARCH("6am-9am",$AS$29))*ISNUMBER(SEARCH("6am-9am",'(B) Register of Participants'!$Z$6)))+(ISNUMBER(SEARCH("9am-12pm",$AS$29))*ISNUMBER(SEARCH("9am-12pm",'(B) Register of Participants'!$Z$6)))+(ISNUMBER(SEARCH("12pm-3pm",$AS$29))*ISNUMBER(SEARCH("12pm-3pm",'(B) Register of Participants'!$Z$6)))+(ISNUMBER(SEARCH("3pm-6pm",$AS$29))*ISNUMBER(SEARCH("3pm-6pm",'(B) Register of Participants'!$Z$6)))+(ISNUMBER(SEARCH("6pm-9pm",$AS$29))*ISNUMBER(SEARCH("6pm-9pm",'(B) Register of Participants'!$Z$6)))+(ISNUMBER(SEARCH("6am-9am",$AS$30))*ISNUMBER(SEARCH("6am-9am",'(B) Register of Participants'!$AA$6)))+(ISNUMBER(SEARCH("9am-12pm",$AS$30))*ISNUMBER(SEARCH("9am-12pm",'(B) Register of Participants'!$AA$6)))+(ISNUMBER(SEARCH("12pm-3pm",$AS$30))*ISNUMBER(SEARCH("12pm-3pm",'(B) Register of Participants'!$AA$6)))+(ISNUMBER(SEARCH("3pm-6pm",$AS$30))*ISNUMBER(SEARCH("3pm-6pm",'(B) Register of Participants'!$AA$6)))+(ISNUMBER(SEARCH("6pm-9pm",$AS$30))*ISNUMBER(SEARCH("6pm-9pm",'(B) Register of Participants'!$AA$6)))+(ISNUMBER(SEARCH("6am-9am",$AS$31))*ISNUMBER(SEARCH("6am-9am",'(B) Register of Participants'!$AB$6)))+(ISNUMBER(SEARCH("9am-12pm",$AS$31))*ISNUMBER(SEARCH("9am-12pm",'(B) Register of Participants'!$AB$6)))+(ISNUMBER(SEARCH("12pm-3pm",$AS$31))*ISNUMBER(SEARCH("12pm-3pm",'(B) Register of Participants'!$AB$6)))+(ISNUMBER(SEARCH("3pm-6pm",$AS$31))*ISNUMBER(SEARCH("3pm-6pm",'(B) Register of Participants'!$AB$6)))+(ISNUMBER(SEARCH("6pm-9pm",$AS$31))*ISNUMBER(SEARCH("6pm-9pm",'(B) Register of Participants'!$AB$6)))+(ISNUMBER(SEARCH("6am-9am",$AS$32))*ISNUMBER(SEARCH("6am-9am",'(B) Register of Participants'!$AC$6)))+(ISNUMBER(SEARCH("9am-12pm",$AS$32))*ISNUMBER(SEARCH("9am-12pm",'(B) Register of Participants'!$AC$6)))+(ISNUMBER(SEARCH("12pm-3pm",$AS$32))*ISNUMBER(SEARCH("12pm-3pm",'(B) Register of Participants'!$AC$6)))+(ISNUMBER(SEARCH("3pm-6pm",$AS$32))*ISNUMBER(SEARCH("3pm-6pm",'(B) Register of Participants'!$AC$6)))+(ISNUMBER(SEARCH("6pm-9pm",$AS$32))*ISNUMBER(SEARCH("6pm-9pm",'(B) Register of Participants'!$AC$6)))+(ISNUMBER(SEARCH("6am-9am",$AS$33))*ISNUMBER(SEARCH("6am-9am",'(B) Register of Participants'!$AD$6)))+(ISNUMBER(SEARCH("9am-12pm",$AS$33))*ISNUMBER(SEARCH("9am-12pm",'(B) Register of Participants'!$AD$6)))+(ISNUMBER(SEARCH("12pm-3pm",$AS$33))*ISNUMBER(SEARCH("12pm-3pm",'(B) Register of Participants'!$AD$6)))+(ISNUMBER(SEARCH("3pm-6pm",$AS$33))*ISNUMBER(SEARCH("3pm-6pm",'(B) Register of Participants'!$AD$6)))+(ISNUMBER(SEARCH("6pm-9pm",$AS$33))*ISNUMBER(SEARCH("6pm-9pm",'(B) Register of Participants'!$AD$6)))</f>
        <v/>
      </c>
      <c r="Q28" s="20">
        <f>IF(OR(AND($AS$17&lt;&gt;"",$AS$17&lt;&gt;"English",IF($AS$17="Persian",OR(ISNUMBER(SEARCH("Dari",'(B) Register of Participants'!$AR$6)),ISNUMBER(SEARCH("Farsi",'(B) Register of Participants'!$AR$6)),ISNUMBER(SEARCH("Persian",'(B) Register of Participants'!$AR$6)),ISNUMBER(SEARCH("Hazaragi",'(B) Register of Participants'!$AR$6))),ISNUMBER(SEARCH($AS$17,'(B) Register of Participants'!$AR$6)))),AND($AS$20&lt;&gt;"",$AS$20&lt;&gt;"English",IF($AS$20="Persian",OR(ISNUMBER(SEARCH("Dari",'(B) Register of Participants'!$AR$6)),ISNUMBER(SEARCH("Farsi",'(B) Register of Participants'!$AR$6)),ISNUMBER(SEARCH("Persian",'(B) Register of Participants'!$AR$6)),ISNUMBER(SEARCH("Hazaragi",'(B) Register of Participants'!$AR$6))),ISNUMBER(SEARCH($AS$20,'(B) Register of Participants'!$AR$6))))),1,0)</f>
        <v/>
      </c>
      <c r="R28" s="20">
        <f>IF(AND(AH28,AI28,NOT(AJ28),NOT($AS$25),AK28,$AS$26,AM28,AN28,NOT(AL28)),"Yes","No")</f>
        <v/>
      </c>
      <c r="S28" s="20">
        <f>IF(OR(COUNTIF('Engine Lists'!$A:$A,$AS$14&amp;"|"&amp;AO28)&gt;0,COUNTIF('Engine Lists'!$A:$A,$AS$14&amp;"|"&amp;AP28)&gt;0,COUNTIF('Engine Lists'!$A:$A,$AS$15&amp;"|"&amp;AO28)&gt;0,COUNTIF('Engine Lists'!$A:$A,$AS$15&amp;"|"&amp;AP28)&gt;0,COUNTIF('Engine Lists'!$A:$A,$AS$21&amp;"|"&amp;I28)&gt;0),-8,0)</f>
        <v/>
      </c>
      <c r="T28" s="20">
        <f>IF(Q28=1,IF(OR($AS$8="A2",$AS$8="B1"),7,IF(OR($AS$8="B2",$AS$8="C1",$AS$8="C2"),-5,0)),0)</f>
        <v/>
      </c>
      <c r="U28" s="20">
        <f>IF(AND($AS$6=G28,OR($AS$6="Male",$AS$6="Female")),5,0)</f>
        <v/>
      </c>
      <c r="V28" s="20">
        <f>IF(AND($AS$24,$AS$11&lt;&gt;"In-Person",K28&lt;&gt;"In-Person"),-5,0)</f>
        <v/>
      </c>
      <c r="W28" s="20">
        <f>IF(OR($AS$11=K28,$AS$11="Either",K28="Either"),3,0)</f>
        <v/>
      </c>
      <c r="X28" s="20">
        <f>IF(AND($AS$11&lt;&gt;"Online",K28&lt;&gt;"Online",ISNUMBER($AS$22),ISNUMBER(IFERROR(VALUE(M28),"x"))),IF(ABS($AS$22-VALUE(M28))&lt;=50,3,0),0)</f>
        <v/>
      </c>
      <c r="Y28" s="20">
        <f>IF(AND($AS$10&lt;&gt;"",$AS$10=J28),3,0)</f>
        <v/>
      </c>
      <c r="Z28" s="20">
        <f>IF(OR(N($AS$13)&gt;=150,N(O28)&gt;=150),3,0)</f>
        <v/>
      </c>
      <c r="AA28" s="20">
        <f>IF(AND($AS$21&lt;&gt;"",$AS$21&lt;&gt;"NA",$AS$21=I28),2,0)</f>
        <v/>
      </c>
      <c r="AB28" s="20">
        <f>IF(OR(AND($AS$14&lt;&gt;"",$AS$14&lt;&gt;"NA",OR($AS$14=AO28,$AS$14=AP28)),AND($AS$15&lt;&gt;"",OR($AS$15=AO28,$AS$15=AP28))),2,0)</f>
        <v/>
      </c>
      <c r="AC28" s="20">
        <f>IF(AND(ISNUMBER($AS$12),ISNUMBER(N28),ABS($AS$12-N28)&lt;=10),2,0)</f>
        <v/>
      </c>
      <c r="AD28" s="20">
        <f>IF(R28="Yes",SUM(S28:AC28),"")</f>
        <v/>
      </c>
      <c r="AE28" s="20">
        <f>IF(R28="Yes","Score "&amp;AD28&amp;": "&amp;TRIM(IF(S28&lt;&gt;0,"−8 acrimonious; ","")&amp;IF(T28=7,"+7 shared language; ","")&amp;IF(T28=-5,"−5 shared lang(adv); ","")&amp;IF(U28=5,"+5 same-sex; ","")&amp;IF(V28=-5,"−5 online no device; ","")&amp;IF(W28=3,"+3 mode; ","")&amp;IF(X28=3,"+3 proximity; ","")&amp;IF(Y28=3,"+3 category; ","")&amp;IF(Z28=3,"+3 long wait; ","")&amp;IF(AA28=2,"+2 religion; ","")&amp;IF(AB28=2,"+2 nationality; ","")&amp;IF(AC28=2,"+2 age; ","")),"Not eligible: "&amp;IF(NOT(AH28),"tutor not pending/with-capacity",IF(NOT(AI28),"no spare capacity",IF(AJ28,"tutor blacklisted",IF($AS$25,"student blacklisted",IF(NOT(AK28),"tutor vetting incomplete",IF(NOT($AS$26),"student vetting incomplete",IF(NOT(AM28),"no overlapping 3h AEST block",IF(NOT(AN28),"A1 student needs a shared language",IF(AL28,"'do not pair' note present",""))))))))))</f>
        <v/>
      </c>
      <c r="AF28">
        <f>TRIM(IFERROR(LEFT('(B) Register of Participants'!$AR$6,FIND(" (",'(B) Register of Participants'!$AR$6)-1),'(B) Register of Participants'!$AR$6))</f>
        <v/>
      </c>
      <c r="AG28">
        <f>IF(ISNUMBER(SEARCH("Mandarin",'(B) Register of Participants'!$AR$6)),"Mandarin",IF(ISNUMBER(SEARCH("Cantonese",'(B) Register of Participants'!$AR$6)),"Cantonese",IF(OR(AF28="Dari",AF28="Farsi",AF28="Persian",AF28="Hazaragi"),"Persian",AF28)))</f>
        <v/>
      </c>
      <c r="AH28">
        <f>OR(E28="ADM-ACT-UNMAT",E28="ADM-ACT-MAT-CNE")</f>
        <v/>
      </c>
      <c r="AI28">
        <f>F28&gt;0</f>
        <v/>
      </c>
      <c r="AJ28">
        <f>LEFT('(B) Register of Participants'!$L$6,3)="Yes"</f>
        <v/>
      </c>
      <c r="AK28">
        <f>AND(OR(LEFT('(B) Register of Participants'!$AY$6,3)="Yes",LEFT('(B) Register of Participants'!$AY$6,2)="NA"),OR(LEFT('(B) Register of Participants'!$AZ$6,3)="Yes",LEFT('(B) Register of Participants'!$AZ$6,2)="NA"))</f>
        <v/>
      </c>
      <c r="AL28">
        <f>OR(ISNUMBER(SEARCH("do not pair",'(B) Register of Participants'!$BL$6)),ISNUMBER(SEARCH("do not pair",'(B) Register of Participants'!$BM$6)))</f>
        <v/>
      </c>
      <c r="AM28">
        <f>P28&gt;0</f>
        <v/>
      </c>
      <c r="AN28">
        <f>IF($AS$8="A1",Q28=1,TRUE)</f>
        <v/>
      </c>
      <c r="AO28">
        <f>TRIM(IFERROR(LEFT('(B) Register of Participants'!$AP$6,FIND(";",'(B) Register of Participants'!$AP$6)-1),'(B) Register of Participants'!$AP$6))</f>
        <v/>
      </c>
      <c r="AP28">
        <f>IF(ISNUMBER(FIND(";",'(B) Register of Participants'!$AP$6)),TRIM(MID('(B) Register of Participants'!$AP$6,FIND(";",'(B) Register of Participants'!$AP$6)+1,80)),"")</f>
        <v/>
      </c>
      <c r="AR28" s="70" t="inlineStr">
        <is>
          <t>sday1</t>
        </is>
      </c>
      <c r="AS28">
        <f>IFERROR(VLOOKUP($C$5,'(B) Register of Participants'!$A:$DJ,25,FALSE),"")</f>
        <v/>
      </c>
    </row>
    <row r="29">
      <c r="B29" s="20">
        <f>IF(R29="Yes",RANK(AD29,$AD$25:$AD$124),"")</f>
        <v/>
      </c>
      <c r="C29" s="20">
        <f>'(B) Register of Participants'!$A$7</f>
        <v/>
      </c>
      <c r="D29" s="20">
        <f>'(B) Register of Participants'!$B$7</f>
        <v/>
      </c>
      <c r="E29" s="20">
        <f>'(B) Register of Participants'!$J$7</f>
        <v/>
      </c>
      <c r="F29" s="20">
        <f>IFERROR('(B) Register of Participants'!$O$7-'(B) Register of Participants'!$P$7,0)</f>
        <v/>
      </c>
      <c r="G29" s="20">
        <f>'(B) Register of Participants'!$AL$7</f>
        <v/>
      </c>
      <c r="H29" s="20">
        <f>'(B) Register of Participants'!$AP$7</f>
        <v/>
      </c>
      <c r="I29" s="20">
        <f>TRIM(IFERROR(LEFT('(B) Register of Participants'!$AS$7,FIND(" (",'(B) Register of Participants'!$AS$7)-1),'(B) Register of Participants'!$AS$7))</f>
        <v/>
      </c>
      <c r="J29" s="20">
        <f>'(B) Register of Participants'!$AT$7</f>
        <v/>
      </c>
      <c r="K29" s="20">
        <f>'(B) Register of Participants'!$AE$7</f>
        <v/>
      </c>
      <c r="L29" s="20">
        <f>'(B) Register of Participants'!$AF$7</f>
        <v/>
      </c>
      <c r="M29" s="20">
        <f>'(B) Register of Participants'!$AJ$7</f>
        <v/>
      </c>
      <c r="N29" s="20">
        <f>'(B) Register of Participants'!$CY$7</f>
        <v/>
      </c>
      <c r="O29" s="20">
        <f>'(B) Register of Participants'!$CW$7</f>
        <v/>
      </c>
      <c r="P29" s="20">
        <f>(ISNUMBER(SEARCH("6am-9am",$AS$27))*ISNUMBER(SEARCH("6am-9am",'(B) Register of Participants'!$X$7)))+(ISNUMBER(SEARCH("9am-12pm",$AS$27))*ISNUMBER(SEARCH("9am-12pm",'(B) Register of Participants'!$X$7)))+(ISNUMBER(SEARCH("12pm-3pm",$AS$27))*ISNUMBER(SEARCH("12pm-3pm",'(B) Register of Participants'!$X$7)))+(ISNUMBER(SEARCH("3pm-6pm",$AS$27))*ISNUMBER(SEARCH("3pm-6pm",'(B) Register of Participants'!$X$7)))+(ISNUMBER(SEARCH("6pm-9pm",$AS$27))*ISNUMBER(SEARCH("6pm-9pm",'(B) Register of Participants'!$X$7)))+(ISNUMBER(SEARCH("6am-9am",$AS$28))*ISNUMBER(SEARCH("6am-9am",'(B) Register of Participants'!$Y$7)))+(ISNUMBER(SEARCH("9am-12pm",$AS$28))*ISNUMBER(SEARCH("9am-12pm",'(B) Register of Participants'!$Y$7)))+(ISNUMBER(SEARCH("12pm-3pm",$AS$28))*ISNUMBER(SEARCH("12pm-3pm",'(B) Register of Participants'!$Y$7)))+(ISNUMBER(SEARCH("3pm-6pm",$AS$28))*ISNUMBER(SEARCH("3pm-6pm",'(B) Register of Participants'!$Y$7)))+(ISNUMBER(SEARCH("6pm-9pm",$AS$28))*ISNUMBER(SEARCH("6pm-9pm",'(B) Register of Participants'!$Y$7)))+(ISNUMBER(SEARCH("6am-9am",$AS$29))*ISNUMBER(SEARCH("6am-9am",'(B) Register of Participants'!$Z$7)))+(ISNUMBER(SEARCH("9am-12pm",$AS$29))*ISNUMBER(SEARCH("9am-12pm",'(B) Register of Participants'!$Z$7)))+(ISNUMBER(SEARCH("12pm-3pm",$AS$29))*ISNUMBER(SEARCH("12pm-3pm",'(B) Register of Participants'!$Z$7)))+(ISNUMBER(SEARCH("3pm-6pm",$AS$29))*ISNUMBER(SEARCH("3pm-6pm",'(B) Register of Participants'!$Z$7)))+(ISNUMBER(SEARCH("6pm-9pm",$AS$29))*ISNUMBER(SEARCH("6pm-9pm",'(B) Register of Participants'!$Z$7)))+(ISNUMBER(SEARCH("6am-9am",$AS$30))*ISNUMBER(SEARCH("6am-9am",'(B) Register of Participants'!$AA$7)))+(ISNUMBER(SEARCH("9am-12pm",$AS$30))*ISNUMBER(SEARCH("9am-12pm",'(B) Register of Participants'!$AA$7)))+(ISNUMBER(SEARCH("12pm-3pm",$AS$30))*ISNUMBER(SEARCH("12pm-3pm",'(B) Register of Participants'!$AA$7)))+(ISNUMBER(SEARCH("3pm-6pm",$AS$30))*ISNUMBER(SEARCH("3pm-6pm",'(B) Register of Participants'!$AA$7)))+(ISNUMBER(SEARCH("6pm-9pm",$AS$30))*ISNUMBER(SEARCH("6pm-9pm",'(B) Register of Participants'!$AA$7)))+(ISNUMBER(SEARCH("6am-9am",$AS$31))*ISNUMBER(SEARCH("6am-9am",'(B) Register of Participants'!$AB$7)))+(ISNUMBER(SEARCH("9am-12pm",$AS$31))*ISNUMBER(SEARCH("9am-12pm",'(B) Register of Participants'!$AB$7)))+(ISNUMBER(SEARCH("12pm-3pm",$AS$31))*ISNUMBER(SEARCH("12pm-3pm",'(B) Register of Participants'!$AB$7)))+(ISNUMBER(SEARCH("3pm-6pm",$AS$31))*ISNUMBER(SEARCH("3pm-6pm",'(B) Register of Participants'!$AB$7)))+(ISNUMBER(SEARCH("6pm-9pm",$AS$31))*ISNUMBER(SEARCH("6pm-9pm",'(B) Register of Participants'!$AB$7)))+(ISNUMBER(SEARCH("6am-9am",$AS$32))*ISNUMBER(SEARCH("6am-9am",'(B) Register of Participants'!$AC$7)))+(ISNUMBER(SEARCH("9am-12pm",$AS$32))*ISNUMBER(SEARCH("9am-12pm",'(B) Register of Participants'!$AC$7)))+(ISNUMBER(SEARCH("12pm-3pm",$AS$32))*ISNUMBER(SEARCH("12pm-3pm",'(B) Register of Participants'!$AC$7)))+(ISNUMBER(SEARCH("3pm-6pm",$AS$32))*ISNUMBER(SEARCH("3pm-6pm",'(B) Register of Participants'!$AC$7)))+(ISNUMBER(SEARCH("6pm-9pm",$AS$32))*ISNUMBER(SEARCH("6pm-9pm",'(B) Register of Participants'!$AC$7)))+(ISNUMBER(SEARCH("6am-9am",$AS$33))*ISNUMBER(SEARCH("6am-9am",'(B) Register of Participants'!$AD$7)))+(ISNUMBER(SEARCH("9am-12pm",$AS$33))*ISNUMBER(SEARCH("9am-12pm",'(B) Register of Participants'!$AD$7)))+(ISNUMBER(SEARCH("12pm-3pm",$AS$33))*ISNUMBER(SEARCH("12pm-3pm",'(B) Register of Participants'!$AD$7)))+(ISNUMBER(SEARCH("3pm-6pm",$AS$33))*ISNUMBER(SEARCH("3pm-6pm",'(B) Register of Participants'!$AD$7)))+(ISNUMBER(SEARCH("6pm-9pm",$AS$33))*ISNUMBER(SEARCH("6pm-9pm",'(B) Register of Participants'!$AD$7)))</f>
        <v/>
      </c>
      <c r="Q29" s="20">
        <f>IF(OR(AND($AS$17&lt;&gt;"",$AS$17&lt;&gt;"English",IF($AS$17="Persian",OR(ISNUMBER(SEARCH("Dari",'(B) Register of Participants'!$AR$7)),ISNUMBER(SEARCH("Farsi",'(B) Register of Participants'!$AR$7)),ISNUMBER(SEARCH("Persian",'(B) Register of Participants'!$AR$7)),ISNUMBER(SEARCH("Hazaragi",'(B) Register of Participants'!$AR$7))),ISNUMBER(SEARCH($AS$17,'(B) Register of Participants'!$AR$7)))),AND($AS$20&lt;&gt;"",$AS$20&lt;&gt;"English",IF($AS$20="Persian",OR(ISNUMBER(SEARCH("Dari",'(B) Register of Participants'!$AR$7)),ISNUMBER(SEARCH("Farsi",'(B) Register of Participants'!$AR$7)),ISNUMBER(SEARCH("Persian",'(B) Register of Participants'!$AR$7)),ISNUMBER(SEARCH("Hazaragi",'(B) Register of Participants'!$AR$7))),ISNUMBER(SEARCH($AS$20,'(B) Register of Participants'!$AR$7))))),1,0)</f>
        <v/>
      </c>
      <c r="R29" s="20">
        <f>IF(AND(AH29,AI29,NOT(AJ29),NOT($AS$25),AK29,$AS$26,AM29,AN29,NOT(AL29)),"Yes","No")</f>
        <v/>
      </c>
      <c r="S29" s="20">
        <f>IF(OR(COUNTIF('Engine Lists'!$A:$A,$AS$14&amp;"|"&amp;AO29)&gt;0,COUNTIF('Engine Lists'!$A:$A,$AS$14&amp;"|"&amp;AP29)&gt;0,COUNTIF('Engine Lists'!$A:$A,$AS$15&amp;"|"&amp;AO29)&gt;0,COUNTIF('Engine Lists'!$A:$A,$AS$15&amp;"|"&amp;AP29)&gt;0,COUNTIF('Engine Lists'!$A:$A,$AS$21&amp;"|"&amp;I29)&gt;0),-8,0)</f>
        <v/>
      </c>
      <c r="T29" s="20">
        <f>IF(Q29=1,IF(OR($AS$8="A2",$AS$8="B1"),7,IF(OR($AS$8="B2",$AS$8="C1",$AS$8="C2"),-5,0)),0)</f>
        <v/>
      </c>
      <c r="U29" s="20">
        <f>IF(AND($AS$6=G29,OR($AS$6="Male",$AS$6="Female")),5,0)</f>
        <v/>
      </c>
      <c r="V29" s="20">
        <f>IF(AND($AS$24,$AS$11&lt;&gt;"In-Person",K29&lt;&gt;"In-Person"),-5,0)</f>
        <v/>
      </c>
      <c r="W29" s="20">
        <f>IF(OR($AS$11=K29,$AS$11="Either",K29="Either"),3,0)</f>
        <v/>
      </c>
      <c r="X29" s="20">
        <f>IF(AND($AS$11&lt;&gt;"Online",K29&lt;&gt;"Online",ISNUMBER($AS$22),ISNUMBER(IFERROR(VALUE(M29),"x"))),IF(ABS($AS$22-VALUE(M29))&lt;=50,3,0),0)</f>
        <v/>
      </c>
      <c r="Y29" s="20">
        <f>IF(AND($AS$10&lt;&gt;"",$AS$10=J29),3,0)</f>
        <v/>
      </c>
      <c r="Z29" s="20">
        <f>IF(OR(N($AS$13)&gt;=150,N(O29)&gt;=150),3,0)</f>
        <v/>
      </c>
      <c r="AA29" s="20">
        <f>IF(AND($AS$21&lt;&gt;"",$AS$21&lt;&gt;"NA",$AS$21=I29),2,0)</f>
        <v/>
      </c>
      <c r="AB29" s="20">
        <f>IF(OR(AND($AS$14&lt;&gt;"",$AS$14&lt;&gt;"NA",OR($AS$14=AO29,$AS$14=AP29)),AND($AS$15&lt;&gt;"",OR($AS$15=AO29,$AS$15=AP29))),2,0)</f>
        <v/>
      </c>
      <c r="AC29" s="20">
        <f>IF(AND(ISNUMBER($AS$12),ISNUMBER(N29),ABS($AS$12-N29)&lt;=10),2,0)</f>
        <v/>
      </c>
      <c r="AD29" s="20">
        <f>IF(R29="Yes",SUM(S29:AC29),"")</f>
        <v/>
      </c>
      <c r="AE29" s="20">
        <f>IF(R29="Yes","Score "&amp;AD29&amp;": "&amp;TRIM(IF(S29&lt;&gt;0,"−8 acrimonious; ","")&amp;IF(T29=7,"+7 shared language; ","")&amp;IF(T29=-5,"−5 shared lang(adv); ","")&amp;IF(U29=5,"+5 same-sex; ","")&amp;IF(V29=-5,"−5 online no device; ","")&amp;IF(W29=3,"+3 mode; ","")&amp;IF(X29=3,"+3 proximity; ","")&amp;IF(Y29=3,"+3 category; ","")&amp;IF(Z29=3,"+3 long wait; ","")&amp;IF(AA29=2,"+2 religion; ","")&amp;IF(AB29=2,"+2 nationality; ","")&amp;IF(AC29=2,"+2 age; ","")),"Not eligible: "&amp;IF(NOT(AH29),"tutor not pending/with-capacity",IF(NOT(AI29),"no spare capacity",IF(AJ29,"tutor blacklisted",IF($AS$25,"student blacklisted",IF(NOT(AK29),"tutor vetting incomplete",IF(NOT($AS$26),"student vetting incomplete",IF(NOT(AM29),"no overlapping 3h AEST block",IF(NOT(AN29),"A1 student needs a shared language",IF(AL29,"'do not pair' note present",""))))))))))</f>
        <v/>
      </c>
      <c r="AF29">
        <f>TRIM(IFERROR(LEFT('(B) Register of Participants'!$AR$7,FIND(" (",'(B) Register of Participants'!$AR$7)-1),'(B) Register of Participants'!$AR$7))</f>
        <v/>
      </c>
      <c r="AG29">
        <f>IF(ISNUMBER(SEARCH("Mandarin",'(B) Register of Participants'!$AR$7)),"Mandarin",IF(ISNUMBER(SEARCH("Cantonese",'(B) Register of Participants'!$AR$7)),"Cantonese",IF(OR(AF29="Dari",AF29="Farsi",AF29="Persian",AF29="Hazaragi"),"Persian",AF29)))</f>
        <v/>
      </c>
      <c r="AH29">
        <f>OR(E29="ADM-ACT-UNMAT",E29="ADM-ACT-MAT-CNE")</f>
        <v/>
      </c>
      <c r="AI29">
        <f>F29&gt;0</f>
        <v/>
      </c>
      <c r="AJ29">
        <f>LEFT('(B) Register of Participants'!$L$7,3)="Yes"</f>
        <v/>
      </c>
      <c r="AK29">
        <f>AND(OR(LEFT('(B) Register of Participants'!$AY$7,3)="Yes",LEFT('(B) Register of Participants'!$AY$7,2)="NA"),OR(LEFT('(B) Register of Participants'!$AZ$7,3)="Yes",LEFT('(B) Register of Participants'!$AZ$7,2)="NA"))</f>
        <v/>
      </c>
      <c r="AL29">
        <f>OR(ISNUMBER(SEARCH("do not pair",'(B) Register of Participants'!$BL$7)),ISNUMBER(SEARCH("do not pair",'(B) Register of Participants'!$BM$7)))</f>
        <v/>
      </c>
      <c r="AM29">
        <f>P29&gt;0</f>
        <v/>
      </c>
      <c r="AN29">
        <f>IF($AS$8="A1",Q29=1,TRUE)</f>
        <v/>
      </c>
      <c r="AO29">
        <f>TRIM(IFERROR(LEFT('(B) Register of Participants'!$AP$7,FIND(";",'(B) Register of Participants'!$AP$7)-1),'(B) Register of Participants'!$AP$7))</f>
        <v/>
      </c>
      <c r="AP29">
        <f>IF(ISNUMBER(FIND(";",'(B) Register of Participants'!$AP$7)),TRIM(MID('(B) Register of Participants'!$AP$7,FIND(";",'(B) Register of Participants'!$AP$7)+1,80)),"")</f>
        <v/>
      </c>
      <c r="AR29" s="70" t="inlineStr">
        <is>
          <t>sday2</t>
        </is>
      </c>
      <c r="AS29">
        <f>IFERROR(VLOOKUP($C$5,'(B) Register of Participants'!$A:$DJ,26,FALSE),"")</f>
        <v/>
      </c>
    </row>
    <row r="30">
      <c r="B30" s="20">
        <f>IF(R30="Yes",RANK(AD30,$AD$25:$AD$124),"")</f>
        <v/>
      </c>
      <c r="C30" s="20">
        <f>'(B) Register of Participants'!$A$8</f>
        <v/>
      </c>
      <c r="D30" s="20">
        <f>'(B) Register of Participants'!$B$8</f>
        <v/>
      </c>
      <c r="E30" s="20">
        <f>'(B) Register of Participants'!$J$8</f>
        <v/>
      </c>
      <c r="F30" s="20">
        <f>IFERROR('(B) Register of Participants'!$O$8-'(B) Register of Participants'!$P$8,0)</f>
        <v/>
      </c>
      <c r="G30" s="20">
        <f>'(B) Register of Participants'!$AL$8</f>
        <v/>
      </c>
      <c r="H30" s="20">
        <f>'(B) Register of Participants'!$AP$8</f>
        <v/>
      </c>
      <c r="I30" s="20">
        <f>TRIM(IFERROR(LEFT('(B) Register of Participants'!$AS$8,FIND(" (",'(B) Register of Participants'!$AS$8)-1),'(B) Register of Participants'!$AS$8))</f>
        <v/>
      </c>
      <c r="J30" s="20">
        <f>'(B) Register of Participants'!$AT$8</f>
        <v/>
      </c>
      <c r="K30" s="20">
        <f>'(B) Register of Participants'!$AE$8</f>
        <v/>
      </c>
      <c r="L30" s="20">
        <f>'(B) Register of Participants'!$AF$8</f>
        <v/>
      </c>
      <c r="M30" s="20">
        <f>'(B) Register of Participants'!$AJ$8</f>
        <v/>
      </c>
      <c r="N30" s="20">
        <f>'(B) Register of Participants'!$CY$8</f>
        <v/>
      </c>
      <c r="O30" s="20">
        <f>'(B) Register of Participants'!$CW$8</f>
        <v/>
      </c>
      <c r="P30" s="20">
        <f>(ISNUMBER(SEARCH("6am-9am",$AS$27))*ISNUMBER(SEARCH("6am-9am",'(B) Register of Participants'!$X$8)))+(ISNUMBER(SEARCH("9am-12pm",$AS$27))*ISNUMBER(SEARCH("9am-12pm",'(B) Register of Participants'!$X$8)))+(ISNUMBER(SEARCH("12pm-3pm",$AS$27))*ISNUMBER(SEARCH("12pm-3pm",'(B) Register of Participants'!$X$8)))+(ISNUMBER(SEARCH("3pm-6pm",$AS$27))*ISNUMBER(SEARCH("3pm-6pm",'(B) Register of Participants'!$X$8)))+(ISNUMBER(SEARCH("6pm-9pm",$AS$27))*ISNUMBER(SEARCH("6pm-9pm",'(B) Register of Participants'!$X$8)))+(ISNUMBER(SEARCH("6am-9am",$AS$28))*ISNUMBER(SEARCH("6am-9am",'(B) Register of Participants'!$Y$8)))+(ISNUMBER(SEARCH("9am-12pm",$AS$28))*ISNUMBER(SEARCH("9am-12pm",'(B) Register of Participants'!$Y$8)))+(ISNUMBER(SEARCH("12pm-3pm",$AS$28))*ISNUMBER(SEARCH("12pm-3pm",'(B) Register of Participants'!$Y$8)))+(ISNUMBER(SEARCH("3pm-6pm",$AS$28))*ISNUMBER(SEARCH("3pm-6pm",'(B) Register of Participants'!$Y$8)))+(ISNUMBER(SEARCH("6pm-9pm",$AS$28))*ISNUMBER(SEARCH("6pm-9pm",'(B) Register of Participants'!$Y$8)))+(ISNUMBER(SEARCH("6am-9am",$AS$29))*ISNUMBER(SEARCH("6am-9am",'(B) Register of Participants'!$Z$8)))+(ISNUMBER(SEARCH("9am-12pm",$AS$29))*ISNUMBER(SEARCH("9am-12pm",'(B) Register of Participants'!$Z$8)))+(ISNUMBER(SEARCH("12pm-3pm",$AS$29))*ISNUMBER(SEARCH("12pm-3pm",'(B) Register of Participants'!$Z$8)))+(ISNUMBER(SEARCH("3pm-6pm",$AS$29))*ISNUMBER(SEARCH("3pm-6pm",'(B) Register of Participants'!$Z$8)))+(ISNUMBER(SEARCH("6pm-9pm",$AS$29))*ISNUMBER(SEARCH("6pm-9pm",'(B) Register of Participants'!$Z$8)))+(ISNUMBER(SEARCH("6am-9am",$AS$30))*ISNUMBER(SEARCH("6am-9am",'(B) Register of Participants'!$AA$8)))+(ISNUMBER(SEARCH("9am-12pm",$AS$30))*ISNUMBER(SEARCH("9am-12pm",'(B) Register of Participants'!$AA$8)))+(ISNUMBER(SEARCH("12pm-3pm",$AS$30))*ISNUMBER(SEARCH("12pm-3pm",'(B) Register of Participants'!$AA$8)))+(ISNUMBER(SEARCH("3pm-6pm",$AS$30))*ISNUMBER(SEARCH("3pm-6pm",'(B) Register of Participants'!$AA$8)))+(ISNUMBER(SEARCH("6pm-9pm",$AS$30))*ISNUMBER(SEARCH("6pm-9pm",'(B) Register of Participants'!$AA$8)))+(ISNUMBER(SEARCH("6am-9am",$AS$31))*ISNUMBER(SEARCH("6am-9am",'(B) Register of Participants'!$AB$8)))+(ISNUMBER(SEARCH("9am-12pm",$AS$31))*ISNUMBER(SEARCH("9am-12pm",'(B) Register of Participants'!$AB$8)))+(ISNUMBER(SEARCH("12pm-3pm",$AS$31))*ISNUMBER(SEARCH("12pm-3pm",'(B) Register of Participants'!$AB$8)))+(ISNUMBER(SEARCH("3pm-6pm",$AS$31))*ISNUMBER(SEARCH("3pm-6pm",'(B) Register of Participants'!$AB$8)))+(ISNUMBER(SEARCH("6pm-9pm",$AS$31))*ISNUMBER(SEARCH("6pm-9pm",'(B) Register of Participants'!$AB$8)))+(ISNUMBER(SEARCH("6am-9am",$AS$32))*ISNUMBER(SEARCH("6am-9am",'(B) Register of Participants'!$AC$8)))+(ISNUMBER(SEARCH("9am-12pm",$AS$32))*ISNUMBER(SEARCH("9am-12pm",'(B) Register of Participants'!$AC$8)))+(ISNUMBER(SEARCH("12pm-3pm",$AS$32))*ISNUMBER(SEARCH("12pm-3pm",'(B) Register of Participants'!$AC$8)))+(ISNUMBER(SEARCH("3pm-6pm",$AS$32))*ISNUMBER(SEARCH("3pm-6pm",'(B) Register of Participants'!$AC$8)))+(ISNUMBER(SEARCH("6pm-9pm",$AS$32))*ISNUMBER(SEARCH("6pm-9pm",'(B) Register of Participants'!$AC$8)))+(ISNUMBER(SEARCH("6am-9am",$AS$33))*ISNUMBER(SEARCH("6am-9am",'(B) Register of Participants'!$AD$8)))+(ISNUMBER(SEARCH("9am-12pm",$AS$33))*ISNUMBER(SEARCH("9am-12pm",'(B) Register of Participants'!$AD$8)))+(ISNUMBER(SEARCH("12pm-3pm",$AS$33))*ISNUMBER(SEARCH("12pm-3pm",'(B) Register of Participants'!$AD$8)))+(ISNUMBER(SEARCH("3pm-6pm",$AS$33))*ISNUMBER(SEARCH("3pm-6pm",'(B) Register of Participants'!$AD$8)))+(ISNUMBER(SEARCH("6pm-9pm",$AS$33))*ISNUMBER(SEARCH("6pm-9pm",'(B) Register of Participants'!$AD$8)))</f>
        <v/>
      </c>
      <c r="Q30" s="20">
        <f>IF(OR(AND($AS$17&lt;&gt;"",$AS$17&lt;&gt;"English",IF($AS$17="Persian",OR(ISNUMBER(SEARCH("Dari",'(B) Register of Participants'!$AR$8)),ISNUMBER(SEARCH("Farsi",'(B) Register of Participants'!$AR$8)),ISNUMBER(SEARCH("Persian",'(B) Register of Participants'!$AR$8)),ISNUMBER(SEARCH("Hazaragi",'(B) Register of Participants'!$AR$8))),ISNUMBER(SEARCH($AS$17,'(B) Register of Participants'!$AR$8)))),AND($AS$20&lt;&gt;"",$AS$20&lt;&gt;"English",IF($AS$20="Persian",OR(ISNUMBER(SEARCH("Dari",'(B) Register of Participants'!$AR$8)),ISNUMBER(SEARCH("Farsi",'(B) Register of Participants'!$AR$8)),ISNUMBER(SEARCH("Persian",'(B) Register of Participants'!$AR$8)),ISNUMBER(SEARCH("Hazaragi",'(B) Register of Participants'!$AR$8))),ISNUMBER(SEARCH($AS$20,'(B) Register of Participants'!$AR$8))))),1,0)</f>
        <v/>
      </c>
      <c r="R30" s="20">
        <f>IF(AND(AH30,AI30,NOT(AJ30),NOT($AS$25),AK30,$AS$26,AM30,AN30,NOT(AL30)),"Yes","No")</f>
        <v/>
      </c>
      <c r="S30" s="20">
        <f>IF(OR(COUNTIF('Engine Lists'!$A:$A,$AS$14&amp;"|"&amp;AO30)&gt;0,COUNTIF('Engine Lists'!$A:$A,$AS$14&amp;"|"&amp;AP30)&gt;0,COUNTIF('Engine Lists'!$A:$A,$AS$15&amp;"|"&amp;AO30)&gt;0,COUNTIF('Engine Lists'!$A:$A,$AS$15&amp;"|"&amp;AP30)&gt;0,COUNTIF('Engine Lists'!$A:$A,$AS$21&amp;"|"&amp;I30)&gt;0),-8,0)</f>
        <v/>
      </c>
      <c r="T30" s="20">
        <f>IF(Q30=1,IF(OR($AS$8="A2",$AS$8="B1"),7,IF(OR($AS$8="B2",$AS$8="C1",$AS$8="C2"),-5,0)),0)</f>
        <v/>
      </c>
      <c r="U30" s="20">
        <f>IF(AND($AS$6=G30,OR($AS$6="Male",$AS$6="Female")),5,0)</f>
        <v/>
      </c>
      <c r="V30" s="20">
        <f>IF(AND($AS$24,$AS$11&lt;&gt;"In-Person",K30&lt;&gt;"In-Person"),-5,0)</f>
        <v/>
      </c>
      <c r="W30" s="20">
        <f>IF(OR($AS$11=K30,$AS$11="Either",K30="Either"),3,0)</f>
        <v/>
      </c>
      <c r="X30" s="20">
        <f>IF(AND($AS$11&lt;&gt;"Online",K30&lt;&gt;"Online",ISNUMBER($AS$22),ISNUMBER(IFERROR(VALUE(M30),"x"))),IF(ABS($AS$22-VALUE(M30))&lt;=50,3,0),0)</f>
        <v/>
      </c>
      <c r="Y30" s="20">
        <f>IF(AND($AS$10&lt;&gt;"",$AS$10=J30),3,0)</f>
        <v/>
      </c>
      <c r="Z30" s="20">
        <f>IF(OR(N($AS$13)&gt;=150,N(O30)&gt;=150),3,0)</f>
        <v/>
      </c>
      <c r="AA30" s="20">
        <f>IF(AND($AS$21&lt;&gt;"",$AS$21&lt;&gt;"NA",$AS$21=I30),2,0)</f>
        <v/>
      </c>
      <c r="AB30" s="20">
        <f>IF(OR(AND($AS$14&lt;&gt;"",$AS$14&lt;&gt;"NA",OR($AS$14=AO30,$AS$14=AP30)),AND($AS$15&lt;&gt;"",OR($AS$15=AO30,$AS$15=AP30))),2,0)</f>
        <v/>
      </c>
      <c r="AC30" s="20">
        <f>IF(AND(ISNUMBER($AS$12),ISNUMBER(N30),ABS($AS$12-N30)&lt;=10),2,0)</f>
        <v/>
      </c>
      <c r="AD30" s="20">
        <f>IF(R30="Yes",SUM(S30:AC30),"")</f>
        <v/>
      </c>
      <c r="AE30" s="20">
        <f>IF(R30="Yes","Score "&amp;AD30&amp;": "&amp;TRIM(IF(S30&lt;&gt;0,"−8 acrimonious; ","")&amp;IF(T30=7,"+7 shared language; ","")&amp;IF(T30=-5,"−5 shared lang(adv); ","")&amp;IF(U30=5,"+5 same-sex; ","")&amp;IF(V30=-5,"−5 online no device; ","")&amp;IF(W30=3,"+3 mode; ","")&amp;IF(X30=3,"+3 proximity; ","")&amp;IF(Y30=3,"+3 category; ","")&amp;IF(Z30=3,"+3 long wait; ","")&amp;IF(AA30=2,"+2 religion; ","")&amp;IF(AB30=2,"+2 nationality; ","")&amp;IF(AC30=2,"+2 age; ","")),"Not eligible: "&amp;IF(NOT(AH30),"tutor not pending/with-capacity",IF(NOT(AI30),"no spare capacity",IF(AJ30,"tutor blacklisted",IF($AS$25,"student blacklisted",IF(NOT(AK30),"tutor vetting incomplete",IF(NOT($AS$26),"student vetting incomplete",IF(NOT(AM30),"no overlapping 3h AEST block",IF(NOT(AN30),"A1 student needs a shared language",IF(AL30,"'do not pair' note present",""))))))))))</f>
        <v/>
      </c>
      <c r="AF30">
        <f>TRIM(IFERROR(LEFT('(B) Register of Participants'!$AR$8,FIND(" (",'(B) Register of Participants'!$AR$8)-1),'(B) Register of Participants'!$AR$8))</f>
        <v/>
      </c>
      <c r="AG30">
        <f>IF(ISNUMBER(SEARCH("Mandarin",'(B) Register of Participants'!$AR$8)),"Mandarin",IF(ISNUMBER(SEARCH("Cantonese",'(B) Register of Participants'!$AR$8)),"Cantonese",IF(OR(AF30="Dari",AF30="Farsi",AF30="Persian",AF30="Hazaragi"),"Persian",AF30)))</f>
        <v/>
      </c>
      <c r="AH30">
        <f>OR(E30="ADM-ACT-UNMAT",E30="ADM-ACT-MAT-CNE")</f>
        <v/>
      </c>
      <c r="AI30">
        <f>F30&gt;0</f>
        <v/>
      </c>
      <c r="AJ30">
        <f>LEFT('(B) Register of Participants'!$L$8,3)="Yes"</f>
        <v/>
      </c>
      <c r="AK30">
        <f>AND(OR(LEFT('(B) Register of Participants'!$AY$8,3)="Yes",LEFT('(B) Register of Participants'!$AY$8,2)="NA"),OR(LEFT('(B) Register of Participants'!$AZ$8,3)="Yes",LEFT('(B) Register of Participants'!$AZ$8,2)="NA"))</f>
        <v/>
      </c>
      <c r="AL30">
        <f>OR(ISNUMBER(SEARCH("do not pair",'(B) Register of Participants'!$BL$8)),ISNUMBER(SEARCH("do not pair",'(B) Register of Participants'!$BM$8)))</f>
        <v/>
      </c>
      <c r="AM30">
        <f>P30&gt;0</f>
        <v/>
      </c>
      <c r="AN30">
        <f>IF($AS$8="A1",Q30=1,TRUE)</f>
        <v/>
      </c>
      <c r="AO30">
        <f>TRIM(IFERROR(LEFT('(B) Register of Participants'!$AP$8,FIND(";",'(B) Register of Participants'!$AP$8)-1),'(B) Register of Participants'!$AP$8))</f>
        <v/>
      </c>
      <c r="AP30">
        <f>IF(ISNUMBER(FIND(";",'(B) Register of Participants'!$AP$8)),TRIM(MID('(B) Register of Participants'!$AP$8,FIND(";",'(B) Register of Participants'!$AP$8)+1,80)),"")</f>
        <v/>
      </c>
      <c r="AR30" s="70" t="inlineStr">
        <is>
          <t>sday3</t>
        </is>
      </c>
      <c r="AS30">
        <f>IFERROR(VLOOKUP($C$5,'(B) Register of Participants'!$A:$DJ,27,FALSE),"")</f>
        <v/>
      </c>
    </row>
    <row r="31">
      <c r="B31" s="20">
        <f>IF(R31="Yes",RANK(AD31,$AD$25:$AD$124),"")</f>
        <v/>
      </c>
      <c r="C31" s="20">
        <f>'(B) Register of Participants'!$A$9</f>
        <v/>
      </c>
      <c r="D31" s="20">
        <f>'(B) Register of Participants'!$B$9</f>
        <v/>
      </c>
      <c r="E31" s="20">
        <f>'(B) Register of Participants'!$J$9</f>
        <v/>
      </c>
      <c r="F31" s="20">
        <f>IFERROR('(B) Register of Participants'!$O$9-'(B) Register of Participants'!$P$9,0)</f>
        <v/>
      </c>
      <c r="G31" s="20">
        <f>'(B) Register of Participants'!$AL$9</f>
        <v/>
      </c>
      <c r="H31" s="20">
        <f>'(B) Register of Participants'!$AP$9</f>
        <v/>
      </c>
      <c r="I31" s="20">
        <f>TRIM(IFERROR(LEFT('(B) Register of Participants'!$AS$9,FIND(" (",'(B) Register of Participants'!$AS$9)-1),'(B) Register of Participants'!$AS$9))</f>
        <v/>
      </c>
      <c r="J31" s="20">
        <f>'(B) Register of Participants'!$AT$9</f>
        <v/>
      </c>
      <c r="K31" s="20">
        <f>'(B) Register of Participants'!$AE$9</f>
        <v/>
      </c>
      <c r="L31" s="20">
        <f>'(B) Register of Participants'!$AF$9</f>
        <v/>
      </c>
      <c r="M31" s="20">
        <f>'(B) Register of Participants'!$AJ$9</f>
        <v/>
      </c>
      <c r="N31" s="20">
        <f>'(B) Register of Participants'!$CY$9</f>
        <v/>
      </c>
      <c r="O31" s="20">
        <f>'(B) Register of Participants'!$CW$9</f>
        <v/>
      </c>
      <c r="P31" s="20">
        <f>(ISNUMBER(SEARCH("6am-9am",$AS$27))*ISNUMBER(SEARCH("6am-9am",'(B) Register of Participants'!$X$9)))+(ISNUMBER(SEARCH("9am-12pm",$AS$27))*ISNUMBER(SEARCH("9am-12pm",'(B) Register of Participants'!$X$9)))+(ISNUMBER(SEARCH("12pm-3pm",$AS$27))*ISNUMBER(SEARCH("12pm-3pm",'(B) Register of Participants'!$X$9)))+(ISNUMBER(SEARCH("3pm-6pm",$AS$27))*ISNUMBER(SEARCH("3pm-6pm",'(B) Register of Participants'!$X$9)))+(ISNUMBER(SEARCH("6pm-9pm",$AS$27))*ISNUMBER(SEARCH("6pm-9pm",'(B) Register of Participants'!$X$9)))+(ISNUMBER(SEARCH("6am-9am",$AS$28))*ISNUMBER(SEARCH("6am-9am",'(B) Register of Participants'!$Y$9)))+(ISNUMBER(SEARCH("9am-12pm",$AS$28))*ISNUMBER(SEARCH("9am-12pm",'(B) Register of Participants'!$Y$9)))+(ISNUMBER(SEARCH("12pm-3pm",$AS$28))*ISNUMBER(SEARCH("12pm-3pm",'(B) Register of Participants'!$Y$9)))+(ISNUMBER(SEARCH("3pm-6pm",$AS$28))*ISNUMBER(SEARCH("3pm-6pm",'(B) Register of Participants'!$Y$9)))+(ISNUMBER(SEARCH("6pm-9pm",$AS$28))*ISNUMBER(SEARCH("6pm-9pm",'(B) Register of Participants'!$Y$9)))+(ISNUMBER(SEARCH("6am-9am",$AS$29))*ISNUMBER(SEARCH("6am-9am",'(B) Register of Participants'!$Z$9)))+(ISNUMBER(SEARCH("9am-12pm",$AS$29))*ISNUMBER(SEARCH("9am-12pm",'(B) Register of Participants'!$Z$9)))+(ISNUMBER(SEARCH("12pm-3pm",$AS$29))*ISNUMBER(SEARCH("12pm-3pm",'(B) Register of Participants'!$Z$9)))+(ISNUMBER(SEARCH("3pm-6pm",$AS$29))*ISNUMBER(SEARCH("3pm-6pm",'(B) Register of Participants'!$Z$9)))+(ISNUMBER(SEARCH("6pm-9pm",$AS$29))*ISNUMBER(SEARCH("6pm-9pm",'(B) Register of Participants'!$Z$9)))+(ISNUMBER(SEARCH("6am-9am",$AS$30))*ISNUMBER(SEARCH("6am-9am",'(B) Register of Participants'!$AA$9)))+(ISNUMBER(SEARCH("9am-12pm",$AS$30))*ISNUMBER(SEARCH("9am-12pm",'(B) Register of Participants'!$AA$9)))+(ISNUMBER(SEARCH("12pm-3pm",$AS$30))*ISNUMBER(SEARCH("12pm-3pm",'(B) Register of Participants'!$AA$9)))+(ISNUMBER(SEARCH("3pm-6pm",$AS$30))*ISNUMBER(SEARCH("3pm-6pm",'(B) Register of Participants'!$AA$9)))+(ISNUMBER(SEARCH("6pm-9pm",$AS$30))*ISNUMBER(SEARCH("6pm-9pm",'(B) Register of Participants'!$AA$9)))+(ISNUMBER(SEARCH("6am-9am",$AS$31))*ISNUMBER(SEARCH("6am-9am",'(B) Register of Participants'!$AB$9)))+(ISNUMBER(SEARCH("9am-12pm",$AS$31))*ISNUMBER(SEARCH("9am-12pm",'(B) Register of Participants'!$AB$9)))+(ISNUMBER(SEARCH("12pm-3pm",$AS$31))*ISNUMBER(SEARCH("12pm-3pm",'(B) Register of Participants'!$AB$9)))+(ISNUMBER(SEARCH("3pm-6pm",$AS$31))*ISNUMBER(SEARCH("3pm-6pm",'(B) Register of Participants'!$AB$9)))+(ISNUMBER(SEARCH("6pm-9pm",$AS$31))*ISNUMBER(SEARCH("6pm-9pm",'(B) Register of Participants'!$AB$9)))+(ISNUMBER(SEARCH("6am-9am",$AS$32))*ISNUMBER(SEARCH("6am-9am",'(B) Register of Participants'!$AC$9)))+(ISNUMBER(SEARCH("9am-12pm",$AS$32))*ISNUMBER(SEARCH("9am-12pm",'(B) Register of Participants'!$AC$9)))+(ISNUMBER(SEARCH("12pm-3pm",$AS$32))*ISNUMBER(SEARCH("12pm-3pm",'(B) Register of Participants'!$AC$9)))+(ISNUMBER(SEARCH("3pm-6pm",$AS$32))*ISNUMBER(SEARCH("3pm-6pm",'(B) Register of Participants'!$AC$9)))+(ISNUMBER(SEARCH("6pm-9pm",$AS$32))*ISNUMBER(SEARCH("6pm-9pm",'(B) Register of Participants'!$AC$9)))+(ISNUMBER(SEARCH("6am-9am",$AS$33))*ISNUMBER(SEARCH("6am-9am",'(B) Register of Participants'!$AD$9)))+(ISNUMBER(SEARCH("9am-12pm",$AS$33))*ISNUMBER(SEARCH("9am-12pm",'(B) Register of Participants'!$AD$9)))+(ISNUMBER(SEARCH("12pm-3pm",$AS$33))*ISNUMBER(SEARCH("12pm-3pm",'(B) Register of Participants'!$AD$9)))+(ISNUMBER(SEARCH("3pm-6pm",$AS$33))*ISNUMBER(SEARCH("3pm-6pm",'(B) Register of Participants'!$AD$9)))+(ISNUMBER(SEARCH("6pm-9pm",$AS$33))*ISNUMBER(SEARCH("6pm-9pm",'(B) Register of Participants'!$AD$9)))</f>
        <v/>
      </c>
      <c r="Q31" s="20">
        <f>IF(OR(AND($AS$17&lt;&gt;"",$AS$17&lt;&gt;"English",IF($AS$17="Persian",OR(ISNUMBER(SEARCH("Dari",'(B) Register of Participants'!$AR$9)),ISNUMBER(SEARCH("Farsi",'(B) Register of Participants'!$AR$9)),ISNUMBER(SEARCH("Persian",'(B) Register of Participants'!$AR$9)),ISNUMBER(SEARCH("Hazaragi",'(B) Register of Participants'!$AR$9))),ISNUMBER(SEARCH($AS$17,'(B) Register of Participants'!$AR$9)))),AND($AS$20&lt;&gt;"",$AS$20&lt;&gt;"English",IF($AS$20="Persian",OR(ISNUMBER(SEARCH("Dari",'(B) Register of Participants'!$AR$9)),ISNUMBER(SEARCH("Farsi",'(B) Register of Participants'!$AR$9)),ISNUMBER(SEARCH("Persian",'(B) Register of Participants'!$AR$9)),ISNUMBER(SEARCH("Hazaragi",'(B) Register of Participants'!$AR$9))),ISNUMBER(SEARCH($AS$20,'(B) Register of Participants'!$AR$9))))),1,0)</f>
        <v/>
      </c>
      <c r="R31" s="20">
        <f>IF(AND(AH31,AI31,NOT(AJ31),NOT($AS$25),AK31,$AS$26,AM31,AN31,NOT(AL31)),"Yes","No")</f>
        <v/>
      </c>
      <c r="S31" s="20">
        <f>IF(OR(COUNTIF('Engine Lists'!$A:$A,$AS$14&amp;"|"&amp;AO31)&gt;0,COUNTIF('Engine Lists'!$A:$A,$AS$14&amp;"|"&amp;AP31)&gt;0,COUNTIF('Engine Lists'!$A:$A,$AS$15&amp;"|"&amp;AO31)&gt;0,COUNTIF('Engine Lists'!$A:$A,$AS$15&amp;"|"&amp;AP31)&gt;0,COUNTIF('Engine Lists'!$A:$A,$AS$21&amp;"|"&amp;I31)&gt;0),-8,0)</f>
        <v/>
      </c>
      <c r="T31" s="20">
        <f>IF(Q31=1,IF(OR($AS$8="A2",$AS$8="B1"),7,IF(OR($AS$8="B2",$AS$8="C1",$AS$8="C2"),-5,0)),0)</f>
        <v/>
      </c>
      <c r="U31" s="20">
        <f>IF(AND($AS$6=G31,OR($AS$6="Male",$AS$6="Female")),5,0)</f>
        <v/>
      </c>
      <c r="V31" s="20">
        <f>IF(AND($AS$24,$AS$11&lt;&gt;"In-Person",K31&lt;&gt;"In-Person"),-5,0)</f>
        <v/>
      </c>
      <c r="W31" s="20">
        <f>IF(OR($AS$11=K31,$AS$11="Either",K31="Either"),3,0)</f>
        <v/>
      </c>
      <c r="X31" s="20">
        <f>IF(AND($AS$11&lt;&gt;"Online",K31&lt;&gt;"Online",ISNUMBER($AS$22),ISNUMBER(IFERROR(VALUE(M31),"x"))),IF(ABS($AS$22-VALUE(M31))&lt;=50,3,0),0)</f>
        <v/>
      </c>
      <c r="Y31" s="20">
        <f>IF(AND($AS$10&lt;&gt;"",$AS$10=J31),3,0)</f>
        <v/>
      </c>
      <c r="Z31" s="20">
        <f>IF(OR(N($AS$13)&gt;=150,N(O31)&gt;=150),3,0)</f>
        <v/>
      </c>
      <c r="AA31" s="20">
        <f>IF(AND($AS$21&lt;&gt;"",$AS$21&lt;&gt;"NA",$AS$21=I31),2,0)</f>
        <v/>
      </c>
      <c r="AB31" s="20">
        <f>IF(OR(AND($AS$14&lt;&gt;"",$AS$14&lt;&gt;"NA",OR($AS$14=AO31,$AS$14=AP31)),AND($AS$15&lt;&gt;"",OR($AS$15=AO31,$AS$15=AP31))),2,0)</f>
        <v/>
      </c>
      <c r="AC31" s="20">
        <f>IF(AND(ISNUMBER($AS$12),ISNUMBER(N31),ABS($AS$12-N31)&lt;=10),2,0)</f>
        <v/>
      </c>
      <c r="AD31" s="20">
        <f>IF(R31="Yes",SUM(S31:AC31),"")</f>
        <v/>
      </c>
      <c r="AE31" s="20">
        <f>IF(R31="Yes","Score "&amp;AD31&amp;": "&amp;TRIM(IF(S31&lt;&gt;0,"−8 acrimonious; ","")&amp;IF(T31=7,"+7 shared language; ","")&amp;IF(T31=-5,"−5 shared lang(adv); ","")&amp;IF(U31=5,"+5 same-sex; ","")&amp;IF(V31=-5,"−5 online no device; ","")&amp;IF(W31=3,"+3 mode; ","")&amp;IF(X31=3,"+3 proximity; ","")&amp;IF(Y31=3,"+3 category; ","")&amp;IF(Z31=3,"+3 long wait; ","")&amp;IF(AA31=2,"+2 religion; ","")&amp;IF(AB31=2,"+2 nationality; ","")&amp;IF(AC31=2,"+2 age; ","")),"Not eligible: "&amp;IF(NOT(AH31),"tutor not pending/with-capacity",IF(NOT(AI31),"no spare capacity",IF(AJ31,"tutor blacklisted",IF($AS$25,"student blacklisted",IF(NOT(AK31),"tutor vetting incomplete",IF(NOT($AS$26),"student vetting incomplete",IF(NOT(AM31),"no overlapping 3h AEST block",IF(NOT(AN31),"A1 student needs a shared language",IF(AL31,"'do not pair' note present",""))))))))))</f>
        <v/>
      </c>
      <c r="AF31">
        <f>TRIM(IFERROR(LEFT('(B) Register of Participants'!$AR$9,FIND(" (",'(B) Register of Participants'!$AR$9)-1),'(B) Register of Participants'!$AR$9))</f>
        <v/>
      </c>
      <c r="AG31">
        <f>IF(ISNUMBER(SEARCH("Mandarin",'(B) Register of Participants'!$AR$9)),"Mandarin",IF(ISNUMBER(SEARCH("Cantonese",'(B) Register of Participants'!$AR$9)),"Cantonese",IF(OR(AF31="Dari",AF31="Farsi",AF31="Persian",AF31="Hazaragi"),"Persian",AF31)))</f>
        <v/>
      </c>
      <c r="AH31">
        <f>OR(E31="ADM-ACT-UNMAT",E31="ADM-ACT-MAT-CNE")</f>
        <v/>
      </c>
      <c r="AI31">
        <f>F31&gt;0</f>
        <v/>
      </c>
      <c r="AJ31">
        <f>LEFT('(B) Register of Participants'!$L$9,3)="Yes"</f>
        <v/>
      </c>
      <c r="AK31">
        <f>AND(OR(LEFT('(B) Register of Participants'!$AY$9,3)="Yes",LEFT('(B) Register of Participants'!$AY$9,2)="NA"),OR(LEFT('(B) Register of Participants'!$AZ$9,3)="Yes",LEFT('(B) Register of Participants'!$AZ$9,2)="NA"))</f>
        <v/>
      </c>
      <c r="AL31">
        <f>OR(ISNUMBER(SEARCH("do not pair",'(B) Register of Participants'!$BL$9)),ISNUMBER(SEARCH("do not pair",'(B) Register of Participants'!$BM$9)))</f>
        <v/>
      </c>
      <c r="AM31">
        <f>P31&gt;0</f>
        <v/>
      </c>
      <c r="AN31">
        <f>IF($AS$8="A1",Q31=1,TRUE)</f>
        <v/>
      </c>
      <c r="AO31">
        <f>TRIM(IFERROR(LEFT('(B) Register of Participants'!$AP$9,FIND(";",'(B) Register of Participants'!$AP$9)-1),'(B) Register of Participants'!$AP$9))</f>
        <v/>
      </c>
      <c r="AP31">
        <f>IF(ISNUMBER(FIND(";",'(B) Register of Participants'!$AP$9)),TRIM(MID('(B) Register of Participants'!$AP$9,FIND(";",'(B) Register of Participants'!$AP$9)+1,80)),"")</f>
        <v/>
      </c>
      <c r="AR31" s="70" t="inlineStr">
        <is>
          <t>sday4</t>
        </is>
      </c>
      <c r="AS31">
        <f>IFERROR(VLOOKUP($C$5,'(B) Register of Participants'!$A:$DJ,28,FALSE),"")</f>
        <v/>
      </c>
    </row>
    <row r="32">
      <c r="B32" s="20">
        <f>IF(R32="Yes",RANK(AD32,$AD$25:$AD$124),"")</f>
        <v/>
      </c>
      <c r="C32" s="20">
        <f>'(B) Register of Participants'!$A$10</f>
        <v/>
      </c>
      <c r="D32" s="20">
        <f>'(B) Register of Participants'!$B$10</f>
        <v/>
      </c>
      <c r="E32" s="20">
        <f>'(B) Register of Participants'!$J$10</f>
        <v/>
      </c>
      <c r="F32" s="20">
        <f>IFERROR('(B) Register of Participants'!$O$10-'(B) Register of Participants'!$P$10,0)</f>
        <v/>
      </c>
      <c r="G32" s="20">
        <f>'(B) Register of Participants'!$AL$10</f>
        <v/>
      </c>
      <c r="H32" s="20">
        <f>'(B) Register of Participants'!$AP$10</f>
        <v/>
      </c>
      <c r="I32" s="20">
        <f>TRIM(IFERROR(LEFT('(B) Register of Participants'!$AS$10,FIND(" (",'(B) Register of Participants'!$AS$10)-1),'(B) Register of Participants'!$AS$10))</f>
        <v/>
      </c>
      <c r="J32" s="20">
        <f>'(B) Register of Participants'!$AT$10</f>
        <v/>
      </c>
      <c r="K32" s="20">
        <f>'(B) Register of Participants'!$AE$10</f>
        <v/>
      </c>
      <c r="L32" s="20">
        <f>'(B) Register of Participants'!$AF$10</f>
        <v/>
      </c>
      <c r="M32" s="20">
        <f>'(B) Register of Participants'!$AJ$10</f>
        <v/>
      </c>
      <c r="N32" s="20">
        <f>'(B) Register of Participants'!$CY$10</f>
        <v/>
      </c>
      <c r="O32" s="20">
        <f>'(B) Register of Participants'!$CW$10</f>
        <v/>
      </c>
      <c r="P32" s="20">
        <f>(ISNUMBER(SEARCH("6am-9am",$AS$27))*ISNUMBER(SEARCH("6am-9am",'(B) Register of Participants'!$X$10)))+(ISNUMBER(SEARCH("9am-12pm",$AS$27))*ISNUMBER(SEARCH("9am-12pm",'(B) Register of Participants'!$X$10)))+(ISNUMBER(SEARCH("12pm-3pm",$AS$27))*ISNUMBER(SEARCH("12pm-3pm",'(B) Register of Participants'!$X$10)))+(ISNUMBER(SEARCH("3pm-6pm",$AS$27))*ISNUMBER(SEARCH("3pm-6pm",'(B) Register of Participants'!$X$10)))+(ISNUMBER(SEARCH("6pm-9pm",$AS$27))*ISNUMBER(SEARCH("6pm-9pm",'(B) Register of Participants'!$X$10)))+(ISNUMBER(SEARCH("6am-9am",$AS$28))*ISNUMBER(SEARCH("6am-9am",'(B) Register of Participants'!$Y$10)))+(ISNUMBER(SEARCH("9am-12pm",$AS$28))*ISNUMBER(SEARCH("9am-12pm",'(B) Register of Participants'!$Y$10)))+(ISNUMBER(SEARCH("12pm-3pm",$AS$28))*ISNUMBER(SEARCH("12pm-3pm",'(B) Register of Participants'!$Y$10)))+(ISNUMBER(SEARCH("3pm-6pm",$AS$28))*ISNUMBER(SEARCH("3pm-6pm",'(B) Register of Participants'!$Y$10)))+(ISNUMBER(SEARCH("6pm-9pm",$AS$28))*ISNUMBER(SEARCH("6pm-9pm",'(B) Register of Participants'!$Y$10)))+(ISNUMBER(SEARCH("6am-9am",$AS$29))*ISNUMBER(SEARCH("6am-9am",'(B) Register of Participants'!$Z$10)))+(ISNUMBER(SEARCH("9am-12pm",$AS$29))*ISNUMBER(SEARCH("9am-12pm",'(B) Register of Participants'!$Z$10)))+(ISNUMBER(SEARCH("12pm-3pm",$AS$29))*ISNUMBER(SEARCH("12pm-3pm",'(B) Register of Participants'!$Z$10)))+(ISNUMBER(SEARCH("3pm-6pm",$AS$29))*ISNUMBER(SEARCH("3pm-6pm",'(B) Register of Participants'!$Z$10)))+(ISNUMBER(SEARCH("6pm-9pm",$AS$29))*ISNUMBER(SEARCH("6pm-9pm",'(B) Register of Participants'!$Z$10)))+(ISNUMBER(SEARCH("6am-9am",$AS$30))*ISNUMBER(SEARCH("6am-9am",'(B) Register of Participants'!$AA$10)))+(ISNUMBER(SEARCH("9am-12pm",$AS$30))*ISNUMBER(SEARCH("9am-12pm",'(B) Register of Participants'!$AA$10)))+(ISNUMBER(SEARCH("12pm-3pm",$AS$30))*ISNUMBER(SEARCH("12pm-3pm",'(B) Register of Participants'!$AA$10)))+(ISNUMBER(SEARCH("3pm-6pm",$AS$30))*ISNUMBER(SEARCH("3pm-6pm",'(B) Register of Participants'!$AA$10)))+(ISNUMBER(SEARCH("6pm-9pm",$AS$30))*ISNUMBER(SEARCH("6pm-9pm",'(B) Register of Participants'!$AA$10)))+(ISNUMBER(SEARCH("6am-9am",$AS$31))*ISNUMBER(SEARCH("6am-9am",'(B) Register of Participants'!$AB$10)))+(ISNUMBER(SEARCH("9am-12pm",$AS$31))*ISNUMBER(SEARCH("9am-12pm",'(B) Register of Participants'!$AB$10)))+(ISNUMBER(SEARCH("12pm-3pm",$AS$31))*ISNUMBER(SEARCH("12pm-3pm",'(B) Register of Participants'!$AB$10)))+(ISNUMBER(SEARCH("3pm-6pm",$AS$31))*ISNUMBER(SEARCH("3pm-6pm",'(B) Register of Participants'!$AB$10)))+(ISNUMBER(SEARCH("6pm-9pm",$AS$31))*ISNUMBER(SEARCH("6pm-9pm",'(B) Register of Participants'!$AB$10)))+(ISNUMBER(SEARCH("6am-9am",$AS$32))*ISNUMBER(SEARCH("6am-9am",'(B) Register of Participants'!$AC$10)))+(ISNUMBER(SEARCH("9am-12pm",$AS$32))*ISNUMBER(SEARCH("9am-12pm",'(B) Register of Participants'!$AC$10)))+(ISNUMBER(SEARCH("12pm-3pm",$AS$32))*ISNUMBER(SEARCH("12pm-3pm",'(B) Register of Participants'!$AC$10)))+(ISNUMBER(SEARCH("3pm-6pm",$AS$32))*ISNUMBER(SEARCH("3pm-6pm",'(B) Register of Participants'!$AC$10)))+(ISNUMBER(SEARCH("6pm-9pm",$AS$32))*ISNUMBER(SEARCH("6pm-9pm",'(B) Register of Participants'!$AC$10)))+(ISNUMBER(SEARCH("6am-9am",$AS$33))*ISNUMBER(SEARCH("6am-9am",'(B) Register of Participants'!$AD$10)))+(ISNUMBER(SEARCH("9am-12pm",$AS$33))*ISNUMBER(SEARCH("9am-12pm",'(B) Register of Participants'!$AD$10)))+(ISNUMBER(SEARCH("12pm-3pm",$AS$33))*ISNUMBER(SEARCH("12pm-3pm",'(B) Register of Participants'!$AD$10)))+(ISNUMBER(SEARCH("3pm-6pm",$AS$33))*ISNUMBER(SEARCH("3pm-6pm",'(B) Register of Participants'!$AD$10)))+(ISNUMBER(SEARCH("6pm-9pm",$AS$33))*ISNUMBER(SEARCH("6pm-9pm",'(B) Register of Participants'!$AD$10)))</f>
        <v/>
      </c>
      <c r="Q32" s="20">
        <f>IF(OR(AND($AS$17&lt;&gt;"",$AS$17&lt;&gt;"English",IF($AS$17="Persian",OR(ISNUMBER(SEARCH("Dari",'(B) Register of Participants'!$AR$10)),ISNUMBER(SEARCH("Farsi",'(B) Register of Participants'!$AR$10)),ISNUMBER(SEARCH("Persian",'(B) Register of Participants'!$AR$10)),ISNUMBER(SEARCH("Hazaragi",'(B) Register of Participants'!$AR$10))),ISNUMBER(SEARCH($AS$17,'(B) Register of Participants'!$AR$10)))),AND($AS$20&lt;&gt;"",$AS$20&lt;&gt;"English",IF($AS$20="Persian",OR(ISNUMBER(SEARCH("Dari",'(B) Register of Participants'!$AR$10)),ISNUMBER(SEARCH("Farsi",'(B) Register of Participants'!$AR$10)),ISNUMBER(SEARCH("Persian",'(B) Register of Participants'!$AR$10)),ISNUMBER(SEARCH("Hazaragi",'(B) Register of Participants'!$AR$10))),ISNUMBER(SEARCH($AS$20,'(B) Register of Participants'!$AR$10))))),1,0)</f>
        <v/>
      </c>
      <c r="R32" s="20">
        <f>IF(AND(AH32,AI32,NOT(AJ32),NOT($AS$25),AK32,$AS$26,AM32,AN32,NOT(AL32)),"Yes","No")</f>
        <v/>
      </c>
      <c r="S32" s="20">
        <f>IF(OR(COUNTIF('Engine Lists'!$A:$A,$AS$14&amp;"|"&amp;AO32)&gt;0,COUNTIF('Engine Lists'!$A:$A,$AS$14&amp;"|"&amp;AP32)&gt;0,COUNTIF('Engine Lists'!$A:$A,$AS$15&amp;"|"&amp;AO32)&gt;0,COUNTIF('Engine Lists'!$A:$A,$AS$15&amp;"|"&amp;AP32)&gt;0,COUNTIF('Engine Lists'!$A:$A,$AS$21&amp;"|"&amp;I32)&gt;0),-8,0)</f>
        <v/>
      </c>
      <c r="T32" s="20">
        <f>IF(Q32=1,IF(OR($AS$8="A2",$AS$8="B1"),7,IF(OR($AS$8="B2",$AS$8="C1",$AS$8="C2"),-5,0)),0)</f>
        <v/>
      </c>
      <c r="U32" s="20">
        <f>IF(AND($AS$6=G32,OR($AS$6="Male",$AS$6="Female")),5,0)</f>
        <v/>
      </c>
      <c r="V32" s="20">
        <f>IF(AND($AS$24,$AS$11&lt;&gt;"In-Person",K32&lt;&gt;"In-Person"),-5,0)</f>
        <v/>
      </c>
      <c r="W32" s="20">
        <f>IF(OR($AS$11=K32,$AS$11="Either",K32="Either"),3,0)</f>
        <v/>
      </c>
      <c r="X32" s="20">
        <f>IF(AND($AS$11&lt;&gt;"Online",K32&lt;&gt;"Online",ISNUMBER($AS$22),ISNUMBER(IFERROR(VALUE(M32),"x"))),IF(ABS($AS$22-VALUE(M32))&lt;=50,3,0),0)</f>
        <v/>
      </c>
      <c r="Y32" s="20">
        <f>IF(AND($AS$10&lt;&gt;"",$AS$10=J32),3,0)</f>
        <v/>
      </c>
      <c r="Z32" s="20">
        <f>IF(OR(N($AS$13)&gt;=150,N(O32)&gt;=150),3,0)</f>
        <v/>
      </c>
      <c r="AA32" s="20">
        <f>IF(AND($AS$21&lt;&gt;"",$AS$21&lt;&gt;"NA",$AS$21=I32),2,0)</f>
        <v/>
      </c>
      <c r="AB32" s="20">
        <f>IF(OR(AND($AS$14&lt;&gt;"",$AS$14&lt;&gt;"NA",OR($AS$14=AO32,$AS$14=AP32)),AND($AS$15&lt;&gt;"",OR($AS$15=AO32,$AS$15=AP32))),2,0)</f>
        <v/>
      </c>
      <c r="AC32" s="20">
        <f>IF(AND(ISNUMBER($AS$12),ISNUMBER(N32),ABS($AS$12-N32)&lt;=10),2,0)</f>
        <v/>
      </c>
      <c r="AD32" s="20">
        <f>IF(R32="Yes",SUM(S32:AC32),"")</f>
        <v/>
      </c>
      <c r="AE32" s="20">
        <f>IF(R32="Yes","Score "&amp;AD32&amp;": "&amp;TRIM(IF(S32&lt;&gt;0,"−8 acrimonious; ","")&amp;IF(T32=7,"+7 shared language; ","")&amp;IF(T32=-5,"−5 shared lang(adv); ","")&amp;IF(U32=5,"+5 same-sex; ","")&amp;IF(V32=-5,"−5 online no device; ","")&amp;IF(W32=3,"+3 mode; ","")&amp;IF(X32=3,"+3 proximity; ","")&amp;IF(Y32=3,"+3 category; ","")&amp;IF(Z32=3,"+3 long wait; ","")&amp;IF(AA32=2,"+2 religion; ","")&amp;IF(AB32=2,"+2 nationality; ","")&amp;IF(AC32=2,"+2 age; ","")),"Not eligible: "&amp;IF(NOT(AH32),"tutor not pending/with-capacity",IF(NOT(AI32),"no spare capacity",IF(AJ32,"tutor blacklisted",IF($AS$25,"student blacklisted",IF(NOT(AK32),"tutor vetting incomplete",IF(NOT($AS$26),"student vetting incomplete",IF(NOT(AM32),"no overlapping 3h AEST block",IF(NOT(AN32),"A1 student needs a shared language",IF(AL32,"'do not pair' note present",""))))))))))</f>
        <v/>
      </c>
      <c r="AF32">
        <f>TRIM(IFERROR(LEFT('(B) Register of Participants'!$AR$10,FIND(" (",'(B) Register of Participants'!$AR$10)-1),'(B) Register of Participants'!$AR$10))</f>
        <v/>
      </c>
      <c r="AG32">
        <f>IF(ISNUMBER(SEARCH("Mandarin",'(B) Register of Participants'!$AR$10)),"Mandarin",IF(ISNUMBER(SEARCH("Cantonese",'(B) Register of Participants'!$AR$10)),"Cantonese",IF(OR(AF32="Dari",AF32="Farsi",AF32="Persian",AF32="Hazaragi"),"Persian",AF32)))</f>
        <v/>
      </c>
      <c r="AH32">
        <f>OR(E32="ADM-ACT-UNMAT",E32="ADM-ACT-MAT-CNE")</f>
        <v/>
      </c>
      <c r="AI32">
        <f>F32&gt;0</f>
        <v/>
      </c>
      <c r="AJ32">
        <f>LEFT('(B) Register of Participants'!$L$10,3)="Yes"</f>
        <v/>
      </c>
      <c r="AK32">
        <f>AND(OR(LEFT('(B) Register of Participants'!$AY$10,3)="Yes",LEFT('(B) Register of Participants'!$AY$10,2)="NA"),OR(LEFT('(B) Register of Participants'!$AZ$10,3)="Yes",LEFT('(B) Register of Participants'!$AZ$10,2)="NA"))</f>
        <v/>
      </c>
      <c r="AL32">
        <f>OR(ISNUMBER(SEARCH("do not pair",'(B) Register of Participants'!$BL$10)),ISNUMBER(SEARCH("do not pair",'(B) Register of Participants'!$BM$10)))</f>
        <v/>
      </c>
      <c r="AM32">
        <f>P32&gt;0</f>
        <v/>
      </c>
      <c r="AN32">
        <f>IF($AS$8="A1",Q32=1,TRUE)</f>
        <v/>
      </c>
      <c r="AO32">
        <f>TRIM(IFERROR(LEFT('(B) Register of Participants'!$AP$10,FIND(";",'(B) Register of Participants'!$AP$10)-1),'(B) Register of Participants'!$AP$10))</f>
        <v/>
      </c>
      <c r="AP32">
        <f>IF(ISNUMBER(FIND(";",'(B) Register of Participants'!$AP$10)),TRIM(MID('(B) Register of Participants'!$AP$10,FIND(";",'(B) Register of Participants'!$AP$10)+1,80)),"")</f>
        <v/>
      </c>
      <c r="AR32" s="70" t="inlineStr">
        <is>
          <t>sday5</t>
        </is>
      </c>
      <c r="AS32">
        <f>IFERROR(VLOOKUP($C$5,'(B) Register of Participants'!$A:$DJ,29,FALSE),"")</f>
        <v/>
      </c>
    </row>
    <row r="33">
      <c r="B33" s="20">
        <f>IF(R33="Yes",RANK(AD33,$AD$25:$AD$124),"")</f>
        <v/>
      </c>
      <c r="C33" s="20">
        <f>'(B) Register of Participants'!$A$11</f>
        <v/>
      </c>
      <c r="D33" s="20">
        <f>'(B) Register of Participants'!$B$11</f>
        <v/>
      </c>
      <c r="E33" s="20">
        <f>'(B) Register of Participants'!$J$11</f>
        <v/>
      </c>
      <c r="F33" s="20">
        <f>IFERROR('(B) Register of Participants'!$O$11-'(B) Register of Participants'!$P$11,0)</f>
        <v/>
      </c>
      <c r="G33" s="20">
        <f>'(B) Register of Participants'!$AL$11</f>
        <v/>
      </c>
      <c r="H33" s="20">
        <f>'(B) Register of Participants'!$AP$11</f>
        <v/>
      </c>
      <c r="I33" s="20">
        <f>TRIM(IFERROR(LEFT('(B) Register of Participants'!$AS$11,FIND(" (",'(B) Register of Participants'!$AS$11)-1),'(B) Register of Participants'!$AS$11))</f>
        <v/>
      </c>
      <c r="J33" s="20">
        <f>'(B) Register of Participants'!$AT$11</f>
        <v/>
      </c>
      <c r="K33" s="20">
        <f>'(B) Register of Participants'!$AE$11</f>
        <v/>
      </c>
      <c r="L33" s="20">
        <f>'(B) Register of Participants'!$AF$11</f>
        <v/>
      </c>
      <c r="M33" s="20">
        <f>'(B) Register of Participants'!$AJ$11</f>
        <v/>
      </c>
      <c r="N33" s="20">
        <f>'(B) Register of Participants'!$CY$11</f>
        <v/>
      </c>
      <c r="O33" s="20">
        <f>'(B) Register of Participants'!$CW$11</f>
        <v/>
      </c>
      <c r="P33" s="20">
        <f>(ISNUMBER(SEARCH("6am-9am",$AS$27))*ISNUMBER(SEARCH("6am-9am",'(B) Register of Participants'!$X$11)))+(ISNUMBER(SEARCH("9am-12pm",$AS$27))*ISNUMBER(SEARCH("9am-12pm",'(B) Register of Participants'!$X$11)))+(ISNUMBER(SEARCH("12pm-3pm",$AS$27))*ISNUMBER(SEARCH("12pm-3pm",'(B) Register of Participants'!$X$11)))+(ISNUMBER(SEARCH("3pm-6pm",$AS$27))*ISNUMBER(SEARCH("3pm-6pm",'(B) Register of Participants'!$X$11)))+(ISNUMBER(SEARCH("6pm-9pm",$AS$27))*ISNUMBER(SEARCH("6pm-9pm",'(B) Register of Participants'!$X$11)))+(ISNUMBER(SEARCH("6am-9am",$AS$28))*ISNUMBER(SEARCH("6am-9am",'(B) Register of Participants'!$Y$11)))+(ISNUMBER(SEARCH("9am-12pm",$AS$28))*ISNUMBER(SEARCH("9am-12pm",'(B) Register of Participants'!$Y$11)))+(ISNUMBER(SEARCH("12pm-3pm",$AS$28))*ISNUMBER(SEARCH("12pm-3pm",'(B) Register of Participants'!$Y$11)))+(ISNUMBER(SEARCH("3pm-6pm",$AS$28))*ISNUMBER(SEARCH("3pm-6pm",'(B) Register of Participants'!$Y$11)))+(ISNUMBER(SEARCH("6pm-9pm",$AS$28))*ISNUMBER(SEARCH("6pm-9pm",'(B) Register of Participants'!$Y$11)))+(ISNUMBER(SEARCH("6am-9am",$AS$29))*ISNUMBER(SEARCH("6am-9am",'(B) Register of Participants'!$Z$11)))+(ISNUMBER(SEARCH("9am-12pm",$AS$29))*ISNUMBER(SEARCH("9am-12pm",'(B) Register of Participants'!$Z$11)))+(ISNUMBER(SEARCH("12pm-3pm",$AS$29))*ISNUMBER(SEARCH("12pm-3pm",'(B) Register of Participants'!$Z$11)))+(ISNUMBER(SEARCH("3pm-6pm",$AS$29))*ISNUMBER(SEARCH("3pm-6pm",'(B) Register of Participants'!$Z$11)))+(ISNUMBER(SEARCH("6pm-9pm",$AS$29))*ISNUMBER(SEARCH("6pm-9pm",'(B) Register of Participants'!$Z$11)))+(ISNUMBER(SEARCH("6am-9am",$AS$30))*ISNUMBER(SEARCH("6am-9am",'(B) Register of Participants'!$AA$11)))+(ISNUMBER(SEARCH("9am-12pm",$AS$30))*ISNUMBER(SEARCH("9am-12pm",'(B) Register of Participants'!$AA$11)))+(ISNUMBER(SEARCH("12pm-3pm",$AS$30))*ISNUMBER(SEARCH("12pm-3pm",'(B) Register of Participants'!$AA$11)))+(ISNUMBER(SEARCH("3pm-6pm",$AS$30))*ISNUMBER(SEARCH("3pm-6pm",'(B) Register of Participants'!$AA$11)))+(ISNUMBER(SEARCH("6pm-9pm",$AS$30))*ISNUMBER(SEARCH("6pm-9pm",'(B) Register of Participants'!$AA$11)))+(ISNUMBER(SEARCH("6am-9am",$AS$31))*ISNUMBER(SEARCH("6am-9am",'(B) Register of Participants'!$AB$11)))+(ISNUMBER(SEARCH("9am-12pm",$AS$31))*ISNUMBER(SEARCH("9am-12pm",'(B) Register of Participants'!$AB$11)))+(ISNUMBER(SEARCH("12pm-3pm",$AS$31))*ISNUMBER(SEARCH("12pm-3pm",'(B) Register of Participants'!$AB$11)))+(ISNUMBER(SEARCH("3pm-6pm",$AS$31))*ISNUMBER(SEARCH("3pm-6pm",'(B) Register of Participants'!$AB$11)))+(ISNUMBER(SEARCH("6pm-9pm",$AS$31))*ISNUMBER(SEARCH("6pm-9pm",'(B) Register of Participants'!$AB$11)))+(ISNUMBER(SEARCH("6am-9am",$AS$32))*ISNUMBER(SEARCH("6am-9am",'(B) Register of Participants'!$AC$11)))+(ISNUMBER(SEARCH("9am-12pm",$AS$32))*ISNUMBER(SEARCH("9am-12pm",'(B) Register of Participants'!$AC$11)))+(ISNUMBER(SEARCH("12pm-3pm",$AS$32))*ISNUMBER(SEARCH("12pm-3pm",'(B) Register of Participants'!$AC$11)))+(ISNUMBER(SEARCH("3pm-6pm",$AS$32))*ISNUMBER(SEARCH("3pm-6pm",'(B) Register of Participants'!$AC$11)))+(ISNUMBER(SEARCH("6pm-9pm",$AS$32))*ISNUMBER(SEARCH("6pm-9pm",'(B) Register of Participants'!$AC$11)))+(ISNUMBER(SEARCH("6am-9am",$AS$33))*ISNUMBER(SEARCH("6am-9am",'(B) Register of Participants'!$AD$11)))+(ISNUMBER(SEARCH("9am-12pm",$AS$33))*ISNUMBER(SEARCH("9am-12pm",'(B) Register of Participants'!$AD$11)))+(ISNUMBER(SEARCH("12pm-3pm",$AS$33))*ISNUMBER(SEARCH("12pm-3pm",'(B) Register of Participants'!$AD$11)))+(ISNUMBER(SEARCH("3pm-6pm",$AS$33))*ISNUMBER(SEARCH("3pm-6pm",'(B) Register of Participants'!$AD$11)))+(ISNUMBER(SEARCH("6pm-9pm",$AS$33))*ISNUMBER(SEARCH("6pm-9pm",'(B) Register of Participants'!$AD$11)))</f>
        <v/>
      </c>
      <c r="Q33" s="20">
        <f>IF(OR(AND($AS$17&lt;&gt;"",$AS$17&lt;&gt;"English",IF($AS$17="Persian",OR(ISNUMBER(SEARCH("Dari",'(B) Register of Participants'!$AR$11)),ISNUMBER(SEARCH("Farsi",'(B) Register of Participants'!$AR$11)),ISNUMBER(SEARCH("Persian",'(B) Register of Participants'!$AR$11)),ISNUMBER(SEARCH("Hazaragi",'(B) Register of Participants'!$AR$11))),ISNUMBER(SEARCH($AS$17,'(B) Register of Participants'!$AR$11)))),AND($AS$20&lt;&gt;"",$AS$20&lt;&gt;"English",IF($AS$20="Persian",OR(ISNUMBER(SEARCH("Dari",'(B) Register of Participants'!$AR$11)),ISNUMBER(SEARCH("Farsi",'(B) Register of Participants'!$AR$11)),ISNUMBER(SEARCH("Persian",'(B) Register of Participants'!$AR$11)),ISNUMBER(SEARCH("Hazaragi",'(B) Register of Participants'!$AR$11))),ISNUMBER(SEARCH($AS$20,'(B) Register of Participants'!$AR$11))))),1,0)</f>
        <v/>
      </c>
      <c r="R33" s="20">
        <f>IF(AND(AH33,AI33,NOT(AJ33),NOT($AS$25),AK33,$AS$26,AM33,AN33,NOT(AL33)),"Yes","No")</f>
        <v/>
      </c>
      <c r="S33" s="20">
        <f>IF(OR(COUNTIF('Engine Lists'!$A:$A,$AS$14&amp;"|"&amp;AO33)&gt;0,COUNTIF('Engine Lists'!$A:$A,$AS$14&amp;"|"&amp;AP33)&gt;0,COUNTIF('Engine Lists'!$A:$A,$AS$15&amp;"|"&amp;AO33)&gt;0,COUNTIF('Engine Lists'!$A:$A,$AS$15&amp;"|"&amp;AP33)&gt;0,COUNTIF('Engine Lists'!$A:$A,$AS$21&amp;"|"&amp;I33)&gt;0),-8,0)</f>
        <v/>
      </c>
      <c r="T33" s="20">
        <f>IF(Q33=1,IF(OR($AS$8="A2",$AS$8="B1"),7,IF(OR($AS$8="B2",$AS$8="C1",$AS$8="C2"),-5,0)),0)</f>
        <v/>
      </c>
      <c r="U33" s="20">
        <f>IF(AND($AS$6=G33,OR($AS$6="Male",$AS$6="Female")),5,0)</f>
        <v/>
      </c>
      <c r="V33" s="20">
        <f>IF(AND($AS$24,$AS$11&lt;&gt;"In-Person",K33&lt;&gt;"In-Person"),-5,0)</f>
        <v/>
      </c>
      <c r="W33" s="20">
        <f>IF(OR($AS$11=K33,$AS$11="Either",K33="Either"),3,0)</f>
        <v/>
      </c>
      <c r="X33" s="20">
        <f>IF(AND($AS$11&lt;&gt;"Online",K33&lt;&gt;"Online",ISNUMBER($AS$22),ISNUMBER(IFERROR(VALUE(M33),"x"))),IF(ABS($AS$22-VALUE(M33))&lt;=50,3,0),0)</f>
        <v/>
      </c>
      <c r="Y33" s="20">
        <f>IF(AND($AS$10&lt;&gt;"",$AS$10=J33),3,0)</f>
        <v/>
      </c>
      <c r="Z33" s="20">
        <f>IF(OR(N($AS$13)&gt;=150,N(O33)&gt;=150),3,0)</f>
        <v/>
      </c>
      <c r="AA33" s="20">
        <f>IF(AND($AS$21&lt;&gt;"",$AS$21&lt;&gt;"NA",$AS$21=I33),2,0)</f>
        <v/>
      </c>
      <c r="AB33" s="20">
        <f>IF(OR(AND($AS$14&lt;&gt;"",$AS$14&lt;&gt;"NA",OR($AS$14=AO33,$AS$14=AP33)),AND($AS$15&lt;&gt;"",OR($AS$15=AO33,$AS$15=AP33))),2,0)</f>
        <v/>
      </c>
      <c r="AC33" s="20">
        <f>IF(AND(ISNUMBER($AS$12),ISNUMBER(N33),ABS($AS$12-N33)&lt;=10),2,0)</f>
        <v/>
      </c>
      <c r="AD33" s="20">
        <f>IF(R33="Yes",SUM(S33:AC33),"")</f>
        <v/>
      </c>
      <c r="AE33" s="20">
        <f>IF(R33="Yes","Score "&amp;AD33&amp;": "&amp;TRIM(IF(S33&lt;&gt;0,"−8 acrimonious; ","")&amp;IF(T33=7,"+7 shared language; ","")&amp;IF(T33=-5,"−5 shared lang(adv); ","")&amp;IF(U33=5,"+5 same-sex; ","")&amp;IF(V33=-5,"−5 online no device; ","")&amp;IF(W33=3,"+3 mode; ","")&amp;IF(X33=3,"+3 proximity; ","")&amp;IF(Y33=3,"+3 category; ","")&amp;IF(Z33=3,"+3 long wait; ","")&amp;IF(AA33=2,"+2 religion; ","")&amp;IF(AB33=2,"+2 nationality; ","")&amp;IF(AC33=2,"+2 age; ","")),"Not eligible: "&amp;IF(NOT(AH33),"tutor not pending/with-capacity",IF(NOT(AI33),"no spare capacity",IF(AJ33,"tutor blacklisted",IF($AS$25,"student blacklisted",IF(NOT(AK33),"tutor vetting incomplete",IF(NOT($AS$26),"student vetting incomplete",IF(NOT(AM33),"no overlapping 3h AEST block",IF(NOT(AN33),"A1 student needs a shared language",IF(AL33,"'do not pair' note present",""))))))))))</f>
        <v/>
      </c>
      <c r="AF33">
        <f>TRIM(IFERROR(LEFT('(B) Register of Participants'!$AR$11,FIND(" (",'(B) Register of Participants'!$AR$11)-1),'(B) Register of Participants'!$AR$11))</f>
        <v/>
      </c>
      <c r="AG33">
        <f>IF(ISNUMBER(SEARCH("Mandarin",'(B) Register of Participants'!$AR$11)),"Mandarin",IF(ISNUMBER(SEARCH("Cantonese",'(B) Register of Participants'!$AR$11)),"Cantonese",IF(OR(AF33="Dari",AF33="Farsi",AF33="Persian",AF33="Hazaragi"),"Persian",AF33)))</f>
        <v/>
      </c>
      <c r="AH33">
        <f>OR(E33="ADM-ACT-UNMAT",E33="ADM-ACT-MAT-CNE")</f>
        <v/>
      </c>
      <c r="AI33">
        <f>F33&gt;0</f>
        <v/>
      </c>
      <c r="AJ33">
        <f>LEFT('(B) Register of Participants'!$L$11,3)="Yes"</f>
        <v/>
      </c>
      <c r="AK33">
        <f>AND(OR(LEFT('(B) Register of Participants'!$AY$11,3)="Yes",LEFT('(B) Register of Participants'!$AY$11,2)="NA"),OR(LEFT('(B) Register of Participants'!$AZ$11,3)="Yes",LEFT('(B) Register of Participants'!$AZ$11,2)="NA"))</f>
        <v/>
      </c>
      <c r="AL33">
        <f>OR(ISNUMBER(SEARCH("do not pair",'(B) Register of Participants'!$BL$11)),ISNUMBER(SEARCH("do not pair",'(B) Register of Participants'!$BM$11)))</f>
        <v/>
      </c>
      <c r="AM33">
        <f>P33&gt;0</f>
        <v/>
      </c>
      <c r="AN33">
        <f>IF($AS$8="A1",Q33=1,TRUE)</f>
        <v/>
      </c>
      <c r="AO33">
        <f>TRIM(IFERROR(LEFT('(B) Register of Participants'!$AP$11,FIND(";",'(B) Register of Participants'!$AP$11)-1),'(B) Register of Participants'!$AP$11))</f>
        <v/>
      </c>
      <c r="AP33">
        <f>IF(ISNUMBER(FIND(";",'(B) Register of Participants'!$AP$11)),TRIM(MID('(B) Register of Participants'!$AP$11,FIND(";",'(B) Register of Participants'!$AP$11)+1,80)),"")</f>
        <v/>
      </c>
      <c r="AR33" s="70" t="inlineStr">
        <is>
          <t>sday6</t>
        </is>
      </c>
      <c r="AS33">
        <f>IFERROR(VLOOKUP($C$5,'(B) Register of Participants'!$A:$DJ,30,FALSE),"")</f>
        <v/>
      </c>
    </row>
    <row r="34">
      <c r="B34" s="20">
        <f>IF(R34="Yes",RANK(AD34,$AD$25:$AD$124),"")</f>
        <v/>
      </c>
      <c r="C34" s="20">
        <f>'(B) Register of Participants'!$A$12</f>
        <v/>
      </c>
      <c r="D34" s="20">
        <f>'(B) Register of Participants'!$B$12</f>
        <v/>
      </c>
      <c r="E34" s="20">
        <f>'(B) Register of Participants'!$J$12</f>
        <v/>
      </c>
      <c r="F34" s="20">
        <f>IFERROR('(B) Register of Participants'!$O$12-'(B) Register of Participants'!$P$12,0)</f>
        <v/>
      </c>
      <c r="G34" s="20">
        <f>'(B) Register of Participants'!$AL$12</f>
        <v/>
      </c>
      <c r="H34" s="20">
        <f>'(B) Register of Participants'!$AP$12</f>
        <v/>
      </c>
      <c r="I34" s="20">
        <f>TRIM(IFERROR(LEFT('(B) Register of Participants'!$AS$12,FIND(" (",'(B) Register of Participants'!$AS$12)-1),'(B) Register of Participants'!$AS$12))</f>
        <v/>
      </c>
      <c r="J34" s="20">
        <f>'(B) Register of Participants'!$AT$12</f>
        <v/>
      </c>
      <c r="K34" s="20">
        <f>'(B) Register of Participants'!$AE$12</f>
        <v/>
      </c>
      <c r="L34" s="20">
        <f>'(B) Register of Participants'!$AF$12</f>
        <v/>
      </c>
      <c r="M34" s="20">
        <f>'(B) Register of Participants'!$AJ$12</f>
        <v/>
      </c>
      <c r="N34" s="20">
        <f>'(B) Register of Participants'!$CY$12</f>
        <v/>
      </c>
      <c r="O34" s="20">
        <f>'(B) Register of Participants'!$CW$12</f>
        <v/>
      </c>
      <c r="P34" s="20">
        <f>(ISNUMBER(SEARCH("6am-9am",$AS$27))*ISNUMBER(SEARCH("6am-9am",'(B) Register of Participants'!$X$12)))+(ISNUMBER(SEARCH("9am-12pm",$AS$27))*ISNUMBER(SEARCH("9am-12pm",'(B) Register of Participants'!$X$12)))+(ISNUMBER(SEARCH("12pm-3pm",$AS$27))*ISNUMBER(SEARCH("12pm-3pm",'(B) Register of Participants'!$X$12)))+(ISNUMBER(SEARCH("3pm-6pm",$AS$27))*ISNUMBER(SEARCH("3pm-6pm",'(B) Register of Participants'!$X$12)))+(ISNUMBER(SEARCH("6pm-9pm",$AS$27))*ISNUMBER(SEARCH("6pm-9pm",'(B) Register of Participants'!$X$12)))+(ISNUMBER(SEARCH("6am-9am",$AS$28))*ISNUMBER(SEARCH("6am-9am",'(B) Register of Participants'!$Y$12)))+(ISNUMBER(SEARCH("9am-12pm",$AS$28))*ISNUMBER(SEARCH("9am-12pm",'(B) Register of Participants'!$Y$12)))+(ISNUMBER(SEARCH("12pm-3pm",$AS$28))*ISNUMBER(SEARCH("12pm-3pm",'(B) Register of Participants'!$Y$12)))+(ISNUMBER(SEARCH("3pm-6pm",$AS$28))*ISNUMBER(SEARCH("3pm-6pm",'(B) Register of Participants'!$Y$12)))+(ISNUMBER(SEARCH("6pm-9pm",$AS$28))*ISNUMBER(SEARCH("6pm-9pm",'(B) Register of Participants'!$Y$12)))+(ISNUMBER(SEARCH("6am-9am",$AS$29))*ISNUMBER(SEARCH("6am-9am",'(B) Register of Participants'!$Z$12)))+(ISNUMBER(SEARCH("9am-12pm",$AS$29))*ISNUMBER(SEARCH("9am-12pm",'(B) Register of Participants'!$Z$12)))+(ISNUMBER(SEARCH("12pm-3pm",$AS$29))*ISNUMBER(SEARCH("12pm-3pm",'(B) Register of Participants'!$Z$12)))+(ISNUMBER(SEARCH("3pm-6pm",$AS$29))*ISNUMBER(SEARCH("3pm-6pm",'(B) Register of Participants'!$Z$12)))+(ISNUMBER(SEARCH("6pm-9pm",$AS$29))*ISNUMBER(SEARCH("6pm-9pm",'(B) Register of Participants'!$Z$12)))+(ISNUMBER(SEARCH("6am-9am",$AS$30))*ISNUMBER(SEARCH("6am-9am",'(B) Register of Participants'!$AA$12)))+(ISNUMBER(SEARCH("9am-12pm",$AS$30))*ISNUMBER(SEARCH("9am-12pm",'(B) Register of Participants'!$AA$12)))+(ISNUMBER(SEARCH("12pm-3pm",$AS$30))*ISNUMBER(SEARCH("12pm-3pm",'(B) Register of Participants'!$AA$12)))+(ISNUMBER(SEARCH("3pm-6pm",$AS$30))*ISNUMBER(SEARCH("3pm-6pm",'(B) Register of Participants'!$AA$12)))+(ISNUMBER(SEARCH("6pm-9pm",$AS$30))*ISNUMBER(SEARCH("6pm-9pm",'(B) Register of Participants'!$AA$12)))+(ISNUMBER(SEARCH("6am-9am",$AS$31))*ISNUMBER(SEARCH("6am-9am",'(B) Register of Participants'!$AB$12)))+(ISNUMBER(SEARCH("9am-12pm",$AS$31))*ISNUMBER(SEARCH("9am-12pm",'(B) Register of Participants'!$AB$12)))+(ISNUMBER(SEARCH("12pm-3pm",$AS$31))*ISNUMBER(SEARCH("12pm-3pm",'(B) Register of Participants'!$AB$12)))+(ISNUMBER(SEARCH("3pm-6pm",$AS$31))*ISNUMBER(SEARCH("3pm-6pm",'(B) Register of Participants'!$AB$12)))+(ISNUMBER(SEARCH("6pm-9pm",$AS$31))*ISNUMBER(SEARCH("6pm-9pm",'(B) Register of Participants'!$AB$12)))+(ISNUMBER(SEARCH("6am-9am",$AS$32))*ISNUMBER(SEARCH("6am-9am",'(B) Register of Participants'!$AC$12)))+(ISNUMBER(SEARCH("9am-12pm",$AS$32))*ISNUMBER(SEARCH("9am-12pm",'(B) Register of Participants'!$AC$12)))+(ISNUMBER(SEARCH("12pm-3pm",$AS$32))*ISNUMBER(SEARCH("12pm-3pm",'(B) Register of Participants'!$AC$12)))+(ISNUMBER(SEARCH("3pm-6pm",$AS$32))*ISNUMBER(SEARCH("3pm-6pm",'(B) Register of Participants'!$AC$12)))+(ISNUMBER(SEARCH("6pm-9pm",$AS$32))*ISNUMBER(SEARCH("6pm-9pm",'(B) Register of Participants'!$AC$12)))+(ISNUMBER(SEARCH("6am-9am",$AS$33))*ISNUMBER(SEARCH("6am-9am",'(B) Register of Participants'!$AD$12)))+(ISNUMBER(SEARCH("9am-12pm",$AS$33))*ISNUMBER(SEARCH("9am-12pm",'(B) Register of Participants'!$AD$12)))+(ISNUMBER(SEARCH("12pm-3pm",$AS$33))*ISNUMBER(SEARCH("12pm-3pm",'(B) Register of Participants'!$AD$12)))+(ISNUMBER(SEARCH("3pm-6pm",$AS$33))*ISNUMBER(SEARCH("3pm-6pm",'(B) Register of Participants'!$AD$12)))+(ISNUMBER(SEARCH("6pm-9pm",$AS$33))*ISNUMBER(SEARCH("6pm-9pm",'(B) Register of Participants'!$AD$12)))</f>
        <v/>
      </c>
      <c r="Q34" s="20">
        <f>IF(OR(AND($AS$17&lt;&gt;"",$AS$17&lt;&gt;"English",IF($AS$17="Persian",OR(ISNUMBER(SEARCH("Dari",'(B) Register of Participants'!$AR$12)),ISNUMBER(SEARCH("Farsi",'(B) Register of Participants'!$AR$12)),ISNUMBER(SEARCH("Persian",'(B) Register of Participants'!$AR$12)),ISNUMBER(SEARCH("Hazaragi",'(B) Register of Participants'!$AR$12))),ISNUMBER(SEARCH($AS$17,'(B) Register of Participants'!$AR$12)))),AND($AS$20&lt;&gt;"",$AS$20&lt;&gt;"English",IF($AS$20="Persian",OR(ISNUMBER(SEARCH("Dari",'(B) Register of Participants'!$AR$12)),ISNUMBER(SEARCH("Farsi",'(B) Register of Participants'!$AR$12)),ISNUMBER(SEARCH("Persian",'(B) Register of Participants'!$AR$12)),ISNUMBER(SEARCH("Hazaragi",'(B) Register of Participants'!$AR$12))),ISNUMBER(SEARCH($AS$20,'(B) Register of Participants'!$AR$12))))),1,0)</f>
        <v/>
      </c>
      <c r="R34" s="20">
        <f>IF(AND(AH34,AI34,NOT(AJ34),NOT($AS$25),AK34,$AS$26,AM34,AN34,NOT(AL34)),"Yes","No")</f>
        <v/>
      </c>
      <c r="S34" s="20">
        <f>IF(OR(COUNTIF('Engine Lists'!$A:$A,$AS$14&amp;"|"&amp;AO34)&gt;0,COUNTIF('Engine Lists'!$A:$A,$AS$14&amp;"|"&amp;AP34)&gt;0,COUNTIF('Engine Lists'!$A:$A,$AS$15&amp;"|"&amp;AO34)&gt;0,COUNTIF('Engine Lists'!$A:$A,$AS$15&amp;"|"&amp;AP34)&gt;0,COUNTIF('Engine Lists'!$A:$A,$AS$21&amp;"|"&amp;I34)&gt;0),-8,0)</f>
        <v/>
      </c>
      <c r="T34" s="20">
        <f>IF(Q34=1,IF(OR($AS$8="A2",$AS$8="B1"),7,IF(OR($AS$8="B2",$AS$8="C1",$AS$8="C2"),-5,0)),0)</f>
        <v/>
      </c>
      <c r="U34" s="20">
        <f>IF(AND($AS$6=G34,OR($AS$6="Male",$AS$6="Female")),5,0)</f>
        <v/>
      </c>
      <c r="V34" s="20">
        <f>IF(AND($AS$24,$AS$11&lt;&gt;"In-Person",K34&lt;&gt;"In-Person"),-5,0)</f>
        <v/>
      </c>
      <c r="W34" s="20">
        <f>IF(OR($AS$11=K34,$AS$11="Either",K34="Either"),3,0)</f>
        <v/>
      </c>
      <c r="X34" s="20">
        <f>IF(AND($AS$11&lt;&gt;"Online",K34&lt;&gt;"Online",ISNUMBER($AS$22),ISNUMBER(IFERROR(VALUE(M34),"x"))),IF(ABS($AS$22-VALUE(M34))&lt;=50,3,0),0)</f>
        <v/>
      </c>
      <c r="Y34" s="20">
        <f>IF(AND($AS$10&lt;&gt;"",$AS$10=J34),3,0)</f>
        <v/>
      </c>
      <c r="Z34" s="20">
        <f>IF(OR(N($AS$13)&gt;=150,N(O34)&gt;=150),3,0)</f>
        <v/>
      </c>
      <c r="AA34" s="20">
        <f>IF(AND($AS$21&lt;&gt;"",$AS$21&lt;&gt;"NA",$AS$21=I34),2,0)</f>
        <v/>
      </c>
      <c r="AB34" s="20">
        <f>IF(OR(AND($AS$14&lt;&gt;"",$AS$14&lt;&gt;"NA",OR($AS$14=AO34,$AS$14=AP34)),AND($AS$15&lt;&gt;"",OR($AS$15=AO34,$AS$15=AP34))),2,0)</f>
        <v/>
      </c>
      <c r="AC34" s="20">
        <f>IF(AND(ISNUMBER($AS$12),ISNUMBER(N34),ABS($AS$12-N34)&lt;=10),2,0)</f>
        <v/>
      </c>
      <c r="AD34" s="20">
        <f>IF(R34="Yes",SUM(S34:AC34),"")</f>
        <v/>
      </c>
      <c r="AE34" s="20">
        <f>IF(R34="Yes","Score "&amp;AD34&amp;": "&amp;TRIM(IF(S34&lt;&gt;0,"−8 acrimonious; ","")&amp;IF(T34=7,"+7 shared language; ","")&amp;IF(T34=-5,"−5 shared lang(adv); ","")&amp;IF(U34=5,"+5 same-sex; ","")&amp;IF(V34=-5,"−5 online no device; ","")&amp;IF(W34=3,"+3 mode; ","")&amp;IF(X34=3,"+3 proximity; ","")&amp;IF(Y34=3,"+3 category; ","")&amp;IF(Z34=3,"+3 long wait; ","")&amp;IF(AA34=2,"+2 religion; ","")&amp;IF(AB34=2,"+2 nationality; ","")&amp;IF(AC34=2,"+2 age; ","")),"Not eligible: "&amp;IF(NOT(AH34),"tutor not pending/with-capacity",IF(NOT(AI34),"no spare capacity",IF(AJ34,"tutor blacklisted",IF($AS$25,"student blacklisted",IF(NOT(AK34),"tutor vetting incomplete",IF(NOT($AS$26),"student vetting incomplete",IF(NOT(AM34),"no overlapping 3h AEST block",IF(NOT(AN34),"A1 student needs a shared language",IF(AL34,"'do not pair' note present",""))))))))))</f>
        <v/>
      </c>
      <c r="AF34">
        <f>TRIM(IFERROR(LEFT('(B) Register of Participants'!$AR$12,FIND(" (",'(B) Register of Participants'!$AR$12)-1),'(B) Register of Participants'!$AR$12))</f>
        <v/>
      </c>
      <c r="AG34">
        <f>IF(ISNUMBER(SEARCH("Mandarin",'(B) Register of Participants'!$AR$12)),"Mandarin",IF(ISNUMBER(SEARCH("Cantonese",'(B) Register of Participants'!$AR$12)),"Cantonese",IF(OR(AF34="Dari",AF34="Farsi",AF34="Persian",AF34="Hazaragi"),"Persian",AF34)))</f>
        <v/>
      </c>
      <c r="AH34">
        <f>OR(E34="ADM-ACT-UNMAT",E34="ADM-ACT-MAT-CNE")</f>
        <v/>
      </c>
      <c r="AI34">
        <f>F34&gt;0</f>
        <v/>
      </c>
      <c r="AJ34">
        <f>LEFT('(B) Register of Participants'!$L$12,3)="Yes"</f>
        <v/>
      </c>
      <c r="AK34">
        <f>AND(OR(LEFT('(B) Register of Participants'!$AY$12,3)="Yes",LEFT('(B) Register of Participants'!$AY$12,2)="NA"),OR(LEFT('(B) Register of Participants'!$AZ$12,3)="Yes",LEFT('(B) Register of Participants'!$AZ$12,2)="NA"))</f>
        <v/>
      </c>
      <c r="AL34">
        <f>OR(ISNUMBER(SEARCH("do not pair",'(B) Register of Participants'!$BL$12)),ISNUMBER(SEARCH("do not pair",'(B) Register of Participants'!$BM$12)))</f>
        <v/>
      </c>
      <c r="AM34">
        <f>P34&gt;0</f>
        <v/>
      </c>
      <c r="AN34">
        <f>IF($AS$8="A1",Q34=1,TRUE)</f>
        <v/>
      </c>
      <c r="AO34">
        <f>TRIM(IFERROR(LEFT('(B) Register of Participants'!$AP$12,FIND(";",'(B) Register of Participants'!$AP$12)-1),'(B) Register of Participants'!$AP$12))</f>
        <v/>
      </c>
      <c r="AP34">
        <f>IF(ISNUMBER(FIND(";",'(B) Register of Participants'!$AP$12)),TRIM(MID('(B) Register of Participants'!$AP$12,FIND(";",'(B) Register of Participants'!$AP$12)+1,80)),"")</f>
        <v/>
      </c>
    </row>
    <row r="35">
      <c r="B35" s="20">
        <f>IF(R35="Yes",RANK(AD35,$AD$25:$AD$124),"")</f>
        <v/>
      </c>
      <c r="C35" s="20">
        <f>'(B) Register of Participants'!$A$13</f>
        <v/>
      </c>
      <c r="D35" s="20">
        <f>'(B) Register of Participants'!$B$13</f>
        <v/>
      </c>
      <c r="E35" s="20">
        <f>'(B) Register of Participants'!$J$13</f>
        <v/>
      </c>
      <c r="F35" s="20">
        <f>IFERROR('(B) Register of Participants'!$O$13-'(B) Register of Participants'!$P$13,0)</f>
        <v/>
      </c>
      <c r="G35" s="20">
        <f>'(B) Register of Participants'!$AL$13</f>
        <v/>
      </c>
      <c r="H35" s="20">
        <f>'(B) Register of Participants'!$AP$13</f>
        <v/>
      </c>
      <c r="I35" s="20">
        <f>TRIM(IFERROR(LEFT('(B) Register of Participants'!$AS$13,FIND(" (",'(B) Register of Participants'!$AS$13)-1),'(B) Register of Participants'!$AS$13))</f>
        <v/>
      </c>
      <c r="J35" s="20">
        <f>'(B) Register of Participants'!$AT$13</f>
        <v/>
      </c>
      <c r="K35" s="20">
        <f>'(B) Register of Participants'!$AE$13</f>
        <v/>
      </c>
      <c r="L35" s="20">
        <f>'(B) Register of Participants'!$AF$13</f>
        <v/>
      </c>
      <c r="M35" s="20">
        <f>'(B) Register of Participants'!$AJ$13</f>
        <v/>
      </c>
      <c r="N35" s="20">
        <f>'(B) Register of Participants'!$CY$13</f>
        <v/>
      </c>
      <c r="O35" s="20">
        <f>'(B) Register of Participants'!$CW$13</f>
        <v/>
      </c>
      <c r="P35" s="20">
        <f>(ISNUMBER(SEARCH("6am-9am",$AS$27))*ISNUMBER(SEARCH("6am-9am",'(B) Register of Participants'!$X$13)))+(ISNUMBER(SEARCH("9am-12pm",$AS$27))*ISNUMBER(SEARCH("9am-12pm",'(B) Register of Participants'!$X$13)))+(ISNUMBER(SEARCH("12pm-3pm",$AS$27))*ISNUMBER(SEARCH("12pm-3pm",'(B) Register of Participants'!$X$13)))+(ISNUMBER(SEARCH("3pm-6pm",$AS$27))*ISNUMBER(SEARCH("3pm-6pm",'(B) Register of Participants'!$X$13)))+(ISNUMBER(SEARCH("6pm-9pm",$AS$27))*ISNUMBER(SEARCH("6pm-9pm",'(B) Register of Participants'!$X$13)))+(ISNUMBER(SEARCH("6am-9am",$AS$28))*ISNUMBER(SEARCH("6am-9am",'(B) Register of Participants'!$Y$13)))+(ISNUMBER(SEARCH("9am-12pm",$AS$28))*ISNUMBER(SEARCH("9am-12pm",'(B) Register of Participants'!$Y$13)))+(ISNUMBER(SEARCH("12pm-3pm",$AS$28))*ISNUMBER(SEARCH("12pm-3pm",'(B) Register of Participants'!$Y$13)))+(ISNUMBER(SEARCH("3pm-6pm",$AS$28))*ISNUMBER(SEARCH("3pm-6pm",'(B) Register of Participants'!$Y$13)))+(ISNUMBER(SEARCH("6pm-9pm",$AS$28))*ISNUMBER(SEARCH("6pm-9pm",'(B) Register of Participants'!$Y$13)))+(ISNUMBER(SEARCH("6am-9am",$AS$29))*ISNUMBER(SEARCH("6am-9am",'(B) Register of Participants'!$Z$13)))+(ISNUMBER(SEARCH("9am-12pm",$AS$29))*ISNUMBER(SEARCH("9am-12pm",'(B) Register of Participants'!$Z$13)))+(ISNUMBER(SEARCH("12pm-3pm",$AS$29))*ISNUMBER(SEARCH("12pm-3pm",'(B) Register of Participants'!$Z$13)))+(ISNUMBER(SEARCH("3pm-6pm",$AS$29))*ISNUMBER(SEARCH("3pm-6pm",'(B) Register of Participants'!$Z$13)))+(ISNUMBER(SEARCH("6pm-9pm",$AS$29))*ISNUMBER(SEARCH("6pm-9pm",'(B) Register of Participants'!$Z$13)))+(ISNUMBER(SEARCH("6am-9am",$AS$30))*ISNUMBER(SEARCH("6am-9am",'(B) Register of Participants'!$AA$13)))+(ISNUMBER(SEARCH("9am-12pm",$AS$30))*ISNUMBER(SEARCH("9am-12pm",'(B) Register of Participants'!$AA$13)))+(ISNUMBER(SEARCH("12pm-3pm",$AS$30))*ISNUMBER(SEARCH("12pm-3pm",'(B) Register of Participants'!$AA$13)))+(ISNUMBER(SEARCH("3pm-6pm",$AS$30))*ISNUMBER(SEARCH("3pm-6pm",'(B) Register of Participants'!$AA$13)))+(ISNUMBER(SEARCH("6pm-9pm",$AS$30))*ISNUMBER(SEARCH("6pm-9pm",'(B) Register of Participants'!$AA$13)))+(ISNUMBER(SEARCH("6am-9am",$AS$31))*ISNUMBER(SEARCH("6am-9am",'(B) Register of Participants'!$AB$13)))+(ISNUMBER(SEARCH("9am-12pm",$AS$31))*ISNUMBER(SEARCH("9am-12pm",'(B) Register of Participants'!$AB$13)))+(ISNUMBER(SEARCH("12pm-3pm",$AS$31))*ISNUMBER(SEARCH("12pm-3pm",'(B) Register of Participants'!$AB$13)))+(ISNUMBER(SEARCH("3pm-6pm",$AS$31))*ISNUMBER(SEARCH("3pm-6pm",'(B) Register of Participants'!$AB$13)))+(ISNUMBER(SEARCH("6pm-9pm",$AS$31))*ISNUMBER(SEARCH("6pm-9pm",'(B) Register of Participants'!$AB$13)))+(ISNUMBER(SEARCH("6am-9am",$AS$32))*ISNUMBER(SEARCH("6am-9am",'(B) Register of Participants'!$AC$13)))+(ISNUMBER(SEARCH("9am-12pm",$AS$32))*ISNUMBER(SEARCH("9am-12pm",'(B) Register of Participants'!$AC$13)))+(ISNUMBER(SEARCH("12pm-3pm",$AS$32))*ISNUMBER(SEARCH("12pm-3pm",'(B) Register of Participants'!$AC$13)))+(ISNUMBER(SEARCH("3pm-6pm",$AS$32))*ISNUMBER(SEARCH("3pm-6pm",'(B) Register of Participants'!$AC$13)))+(ISNUMBER(SEARCH("6pm-9pm",$AS$32))*ISNUMBER(SEARCH("6pm-9pm",'(B) Register of Participants'!$AC$13)))+(ISNUMBER(SEARCH("6am-9am",$AS$33))*ISNUMBER(SEARCH("6am-9am",'(B) Register of Participants'!$AD$13)))+(ISNUMBER(SEARCH("9am-12pm",$AS$33))*ISNUMBER(SEARCH("9am-12pm",'(B) Register of Participants'!$AD$13)))+(ISNUMBER(SEARCH("12pm-3pm",$AS$33))*ISNUMBER(SEARCH("12pm-3pm",'(B) Register of Participants'!$AD$13)))+(ISNUMBER(SEARCH("3pm-6pm",$AS$33))*ISNUMBER(SEARCH("3pm-6pm",'(B) Register of Participants'!$AD$13)))+(ISNUMBER(SEARCH("6pm-9pm",$AS$33))*ISNUMBER(SEARCH("6pm-9pm",'(B) Register of Participants'!$AD$13)))</f>
        <v/>
      </c>
      <c r="Q35" s="20">
        <f>IF(OR(AND($AS$17&lt;&gt;"",$AS$17&lt;&gt;"English",IF($AS$17="Persian",OR(ISNUMBER(SEARCH("Dari",'(B) Register of Participants'!$AR$13)),ISNUMBER(SEARCH("Farsi",'(B) Register of Participants'!$AR$13)),ISNUMBER(SEARCH("Persian",'(B) Register of Participants'!$AR$13)),ISNUMBER(SEARCH("Hazaragi",'(B) Register of Participants'!$AR$13))),ISNUMBER(SEARCH($AS$17,'(B) Register of Participants'!$AR$13)))),AND($AS$20&lt;&gt;"",$AS$20&lt;&gt;"English",IF($AS$20="Persian",OR(ISNUMBER(SEARCH("Dari",'(B) Register of Participants'!$AR$13)),ISNUMBER(SEARCH("Farsi",'(B) Register of Participants'!$AR$13)),ISNUMBER(SEARCH("Persian",'(B) Register of Participants'!$AR$13)),ISNUMBER(SEARCH("Hazaragi",'(B) Register of Participants'!$AR$13))),ISNUMBER(SEARCH($AS$20,'(B) Register of Participants'!$AR$13))))),1,0)</f>
        <v/>
      </c>
      <c r="R35" s="20">
        <f>IF(AND(AH35,AI35,NOT(AJ35),NOT($AS$25),AK35,$AS$26,AM35,AN35,NOT(AL35)),"Yes","No")</f>
        <v/>
      </c>
      <c r="S35" s="20">
        <f>IF(OR(COUNTIF('Engine Lists'!$A:$A,$AS$14&amp;"|"&amp;AO35)&gt;0,COUNTIF('Engine Lists'!$A:$A,$AS$14&amp;"|"&amp;AP35)&gt;0,COUNTIF('Engine Lists'!$A:$A,$AS$15&amp;"|"&amp;AO35)&gt;0,COUNTIF('Engine Lists'!$A:$A,$AS$15&amp;"|"&amp;AP35)&gt;0,COUNTIF('Engine Lists'!$A:$A,$AS$21&amp;"|"&amp;I35)&gt;0),-8,0)</f>
        <v/>
      </c>
      <c r="T35" s="20">
        <f>IF(Q35=1,IF(OR($AS$8="A2",$AS$8="B1"),7,IF(OR($AS$8="B2",$AS$8="C1",$AS$8="C2"),-5,0)),0)</f>
        <v/>
      </c>
      <c r="U35" s="20">
        <f>IF(AND($AS$6=G35,OR($AS$6="Male",$AS$6="Female")),5,0)</f>
        <v/>
      </c>
      <c r="V35" s="20">
        <f>IF(AND($AS$24,$AS$11&lt;&gt;"In-Person",K35&lt;&gt;"In-Person"),-5,0)</f>
        <v/>
      </c>
      <c r="W35" s="20">
        <f>IF(OR($AS$11=K35,$AS$11="Either",K35="Either"),3,0)</f>
        <v/>
      </c>
      <c r="X35" s="20">
        <f>IF(AND($AS$11&lt;&gt;"Online",K35&lt;&gt;"Online",ISNUMBER($AS$22),ISNUMBER(IFERROR(VALUE(M35),"x"))),IF(ABS($AS$22-VALUE(M35))&lt;=50,3,0),0)</f>
        <v/>
      </c>
      <c r="Y35" s="20">
        <f>IF(AND($AS$10&lt;&gt;"",$AS$10=J35),3,0)</f>
        <v/>
      </c>
      <c r="Z35" s="20">
        <f>IF(OR(N($AS$13)&gt;=150,N(O35)&gt;=150),3,0)</f>
        <v/>
      </c>
      <c r="AA35" s="20">
        <f>IF(AND($AS$21&lt;&gt;"",$AS$21&lt;&gt;"NA",$AS$21=I35),2,0)</f>
        <v/>
      </c>
      <c r="AB35" s="20">
        <f>IF(OR(AND($AS$14&lt;&gt;"",$AS$14&lt;&gt;"NA",OR($AS$14=AO35,$AS$14=AP35)),AND($AS$15&lt;&gt;"",OR($AS$15=AO35,$AS$15=AP35))),2,0)</f>
        <v/>
      </c>
      <c r="AC35" s="20">
        <f>IF(AND(ISNUMBER($AS$12),ISNUMBER(N35),ABS($AS$12-N35)&lt;=10),2,0)</f>
        <v/>
      </c>
      <c r="AD35" s="20">
        <f>IF(R35="Yes",SUM(S35:AC35),"")</f>
        <v/>
      </c>
      <c r="AE35" s="20">
        <f>IF(R35="Yes","Score "&amp;AD35&amp;": "&amp;TRIM(IF(S35&lt;&gt;0,"−8 acrimonious; ","")&amp;IF(T35=7,"+7 shared language; ","")&amp;IF(T35=-5,"−5 shared lang(adv); ","")&amp;IF(U35=5,"+5 same-sex; ","")&amp;IF(V35=-5,"−5 online no device; ","")&amp;IF(W35=3,"+3 mode; ","")&amp;IF(X35=3,"+3 proximity; ","")&amp;IF(Y35=3,"+3 category; ","")&amp;IF(Z35=3,"+3 long wait; ","")&amp;IF(AA35=2,"+2 religion; ","")&amp;IF(AB35=2,"+2 nationality; ","")&amp;IF(AC35=2,"+2 age; ","")),"Not eligible: "&amp;IF(NOT(AH35),"tutor not pending/with-capacity",IF(NOT(AI35),"no spare capacity",IF(AJ35,"tutor blacklisted",IF($AS$25,"student blacklisted",IF(NOT(AK35),"tutor vetting incomplete",IF(NOT($AS$26),"student vetting incomplete",IF(NOT(AM35),"no overlapping 3h AEST block",IF(NOT(AN35),"A1 student needs a shared language",IF(AL35,"'do not pair' note present",""))))))))))</f>
        <v/>
      </c>
      <c r="AF35">
        <f>TRIM(IFERROR(LEFT('(B) Register of Participants'!$AR$13,FIND(" (",'(B) Register of Participants'!$AR$13)-1),'(B) Register of Participants'!$AR$13))</f>
        <v/>
      </c>
      <c r="AG35">
        <f>IF(ISNUMBER(SEARCH("Mandarin",'(B) Register of Participants'!$AR$13)),"Mandarin",IF(ISNUMBER(SEARCH("Cantonese",'(B) Register of Participants'!$AR$13)),"Cantonese",IF(OR(AF35="Dari",AF35="Farsi",AF35="Persian",AF35="Hazaragi"),"Persian",AF35)))</f>
        <v/>
      </c>
      <c r="AH35">
        <f>OR(E35="ADM-ACT-UNMAT",E35="ADM-ACT-MAT-CNE")</f>
        <v/>
      </c>
      <c r="AI35">
        <f>F35&gt;0</f>
        <v/>
      </c>
      <c r="AJ35">
        <f>LEFT('(B) Register of Participants'!$L$13,3)="Yes"</f>
        <v/>
      </c>
      <c r="AK35">
        <f>AND(OR(LEFT('(B) Register of Participants'!$AY$13,3)="Yes",LEFT('(B) Register of Participants'!$AY$13,2)="NA"),OR(LEFT('(B) Register of Participants'!$AZ$13,3)="Yes",LEFT('(B) Register of Participants'!$AZ$13,2)="NA"))</f>
        <v/>
      </c>
      <c r="AL35">
        <f>OR(ISNUMBER(SEARCH("do not pair",'(B) Register of Participants'!$BL$13)),ISNUMBER(SEARCH("do not pair",'(B) Register of Participants'!$BM$13)))</f>
        <v/>
      </c>
      <c r="AM35">
        <f>P35&gt;0</f>
        <v/>
      </c>
      <c r="AN35">
        <f>IF($AS$8="A1",Q35=1,TRUE)</f>
        <v/>
      </c>
      <c r="AO35">
        <f>TRIM(IFERROR(LEFT('(B) Register of Participants'!$AP$13,FIND(";",'(B) Register of Participants'!$AP$13)-1),'(B) Register of Participants'!$AP$13))</f>
        <v/>
      </c>
      <c r="AP35">
        <f>IF(ISNUMBER(FIND(";",'(B) Register of Participants'!$AP$13)),TRIM(MID('(B) Register of Participants'!$AP$13,FIND(";",'(B) Register of Participants'!$AP$13)+1,80)),"")</f>
        <v/>
      </c>
    </row>
    <row r="36">
      <c r="B36" s="20">
        <f>IF(R36="Yes",RANK(AD36,$AD$25:$AD$124),"")</f>
        <v/>
      </c>
      <c r="C36" s="20">
        <f>'(B) Register of Participants'!$A$14</f>
        <v/>
      </c>
      <c r="D36" s="20">
        <f>'(B) Register of Participants'!$B$14</f>
        <v/>
      </c>
      <c r="E36" s="20">
        <f>'(B) Register of Participants'!$J$14</f>
        <v/>
      </c>
      <c r="F36" s="20">
        <f>IFERROR('(B) Register of Participants'!$O$14-'(B) Register of Participants'!$P$14,0)</f>
        <v/>
      </c>
      <c r="G36" s="20">
        <f>'(B) Register of Participants'!$AL$14</f>
        <v/>
      </c>
      <c r="H36" s="20">
        <f>'(B) Register of Participants'!$AP$14</f>
        <v/>
      </c>
      <c r="I36" s="20">
        <f>TRIM(IFERROR(LEFT('(B) Register of Participants'!$AS$14,FIND(" (",'(B) Register of Participants'!$AS$14)-1),'(B) Register of Participants'!$AS$14))</f>
        <v/>
      </c>
      <c r="J36" s="20">
        <f>'(B) Register of Participants'!$AT$14</f>
        <v/>
      </c>
      <c r="K36" s="20">
        <f>'(B) Register of Participants'!$AE$14</f>
        <v/>
      </c>
      <c r="L36" s="20">
        <f>'(B) Register of Participants'!$AF$14</f>
        <v/>
      </c>
      <c r="M36" s="20">
        <f>'(B) Register of Participants'!$AJ$14</f>
        <v/>
      </c>
      <c r="N36" s="20">
        <f>'(B) Register of Participants'!$CY$14</f>
        <v/>
      </c>
      <c r="O36" s="20">
        <f>'(B) Register of Participants'!$CW$14</f>
        <v/>
      </c>
      <c r="P36" s="20">
        <f>(ISNUMBER(SEARCH("6am-9am",$AS$27))*ISNUMBER(SEARCH("6am-9am",'(B) Register of Participants'!$X$14)))+(ISNUMBER(SEARCH("9am-12pm",$AS$27))*ISNUMBER(SEARCH("9am-12pm",'(B) Register of Participants'!$X$14)))+(ISNUMBER(SEARCH("12pm-3pm",$AS$27))*ISNUMBER(SEARCH("12pm-3pm",'(B) Register of Participants'!$X$14)))+(ISNUMBER(SEARCH("3pm-6pm",$AS$27))*ISNUMBER(SEARCH("3pm-6pm",'(B) Register of Participants'!$X$14)))+(ISNUMBER(SEARCH("6pm-9pm",$AS$27))*ISNUMBER(SEARCH("6pm-9pm",'(B) Register of Participants'!$X$14)))+(ISNUMBER(SEARCH("6am-9am",$AS$28))*ISNUMBER(SEARCH("6am-9am",'(B) Register of Participants'!$Y$14)))+(ISNUMBER(SEARCH("9am-12pm",$AS$28))*ISNUMBER(SEARCH("9am-12pm",'(B) Register of Participants'!$Y$14)))+(ISNUMBER(SEARCH("12pm-3pm",$AS$28))*ISNUMBER(SEARCH("12pm-3pm",'(B) Register of Participants'!$Y$14)))+(ISNUMBER(SEARCH("3pm-6pm",$AS$28))*ISNUMBER(SEARCH("3pm-6pm",'(B) Register of Participants'!$Y$14)))+(ISNUMBER(SEARCH("6pm-9pm",$AS$28))*ISNUMBER(SEARCH("6pm-9pm",'(B) Register of Participants'!$Y$14)))+(ISNUMBER(SEARCH("6am-9am",$AS$29))*ISNUMBER(SEARCH("6am-9am",'(B) Register of Participants'!$Z$14)))+(ISNUMBER(SEARCH("9am-12pm",$AS$29))*ISNUMBER(SEARCH("9am-12pm",'(B) Register of Participants'!$Z$14)))+(ISNUMBER(SEARCH("12pm-3pm",$AS$29))*ISNUMBER(SEARCH("12pm-3pm",'(B) Register of Participants'!$Z$14)))+(ISNUMBER(SEARCH("3pm-6pm",$AS$29))*ISNUMBER(SEARCH("3pm-6pm",'(B) Register of Participants'!$Z$14)))+(ISNUMBER(SEARCH("6pm-9pm",$AS$29))*ISNUMBER(SEARCH("6pm-9pm",'(B) Register of Participants'!$Z$14)))+(ISNUMBER(SEARCH("6am-9am",$AS$30))*ISNUMBER(SEARCH("6am-9am",'(B) Register of Participants'!$AA$14)))+(ISNUMBER(SEARCH("9am-12pm",$AS$30))*ISNUMBER(SEARCH("9am-12pm",'(B) Register of Participants'!$AA$14)))+(ISNUMBER(SEARCH("12pm-3pm",$AS$30))*ISNUMBER(SEARCH("12pm-3pm",'(B) Register of Participants'!$AA$14)))+(ISNUMBER(SEARCH("3pm-6pm",$AS$30))*ISNUMBER(SEARCH("3pm-6pm",'(B) Register of Participants'!$AA$14)))+(ISNUMBER(SEARCH("6pm-9pm",$AS$30))*ISNUMBER(SEARCH("6pm-9pm",'(B) Register of Participants'!$AA$14)))+(ISNUMBER(SEARCH("6am-9am",$AS$31))*ISNUMBER(SEARCH("6am-9am",'(B) Register of Participants'!$AB$14)))+(ISNUMBER(SEARCH("9am-12pm",$AS$31))*ISNUMBER(SEARCH("9am-12pm",'(B) Register of Participants'!$AB$14)))+(ISNUMBER(SEARCH("12pm-3pm",$AS$31))*ISNUMBER(SEARCH("12pm-3pm",'(B) Register of Participants'!$AB$14)))+(ISNUMBER(SEARCH("3pm-6pm",$AS$31))*ISNUMBER(SEARCH("3pm-6pm",'(B) Register of Participants'!$AB$14)))+(ISNUMBER(SEARCH("6pm-9pm",$AS$31))*ISNUMBER(SEARCH("6pm-9pm",'(B) Register of Participants'!$AB$14)))+(ISNUMBER(SEARCH("6am-9am",$AS$32))*ISNUMBER(SEARCH("6am-9am",'(B) Register of Participants'!$AC$14)))+(ISNUMBER(SEARCH("9am-12pm",$AS$32))*ISNUMBER(SEARCH("9am-12pm",'(B) Register of Participants'!$AC$14)))+(ISNUMBER(SEARCH("12pm-3pm",$AS$32))*ISNUMBER(SEARCH("12pm-3pm",'(B) Register of Participants'!$AC$14)))+(ISNUMBER(SEARCH("3pm-6pm",$AS$32))*ISNUMBER(SEARCH("3pm-6pm",'(B) Register of Participants'!$AC$14)))+(ISNUMBER(SEARCH("6pm-9pm",$AS$32))*ISNUMBER(SEARCH("6pm-9pm",'(B) Register of Participants'!$AC$14)))+(ISNUMBER(SEARCH("6am-9am",$AS$33))*ISNUMBER(SEARCH("6am-9am",'(B) Register of Participants'!$AD$14)))+(ISNUMBER(SEARCH("9am-12pm",$AS$33))*ISNUMBER(SEARCH("9am-12pm",'(B) Register of Participants'!$AD$14)))+(ISNUMBER(SEARCH("12pm-3pm",$AS$33))*ISNUMBER(SEARCH("12pm-3pm",'(B) Register of Participants'!$AD$14)))+(ISNUMBER(SEARCH("3pm-6pm",$AS$33))*ISNUMBER(SEARCH("3pm-6pm",'(B) Register of Participants'!$AD$14)))+(ISNUMBER(SEARCH("6pm-9pm",$AS$33))*ISNUMBER(SEARCH("6pm-9pm",'(B) Register of Participants'!$AD$14)))</f>
        <v/>
      </c>
      <c r="Q36" s="20">
        <f>IF(OR(AND($AS$17&lt;&gt;"",$AS$17&lt;&gt;"English",IF($AS$17="Persian",OR(ISNUMBER(SEARCH("Dari",'(B) Register of Participants'!$AR$14)),ISNUMBER(SEARCH("Farsi",'(B) Register of Participants'!$AR$14)),ISNUMBER(SEARCH("Persian",'(B) Register of Participants'!$AR$14)),ISNUMBER(SEARCH("Hazaragi",'(B) Register of Participants'!$AR$14))),ISNUMBER(SEARCH($AS$17,'(B) Register of Participants'!$AR$14)))),AND($AS$20&lt;&gt;"",$AS$20&lt;&gt;"English",IF($AS$20="Persian",OR(ISNUMBER(SEARCH("Dari",'(B) Register of Participants'!$AR$14)),ISNUMBER(SEARCH("Farsi",'(B) Register of Participants'!$AR$14)),ISNUMBER(SEARCH("Persian",'(B) Register of Participants'!$AR$14)),ISNUMBER(SEARCH("Hazaragi",'(B) Register of Participants'!$AR$14))),ISNUMBER(SEARCH($AS$20,'(B) Register of Participants'!$AR$14))))),1,0)</f>
        <v/>
      </c>
      <c r="R36" s="20">
        <f>IF(AND(AH36,AI36,NOT(AJ36),NOT($AS$25),AK36,$AS$26,AM36,AN36,NOT(AL36)),"Yes","No")</f>
        <v/>
      </c>
      <c r="S36" s="20">
        <f>IF(OR(COUNTIF('Engine Lists'!$A:$A,$AS$14&amp;"|"&amp;AO36)&gt;0,COUNTIF('Engine Lists'!$A:$A,$AS$14&amp;"|"&amp;AP36)&gt;0,COUNTIF('Engine Lists'!$A:$A,$AS$15&amp;"|"&amp;AO36)&gt;0,COUNTIF('Engine Lists'!$A:$A,$AS$15&amp;"|"&amp;AP36)&gt;0,COUNTIF('Engine Lists'!$A:$A,$AS$21&amp;"|"&amp;I36)&gt;0),-8,0)</f>
        <v/>
      </c>
      <c r="T36" s="20">
        <f>IF(Q36=1,IF(OR($AS$8="A2",$AS$8="B1"),7,IF(OR($AS$8="B2",$AS$8="C1",$AS$8="C2"),-5,0)),0)</f>
        <v/>
      </c>
      <c r="U36" s="20">
        <f>IF(AND($AS$6=G36,OR($AS$6="Male",$AS$6="Female")),5,0)</f>
        <v/>
      </c>
      <c r="V36" s="20">
        <f>IF(AND($AS$24,$AS$11&lt;&gt;"In-Person",K36&lt;&gt;"In-Person"),-5,0)</f>
        <v/>
      </c>
      <c r="W36" s="20">
        <f>IF(OR($AS$11=K36,$AS$11="Either",K36="Either"),3,0)</f>
        <v/>
      </c>
      <c r="X36" s="20">
        <f>IF(AND($AS$11&lt;&gt;"Online",K36&lt;&gt;"Online",ISNUMBER($AS$22),ISNUMBER(IFERROR(VALUE(M36),"x"))),IF(ABS($AS$22-VALUE(M36))&lt;=50,3,0),0)</f>
        <v/>
      </c>
      <c r="Y36" s="20">
        <f>IF(AND($AS$10&lt;&gt;"",$AS$10=J36),3,0)</f>
        <v/>
      </c>
      <c r="Z36" s="20">
        <f>IF(OR(N($AS$13)&gt;=150,N(O36)&gt;=150),3,0)</f>
        <v/>
      </c>
      <c r="AA36" s="20">
        <f>IF(AND($AS$21&lt;&gt;"",$AS$21&lt;&gt;"NA",$AS$21=I36),2,0)</f>
        <v/>
      </c>
      <c r="AB36" s="20">
        <f>IF(OR(AND($AS$14&lt;&gt;"",$AS$14&lt;&gt;"NA",OR($AS$14=AO36,$AS$14=AP36)),AND($AS$15&lt;&gt;"",OR($AS$15=AO36,$AS$15=AP36))),2,0)</f>
        <v/>
      </c>
      <c r="AC36" s="20">
        <f>IF(AND(ISNUMBER($AS$12),ISNUMBER(N36),ABS($AS$12-N36)&lt;=10),2,0)</f>
        <v/>
      </c>
      <c r="AD36" s="20">
        <f>IF(R36="Yes",SUM(S36:AC36),"")</f>
        <v/>
      </c>
      <c r="AE36" s="20">
        <f>IF(R36="Yes","Score "&amp;AD36&amp;": "&amp;TRIM(IF(S36&lt;&gt;0,"−8 acrimonious; ","")&amp;IF(T36=7,"+7 shared language; ","")&amp;IF(T36=-5,"−5 shared lang(adv); ","")&amp;IF(U36=5,"+5 same-sex; ","")&amp;IF(V36=-5,"−5 online no device; ","")&amp;IF(W36=3,"+3 mode; ","")&amp;IF(X36=3,"+3 proximity; ","")&amp;IF(Y36=3,"+3 category; ","")&amp;IF(Z36=3,"+3 long wait; ","")&amp;IF(AA36=2,"+2 religion; ","")&amp;IF(AB36=2,"+2 nationality; ","")&amp;IF(AC36=2,"+2 age; ","")),"Not eligible: "&amp;IF(NOT(AH36),"tutor not pending/with-capacity",IF(NOT(AI36),"no spare capacity",IF(AJ36,"tutor blacklisted",IF($AS$25,"student blacklisted",IF(NOT(AK36),"tutor vetting incomplete",IF(NOT($AS$26),"student vetting incomplete",IF(NOT(AM36),"no overlapping 3h AEST block",IF(NOT(AN36),"A1 student needs a shared language",IF(AL36,"'do not pair' note present",""))))))))))</f>
        <v/>
      </c>
      <c r="AF36">
        <f>TRIM(IFERROR(LEFT('(B) Register of Participants'!$AR$14,FIND(" (",'(B) Register of Participants'!$AR$14)-1),'(B) Register of Participants'!$AR$14))</f>
        <v/>
      </c>
      <c r="AG36">
        <f>IF(ISNUMBER(SEARCH("Mandarin",'(B) Register of Participants'!$AR$14)),"Mandarin",IF(ISNUMBER(SEARCH("Cantonese",'(B) Register of Participants'!$AR$14)),"Cantonese",IF(OR(AF36="Dari",AF36="Farsi",AF36="Persian",AF36="Hazaragi"),"Persian",AF36)))</f>
        <v/>
      </c>
      <c r="AH36">
        <f>OR(E36="ADM-ACT-UNMAT",E36="ADM-ACT-MAT-CNE")</f>
        <v/>
      </c>
      <c r="AI36">
        <f>F36&gt;0</f>
        <v/>
      </c>
      <c r="AJ36">
        <f>LEFT('(B) Register of Participants'!$L$14,3)="Yes"</f>
        <v/>
      </c>
      <c r="AK36">
        <f>AND(OR(LEFT('(B) Register of Participants'!$AY$14,3)="Yes",LEFT('(B) Register of Participants'!$AY$14,2)="NA"),OR(LEFT('(B) Register of Participants'!$AZ$14,3)="Yes",LEFT('(B) Register of Participants'!$AZ$14,2)="NA"))</f>
        <v/>
      </c>
      <c r="AL36">
        <f>OR(ISNUMBER(SEARCH("do not pair",'(B) Register of Participants'!$BL$14)),ISNUMBER(SEARCH("do not pair",'(B) Register of Participants'!$BM$14)))</f>
        <v/>
      </c>
      <c r="AM36">
        <f>P36&gt;0</f>
        <v/>
      </c>
      <c r="AN36">
        <f>IF($AS$8="A1",Q36=1,TRUE)</f>
        <v/>
      </c>
      <c r="AO36">
        <f>TRIM(IFERROR(LEFT('(B) Register of Participants'!$AP$14,FIND(";",'(B) Register of Participants'!$AP$14)-1),'(B) Register of Participants'!$AP$14))</f>
        <v/>
      </c>
      <c r="AP36">
        <f>IF(ISNUMBER(FIND(";",'(B) Register of Participants'!$AP$14)),TRIM(MID('(B) Register of Participants'!$AP$14,FIND(";",'(B) Register of Participants'!$AP$14)+1,80)),"")</f>
        <v/>
      </c>
    </row>
    <row r="37">
      <c r="B37" s="20">
        <f>IF(R37="Yes",RANK(AD37,$AD$25:$AD$124),"")</f>
        <v/>
      </c>
      <c r="C37" s="20">
        <f>'(B) Register of Participants'!$A$15</f>
        <v/>
      </c>
      <c r="D37" s="20">
        <f>'(B) Register of Participants'!$B$15</f>
        <v/>
      </c>
      <c r="E37" s="20">
        <f>'(B) Register of Participants'!$J$15</f>
        <v/>
      </c>
      <c r="F37" s="20">
        <f>IFERROR('(B) Register of Participants'!$O$15-'(B) Register of Participants'!$P$15,0)</f>
        <v/>
      </c>
      <c r="G37" s="20">
        <f>'(B) Register of Participants'!$AL$15</f>
        <v/>
      </c>
      <c r="H37" s="20">
        <f>'(B) Register of Participants'!$AP$15</f>
        <v/>
      </c>
      <c r="I37" s="20">
        <f>TRIM(IFERROR(LEFT('(B) Register of Participants'!$AS$15,FIND(" (",'(B) Register of Participants'!$AS$15)-1),'(B) Register of Participants'!$AS$15))</f>
        <v/>
      </c>
      <c r="J37" s="20">
        <f>'(B) Register of Participants'!$AT$15</f>
        <v/>
      </c>
      <c r="K37" s="20">
        <f>'(B) Register of Participants'!$AE$15</f>
        <v/>
      </c>
      <c r="L37" s="20">
        <f>'(B) Register of Participants'!$AF$15</f>
        <v/>
      </c>
      <c r="M37" s="20">
        <f>'(B) Register of Participants'!$AJ$15</f>
        <v/>
      </c>
      <c r="N37" s="20">
        <f>'(B) Register of Participants'!$CY$15</f>
        <v/>
      </c>
      <c r="O37" s="20">
        <f>'(B) Register of Participants'!$CW$15</f>
        <v/>
      </c>
      <c r="P37" s="20">
        <f>(ISNUMBER(SEARCH("6am-9am",$AS$27))*ISNUMBER(SEARCH("6am-9am",'(B) Register of Participants'!$X$15)))+(ISNUMBER(SEARCH("9am-12pm",$AS$27))*ISNUMBER(SEARCH("9am-12pm",'(B) Register of Participants'!$X$15)))+(ISNUMBER(SEARCH("12pm-3pm",$AS$27))*ISNUMBER(SEARCH("12pm-3pm",'(B) Register of Participants'!$X$15)))+(ISNUMBER(SEARCH("3pm-6pm",$AS$27))*ISNUMBER(SEARCH("3pm-6pm",'(B) Register of Participants'!$X$15)))+(ISNUMBER(SEARCH("6pm-9pm",$AS$27))*ISNUMBER(SEARCH("6pm-9pm",'(B) Register of Participants'!$X$15)))+(ISNUMBER(SEARCH("6am-9am",$AS$28))*ISNUMBER(SEARCH("6am-9am",'(B) Register of Participants'!$Y$15)))+(ISNUMBER(SEARCH("9am-12pm",$AS$28))*ISNUMBER(SEARCH("9am-12pm",'(B) Register of Participants'!$Y$15)))+(ISNUMBER(SEARCH("12pm-3pm",$AS$28))*ISNUMBER(SEARCH("12pm-3pm",'(B) Register of Participants'!$Y$15)))+(ISNUMBER(SEARCH("3pm-6pm",$AS$28))*ISNUMBER(SEARCH("3pm-6pm",'(B) Register of Participants'!$Y$15)))+(ISNUMBER(SEARCH("6pm-9pm",$AS$28))*ISNUMBER(SEARCH("6pm-9pm",'(B) Register of Participants'!$Y$15)))+(ISNUMBER(SEARCH("6am-9am",$AS$29))*ISNUMBER(SEARCH("6am-9am",'(B) Register of Participants'!$Z$15)))+(ISNUMBER(SEARCH("9am-12pm",$AS$29))*ISNUMBER(SEARCH("9am-12pm",'(B) Register of Participants'!$Z$15)))+(ISNUMBER(SEARCH("12pm-3pm",$AS$29))*ISNUMBER(SEARCH("12pm-3pm",'(B) Register of Participants'!$Z$15)))+(ISNUMBER(SEARCH("3pm-6pm",$AS$29))*ISNUMBER(SEARCH("3pm-6pm",'(B) Register of Participants'!$Z$15)))+(ISNUMBER(SEARCH("6pm-9pm",$AS$29))*ISNUMBER(SEARCH("6pm-9pm",'(B) Register of Participants'!$Z$15)))+(ISNUMBER(SEARCH("6am-9am",$AS$30))*ISNUMBER(SEARCH("6am-9am",'(B) Register of Participants'!$AA$15)))+(ISNUMBER(SEARCH("9am-12pm",$AS$30))*ISNUMBER(SEARCH("9am-12pm",'(B) Register of Participants'!$AA$15)))+(ISNUMBER(SEARCH("12pm-3pm",$AS$30))*ISNUMBER(SEARCH("12pm-3pm",'(B) Register of Participants'!$AA$15)))+(ISNUMBER(SEARCH("3pm-6pm",$AS$30))*ISNUMBER(SEARCH("3pm-6pm",'(B) Register of Participants'!$AA$15)))+(ISNUMBER(SEARCH("6pm-9pm",$AS$30))*ISNUMBER(SEARCH("6pm-9pm",'(B) Register of Participants'!$AA$15)))+(ISNUMBER(SEARCH("6am-9am",$AS$31))*ISNUMBER(SEARCH("6am-9am",'(B) Register of Participants'!$AB$15)))+(ISNUMBER(SEARCH("9am-12pm",$AS$31))*ISNUMBER(SEARCH("9am-12pm",'(B) Register of Participants'!$AB$15)))+(ISNUMBER(SEARCH("12pm-3pm",$AS$31))*ISNUMBER(SEARCH("12pm-3pm",'(B) Register of Participants'!$AB$15)))+(ISNUMBER(SEARCH("3pm-6pm",$AS$31))*ISNUMBER(SEARCH("3pm-6pm",'(B) Register of Participants'!$AB$15)))+(ISNUMBER(SEARCH("6pm-9pm",$AS$31))*ISNUMBER(SEARCH("6pm-9pm",'(B) Register of Participants'!$AB$15)))+(ISNUMBER(SEARCH("6am-9am",$AS$32))*ISNUMBER(SEARCH("6am-9am",'(B) Register of Participants'!$AC$15)))+(ISNUMBER(SEARCH("9am-12pm",$AS$32))*ISNUMBER(SEARCH("9am-12pm",'(B) Register of Participants'!$AC$15)))+(ISNUMBER(SEARCH("12pm-3pm",$AS$32))*ISNUMBER(SEARCH("12pm-3pm",'(B) Register of Participants'!$AC$15)))+(ISNUMBER(SEARCH("3pm-6pm",$AS$32))*ISNUMBER(SEARCH("3pm-6pm",'(B) Register of Participants'!$AC$15)))+(ISNUMBER(SEARCH("6pm-9pm",$AS$32))*ISNUMBER(SEARCH("6pm-9pm",'(B) Register of Participants'!$AC$15)))+(ISNUMBER(SEARCH("6am-9am",$AS$33))*ISNUMBER(SEARCH("6am-9am",'(B) Register of Participants'!$AD$15)))+(ISNUMBER(SEARCH("9am-12pm",$AS$33))*ISNUMBER(SEARCH("9am-12pm",'(B) Register of Participants'!$AD$15)))+(ISNUMBER(SEARCH("12pm-3pm",$AS$33))*ISNUMBER(SEARCH("12pm-3pm",'(B) Register of Participants'!$AD$15)))+(ISNUMBER(SEARCH("3pm-6pm",$AS$33))*ISNUMBER(SEARCH("3pm-6pm",'(B) Register of Participants'!$AD$15)))+(ISNUMBER(SEARCH("6pm-9pm",$AS$33))*ISNUMBER(SEARCH("6pm-9pm",'(B) Register of Participants'!$AD$15)))</f>
        <v/>
      </c>
      <c r="Q37" s="20">
        <f>IF(OR(AND($AS$17&lt;&gt;"",$AS$17&lt;&gt;"English",IF($AS$17="Persian",OR(ISNUMBER(SEARCH("Dari",'(B) Register of Participants'!$AR$15)),ISNUMBER(SEARCH("Farsi",'(B) Register of Participants'!$AR$15)),ISNUMBER(SEARCH("Persian",'(B) Register of Participants'!$AR$15)),ISNUMBER(SEARCH("Hazaragi",'(B) Register of Participants'!$AR$15))),ISNUMBER(SEARCH($AS$17,'(B) Register of Participants'!$AR$15)))),AND($AS$20&lt;&gt;"",$AS$20&lt;&gt;"English",IF($AS$20="Persian",OR(ISNUMBER(SEARCH("Dari",'(B) Register of Participants'!$AR$15)),ISNUMBER(SEARCH("Farsi",'(B) Register of Participants'!$AR$15)),ISNUMBER(SEARCH("Persian",'(B) Register of Participants'!$AR$15)),ISNUMBER(SEARCH("Hazaragi",'(B) Register of Participants'!$AR$15))),ISNUMBER(SEARCH($AS$20,'(B) Register of Participants'!$AR$15))))),1,0)</f>
        <v/>
      </c>
      <c r="R37" s="20">
        <f>IF(AND(AH37,AI37,NOT(AJ37),NOT($AS$25),AK37,$AS$26,AM37,AN37,NOT(AL37)),"Yes","No")</f>
        <v/>
      </c>
      <c r="S37" s="20">
        <f>IF(OR(COUNTIF('Engine Lists'!$A:$A,$AS$14&amp;"|"&amp;AO37)&gt;0,COUNTIF('Engine Lists'!$A:$A,$AS$14&amp;"|"&amp;AP37)&gt;0,COUNTIF('Engine Lists'!$A:$A,$AS$15&amp;"|"&amp;AO37)&gt;0,COUNTIF('Engine Lists'!$A:$A,$AS$15&amp;"|"&amp;AP37)&gt;0,COUNTIF('Engine Lists'!$A:$A,$AS$21&amp;"|"&amp;I37)&gt;0),-8,0)</f>
        <v/>
      </c>
      <c r="T37" s="20">
        <f>IF(Q37=1,IF(OR($AS$8="A2",$AS$8="B1"),7,IF(OR($AS$8="B2",$AS$8="C1",$AS$8="C2"),-5,0)),0)</f>
        <v/>
      </c>
      <c r="U37" s="20">
        <f>IF(AND($AS$6=G37,OR($AS$6="Male",$AS$6="Female")),5,0)</f>
        <v/>
      </c>
      <c r="V37" s="20">
        <f>IF(AND($AS$24,$AS$11&lt;&gt;"In-Person",K37&lt;&gt;"In-Person"),-5,0)</f>
        <v/>
      </c>
      <c r="W37" s="20">
        <f>IF(OR($AS$11=K37,$AS$11="Either",K37="Either"),3,0)</f>
        <v/>
      </c>
      <c r="X37" s="20">
        <f>IF(AND($AS$11&lt;&gt;"Online",K37&lt;&gt;"Online",ISNUMBER($AS$22),ISNUMBER(IFERROR(VALUE(M37),"x"))),IF(ABS($AS$22-VALUE(M37))&lt;=50,3,0),0)</f>
        <v/>
      </c>
      <c r="Y37" s="20">
        <f>IF(AND($AS$10&lt;&gt;"",$AS$10=J37),3,0)</f>
        <v/>
      </c>
      <c r="Z37" s="20">
        <f>IF(OR(N($AS$13)&gt;=150,N(O37)&gt;=150),3,0)</f>
        <v/>
      </c>
      <c r="AA37" s="20">
        <f>IF(AND($AS$21&lt;&gt;"",$AS$21&lt;&gt;"NA",$AS$21=I37),2,0)</f>
        <v/>
      </c>
      <c r="AB37" s="20">
        <f>IF(OR(AND($AS$14&lt;&gt;"",$AS$14&lt;&gt;"NA",OR($AS$14=AO37,$AS$14=AP37)),AND($AS$15&lt;&gt;"",OR($AS$15=AO37,$AS$15=AP37))),2,0)</f>
        <v/>
      </c>
      <c r="AC37" s="20">
        <f>IF(AND(ISNUMBER($AS$12),ISNUMBER(N37),ABS($AS$12-N37)&lt;=10),2,0)</f>
        <v/>
      </c>
      <c r="AD37" s="20">
        <f>IF(R37="Yes",SUM(S37:AC37),"")</f>
        <v/>
      </c>
      <c r="AE37" s="20">
        <f>IF(R37="Yes","Score "&amp;AD37&amp;": "&amp;TRIM(IF(S37&lt;&gt;0,"−8 acrimonious; ","")&amp;IF(T37=7,"+7 shared language; ","")&amp;IF(T37=-5,"−5 shared lang(adv); ","")&amp;IF(U37=5,"+5 same-sex; ","")&amp;IF(V37=-5,"−5 online no device; ","")&amp;IF(W37=3,"+3 mode; ","")&amp;IF(X37=3,"+3 proximity; ","")&amp;IF(Y37=3,"+3 category; ","")&amp;IF(Z37=3,"+3 long wait; ","")&amp;IF(AA37=2,"+2 religion; ","")&amp;IF(AB37=2,"+2 nationality; ","")&amp;IF(AC37=2,"+2 age; ","")),"Not eligible: "&amp;IF(NOT(AH37),"tutor not pending/with-capacity",IF(NOT(AI37),"no spare capacity",IF(AJ37,"tutor blacklisted",IF($AS$25,"student blacklisted",IF(NOT(AK37),"tutor vetting incomplete",IF(NOT($AS$26),"student vetting incomplete",IF(NOT(AM37),"no overlapping 3h AEST block",IF(NOT(AN37),"A1 student needs a shared language",IF(AL37,"'do not pair' note present",""))))))))))</f>
        <v/>
      </c>
      <c r="AF37">
        <f>TRIM(IFERROR(LEFT('(B) Register of Participants'!$AR$15,FIND(" (",'(B) Register of Participants'!$AR$15)-1),'(B) Register of Participants'!$AR$15))</f>
        <v/>
      </c>
      <c r="AG37">
        <f>IF(ISNUMBER(SEARCH("Mandarin",'(B) Register of Participants'!$AR$15)),"Mandarin",IF(ISNUMBER(SEARCH("Cantonese",'(B) Register of Participants'!$AR$15)),"Cantonese",IF(OR(AF37="Dari",AF37="Farsi",AF37="Persian",AF37="Hazaragi"),"Persian",AF37)))</f>
        <v/>
      </c>
      <c r="AH37">
        <f>OR(E37="ADM-ACT-UNMAT",E37="ADM-ACT-MAT-CNE")</f>
        <v/>
      </c>
      <c r="AI37">
        <f>F37&gt;0</f>
        <v/>
      </c>
      <c r="AJ37">
        <f>LEFT('(B) Register of Participants'!$L$15,3)="Yes"</f>
        <v/>
      </c>
      <c r="AK37">
        <f>AND(OR(LEFT('(B) Register of Participants'!$AY$15,3)="Yes",LEFT('(B) Register of Participants'!$AY$15,2)="NA"),OR(LEFT('(B) Register of Participants'!$AZ$15,3)="Yes",LEFT('(B) Register of Participants'!$AZ$15,2)="NA"))</f>
        <v/>
      </c>
      <c r="AL37">
        <f>OR(ISNUMBER(SEARCH("do not pair",'(B) Register of Participants'!$BL$15)),ISNUMBER(SEARCH("do not pair",'(B) Register of Participants'!$BM$15)))</f>
        <v/>
      </c>
      <c r="AM37">
        <f>P37&gt;0</f>
        <v/>
      </c>
      <c r="AN37">
        <f>IF($AS$8="A1",Q37=1,TRUE)</f>
        <v/>
      </c>
      <c r="AO37">
        <f>TRIM(IFERROR(LEFT('(B) Register of Participants'!$AP$15,FIND(";",'(B) Register of Participants'!$AP$15)-1),'(B) Register of Participants'!$AP$15))</f>
        <v/>
      </c>
      <c r="AP37">
        <f>IF(ISNUMBER(FIND(";",'(B) Register of Participants'!$AP$15)),TRIM(MID('(B) Register of Participants'!$AP$15,FIND(";",'(B) Register of Participants'!$AP$15)+1,80)),"")</f>
        <v/>
      </c>
    </row>
    <row r="38">
      <c r="B38" s="20">
        <f>IF(R38="Yes",RANK(AD38,$AD$25:$AD$124),"")</f>
        <v/>
      </c>
      <c r="C38" s="20">
        <f>'(B) Register of Participants'!$A$16</f>
        <v/>
      </c>
      <c r="D38" s="20">
        <f>'(B) Register of Participants'!$B$16</f>
        <v/>
      </c>
      <c r="E38" s="20">
        <f>'(B) Register of Participants'!$J$16</f>
        <v/>
      </c>
      <c r="F38" s="20">
        <f>IFERROR('(B) Register of Participants'!$O$16-'(B) Register of Participants'!$P$16,0)</f>
        <v/>
      </c>
      <c r="G38" s="20">
        <f>'(B) Register of Participants'!$AL$16</f>
        <v/>
      </c>
      <c r="H38" s="20">
        <f>'(B) Register of Participants'!$AP$16</f>
        <v/>
      </c>
      <c r="I38" s="20">
        <f>TRIM(IFERROR(LEFT('(B) Register of Participants'!$AS$16,FIND(" (",'(B) Register of Participants'!$AS$16)-1),'(B) Register of Participants'!$AS$16))</f>
        <v/>
      </c>
      <c r="J38" s="20">
        <f>'(B) Register of Participants'!$AT$16</f>
        <v/>
      </c>
      <c r="K38" s="20">
        <f>'(B) Register of Participants'!$AE$16</f>
        <v/>
      </c>
      <c r="L38" s="20">
        <f>'(B) Register of Participants'!$AF$16</f>
        <v/>
      </c>
      <c r="M38" s="20">
        <f>'(B) Register of Participants'!$AJ$16</f>
        <v/>
      </c>
      <c r="N38" s="20">
        <f>'(B) Register of Participants'!$CY$16</f>
        <v/>
      </c>
      <c r="O38" s="20">
        <f>'(B) Register of Participants'!$CW$16</f>
        <v/>
      </c>
      <c r="P38" s="20">
        <f>(ISNUMBER(SEARCH("6am-9am",$AS$27))*ISNUMBER(SEARCH("6am-9am",'(B) Register of Participants'!$X$16)))+(ISNUMBER(SEARCH("9am-12pm",$AS$27))*ISNUMBER(SEARCH("9am-12pm",'(B) Register of Participants'!$X$16)))+(ISNUMBER(SEARCH("12pm-3pm",$AS$27))*ISNUMBER(SEARCH("12pm-3pm",'(B) Register of Participants'!$X$16)))+(ISNUMBER(SEARCH("3pm-6pm",$AS$27))*ISNUMBER(SEARCH("3pm-6pm",'(B) Register of Participants'!$X$16)))+(ISNUMBER(SEARCH("6pm-9pm",$AS$27))*ISNUMBER(SEARCH("6pm-9pm",'(B) Register of Participants'!$X$16)))+(ISNUMBER(SEARCH("6am-9am",$AS$28))*ISNUMBER(SEARCH("6am-9am",'(B) Register of Participants'!$Y$16)))+(ISNUMBER(SEARCH("9am-12pm",$AS$28))*ISNUMBER(SEARCH("9am-12pm",'(B) Register of Participants'!$Y$16)))+(ISNUMBER(SEARCH("12pm-3pm",$AS$28))*ISNUMBER(SEARCH("12pm-3pm",'(B) Register of Participants'!$Y$16)))+(ISNUMBER(SEARCH("3pm-6pm",$AS$28))*ISNUMBER(SEARCH("3pm-6pm",'(B) Register of Participants'!$Y$16)))+(ISNUMBER(SEARCH("6pm-9pm",$AS$28))*ISNUMBER(SEARCH("6pm-9pm",'(B) Register of Participants'!$Y$16)))+(ISNUMBER(SEARCH("6am-9am",$AS$29))*ISNUMBER(SEARCH("6am-9am",'(B) Register of Participants'!$Z$16)))+(ISNUMBER(SEARCH("9am-12pm",$AS$29))*ISNUMBER(SEARCH("9am-12pm",'(B) Register of Participants'!$Z$16)))+(ISNUMBER(SEARCH("12pm-3pm",$AS$29))*ISNUMBER(SEARCH("12pm-3pm",'(B) Register of Participants'!$Z$16)))+(ISNUMBER(SEARCH("3pm-6pm",$AS$29))*ISNUMBER(SEARCH("3pm-6pm",'(B) Register of Participants'!$Z$16)))+(ISNUMBER(SEARCH("6pm-9pm",$AS$29))*ISNUMBER(SEARCH("6pm-9pm",'(B) Register of Participants'!$Z$16)))+(ISNUMBER(SEARCH("6am-9am",$AS$30))*ISNUMBER(SEARCH("6am-9am",'(B) Register of Participants'!$AA$16)))+(ISNUMBER(SEARCH("9am-12pm",$AS$30))*ISNUMBER(SEARCH("9am-12pm",'(B) Register of Participants'!$AA$16)))+(ISNUMBER(SEARCH("12pm-3pm",$AS$30))*ISNUMBER(SEARCH("12pm-3pm",'(B) Register of Participants'!$AA$16)))+(ISNUMBER(SEARCH("3pm-6pm",$AS$30))*ISNUMBER(SEARCH("3pm-6pm",'(B) Register of Participants'!$AA$16)))+(ISNUMBER(SEARCH("6pm-9pm",$AS$30))*ISNUMBER(SEARCH("6pm-9pm",'(B) Register of Participants'!$AA$16)))+(ISNUMBER(SEARCH("6am-9am",$AS$31))*ISNUMBER(SEARCH("6am-9am",'(B) Register of Participants'!$AB$16)))+(ISNUMBER(SEARCH("9am-12pm",$AS$31))*ISNUMBER(SEARCH("9am-12pm",'(B) Register of Participants'!$AB$16)))+(ISNUMBER(SEARCH("12pm-3pm",$AS$31))*ISNUMBER(SEARCH("12pm-3pm",'(B) Register of Participants'!$AB$16)))+(ISNUMBER(SEARCH("3pm-6pm",$AS$31))*ISNUMBER(SEARCH("3pm-6pm",'(B) Register of Participants'!$AB$16)))+(ISNUMBER(SEARCH("6pm-9pm",$AS$31))*ISNUMBER(SEARCH("6pm-9pm",'(B) Register of Participants'!$AB$16)))+(ISNUMBER(SEARCH("6am-9am",$AS$32))*ISNUMBER(SEARCH("6am-9am",'(B) Register of Participants'!$AC$16)))+(ISNUMBER(SEARCH("9am-12pm",$AS$32))*ISNUMBER(SEARCH("9am-12pm",'(B) Register of Participants'!$AC$16)))+(ISNUMBER(SEARCH("12pm-3pm",$AS$32))*ISNUMBER(SEARCH("12pm-3pm",'(B) Register of Participants'!$AC$16)))+(ISNUMBER(SEARCH("3pm-6pm",$AS$32))*ISNUMBER(SEARCH("3pm-6pm",'(B) Register of Participants'!$AC$16)))+(ISNUMBER(SEARCH("6pm-9pm",$AS$32))*ISNUMBER(SEARCH("6pm-9pm",'(B) Register of Participants'!$AC$16)))+(ISNUMBER(SEARCH("6am-9am",$AS$33))*ISNUMBER(SEARCH("6am-9am",'(B) Register of Participants'!$AD$16)))+(ISNUMBER(SEARCH("9am-12pm",$AS$33))*ISNUMBER(SEARCH("9am-12pm",'(B) Register of Participants'!$AD$16)))+(ISNUMBER(SEARCH("12pm-3pm",$AS$33))*ISNUMBER(SEARCH("12pm-3pm",'(B) Register of Participants'!$AD$16)))+(ISNUMBER(SEARCH("3pm-6pm",$AS$33))*ISNUMBER(SEARCH("3pm-6pm",'(B) Register of Participants'!$AD$16)))+(ISNUMBER(SEARCH("6pm-9pm",$AS$33))*ISNUMBER(SEARCH("6pm-9pm",'(B) Register of Participants'!$AD$16)))</f>
        <v/>
      </c>
      <c r="Q38" s="20">
        <f>IF(OR(AND($AS$17&lt;&gt;"",$AS$17&lt;&gt;"English",IF($AS$17="Persian",OR(ISNUMBER(SEARCH("Dari",'(B) Register of Participants'!$AR$16)),ISNUMBER(SEARCH("Farsi",'(B) Register of Participants'!$AR$16)),ISNUMBER(SEARCH("Persian",'(B) Register of Participants'!$AR$16)),ISNUMBER(SEARCH("Hazaragi",'(B) Register of Participants'!$AR$16))),ISNUMBER(SEARCH($AS$17,'(B) Register of Participants'!$AR$16)))),AND($AS$20&lt;&gt;"",$AS$20&lt;&gt;"English",IF($AS$20="Persian",OR(ISNUMBER(SEARCH("Dari",'(B) Register of Participants'!$AR$16)),ISNUMBER(SEARCH("Farsi",'(B) Register of Participants'!$AR$16)),ISNUMBER(SEARCH("Persian",'(B) Register of Participants'!$AR$16)),ISNUMBER(SEARCH("Hazaragi",'(B) Register of Participants'!$AR$16))),ISNUMBER(SEARCH($AS$20,'(B) Register of Participants'!$AR$16))))),1,0)</f>
        <v/>
      </c>
      <c r="R38" s="20">
        <f>IF(AND(AH38,AI38,NOT(AJ38),NOT($AS$25),AK38,$AS$26,AM38,AN38,NOT(AL38)),"Yes","No")</f>
        <v/>
      </c>
      <c r="S38" s="20">
        <f>IF(OR(COUNTIF('Engine Lists'!$A:$A,$AS$14&amp;"|"&amp;AO38)&gt;0,COUNTIF('Engine Lists'!$A:$A,$AS$14&amp;"|"&amp;AP38)&gt;0,COUNTIF('Engine Lists'!$A:$A,$AS$15&amp;"|"&amp;AO38)&gt;0,COUNTIF('Engine Lists'!$A:$A,$AS$15&amp;"|"&amp;AP38)&gt;0,COUNTIF('Engine Lists'!$A:$A,$AS$21&amp;"|"&amp;I38)&gt;0),-8,0)</f>
        <v/>
      </c>
      <c r="T38" s="20">
        <f>IF(Q38=1,IF(OR($AS$8="A2",$AS$8="B1"),7,IF(OR($AS$8="B2",$AS$8="C1",$AS$8="C2"),-5,0)),0)</f>
        <v/>
      </c>
      <c r="U38" s="20">
        <f>IF(AND($AS$6=G38,OR($AS$6="Male",$AS$6="Female")),5,0)</f>
        <v/>
      </c>
      <c r="V38" s="20">
        <f>IF(AND($AS$24,$AS$11&lt;&gt;"In-Person",K38&lt;&gt;"In-Person"),-5,0)</f>
        <v/>
      </c>
      <c r="W38" s="20">
        <f>IF(OR($AS$11=K38,$AS$11="Either",K38="Either"),3,0)</f>
        <v/>
      </c>
      <c r="X38" s="20">
        <f>IF(AND($AS$11&lt;&gt;"Online",K38&lt;&gt;"Online",ISNUMBER($AS$22),ISNUMBER(IFERROR(VALUE(M38),"x"))),IF(ABS($AS$22-VALUE(M38))&lt;=50,3,0),0)</f>
        <v/>
      </c>
      <c r="Y38" s="20">
        <f>IF(AND($AS$10&lt;&gt;"",$AS$10=J38),3,0)</f>
        <v/>
      </c>
      <c r="Z38" s="20">
        <f>IF(OR(N($AS$13)&gt;=150,N(O38)&gt;=150),3,0)</f>
        <v/>
      </c>
      <c r="AA38" s="20">
        <f>IF(AND($AS$21&lt;&gt;"",$AS$21&lt;&gt;"NA",$AS$21=I38),2,0)</f>
        <v/>
      </c>
      <c r="AB38" s="20">
        <f>IF(OR(AND($AS$14&lt;&gt;"",$AS$14&lt;&gt;"NA",OR($AS$14=AO38,$AS$14=AP38)),AND($AS$15&lt;&gt;"",OR($AS$15=AO38,$AS$15=AP38))),2,0)</f>
        <v/>
      </c>
      <c r="AC38" s="20">
        <f>IF(AND(ISNUMBER($AS$12),ISNUMBER(N38),ABS($AS$12-N38)&lt;=10),2,0)</f>
        <v/>
      </c>
      <c r="AD38" s="20">
        <f>IF(R38="Yes",SUM(S38:AC38),"")</f>
        <v/>
      </c>
      <c r="AE38" s="20">
        <f>IF(R38="Yes","Score "&amp;AD38&amp;": "&amp;TRIM(IF(S38&lt;&gt;0,"−8 acrimonious; ","")&amp;IF(T38=7,"+7 shared language; ","")&amp;IF(T38=-5,"−5 shared lang(adv); ","")&amp;IF(U38=5,"+5 same-sex; ","")&amp;IF(V38=-5,"−5 online no device; ","")&amp;IF(W38=3,"+3 mode; ","")&amp;IF(X38=3,"+3 proximity; ","")&amp;IF(Y38=3,"+3 category; ","")&amp;IF(Z38=3,"+3 long wait; ","")&amp;IF(AA38=2,"+2 religion; ","")&amp;IF(AB38=2,"+2 nationality; ","")&amp;IF(AC38=2,"+2 age; ","")),"Not eligible: "&amp;IF(NOT(AH38),"tutor not pending/with-capacity",IF(NOT(AI38),"no spare capacity",IF(AJ38,"tutor blacklisted",IF($AS$25,"student blacklisted",IF(NOT(AK38),"tutor vetting incomplete",IF(NOT($AS$26),"student vetting incomplete",IF(NOT(AM38),"no overlapping 3h AEST block",IF(NOT(AN38),"A1 student needs a shared language",IF(AL38,"'do not pair' note present",""))))))))))</f>
        <v/>
      </c>
      <c r="AF38">
        <f>TRIM(IFERROR(LEFT('(B) Register of Participants'!$AR$16,FIND(" (",'(B) Register of Participants'!$AR$16)-1),'(B) Register of Participants'!$AR$16))</f>
        <v/>
      </c>
      <c r="AG38">
        <f>IF(ISNUMBER(SEARCH("Mandarin",'(B) Register of Participants'!$AR$16)),"Mandarin",IF(ISNUMBER(SEARCH("Cantonese",'(B) Register of Participants'!$AR$16)),"Cantonese",IF(OR(AF38="Dari",AF38="Farsi",AF38="Persian",AF38="Hazaragi"),"Persian",AF38)))</f>
        <v/>
      </c>
      <c r="AH38">
        <f>OR(E38="ADM-ACT-UNMAT",E38="ADM-ACT-MAT-CNE")</f>
        <v/>
      </c>
      <c r="AI38">
        <f>F38&gt;0</f>
        <v/>
      </c>
      <c r="AJ38">
        <f>LEFT('(B) Register of Participants'!$L$16,3)="Yes"</f>
        <v/>
      </c>
      <c r="AK38">
        <f>AND(OR(LEFT('(B) Register of Participants'!$AY$16,3)="Yes",LEFT('(B) Register of Participants'!$AY$16,2)="NA"),OR(LEFT('(B) Register of Participants'!$AZ$16,3)="Yes",LEFT('(B) Register of Participants'!$AZ$16,2)="NA"))</f>
        <v/>
      </c>
      <c r="AL38">
        <f>OR(ISNUMBER(SEARCH("do not pair",'(B) Register of Participants'!$BL$16)),ISNUMBER(SEARCH("do not pair",'(B) Register of Participants'!$BM$16)))</f>
        <v/>
      </c>
      <c r="AM38">
        <f>P38&gt;0</f>
        <v/>
      </c>
      <c r="AN38">
        <f>IF($AS$8="A1",Q38=1,TRUE)</f>
        <v/>
      </c>
      <c r="AO38">
        <f>TRIM(IFERROR(LEFT('(B) Register of Participants'!$AP$16,FIND(";",'(B) Register of Participants'!$AP$16)-1),'(B) Register of Participants'!$AP$16))</f>
        <v/>
      </c>
      <c r="AP38">
        <f>IF(ISNUMBER(FIND(";",'(B) Register of Participants'!$AP$16)),TRIM(MID('(B) Register of Participants'!$AP$16,FIND(";",'(B) Register of Participants'!$AP$16)+1,80)),"")</f>
        <v/>
      </c>
    </row>
    <row r="39">
      <c r="B39" s="20">
        <f>IF(R39="Yes",RANK(AD39,$AD$25:$AD$124),"")</f>
        <v/>
      </c>
      <c r="C39" s="20">
        <f>'(B) Register of Participants'!$A$17</f>
        <v/>
      </c>
      <c r="D39" s="20">
        <f>'(B) Register of Participants'!$B$17</f>
        <v/>
      </c>
      <c r="E39" s="20">
        <f>'(B) Register of Participants'!$J$17</f>
        <v/>
      </c>
      <c r="F39" s="20">
        <f>IFERROR('(B) Register of Participants'!$O$17-'(B) Register of Participants'!$P$17,0)</f>
        <v/>
      </c>
      <c r="G39" s="20">
        <f>'(B) Register of Participants'!$AL$17</f>
        <v/>
      </c>
      <c r="H39" s="20">
        <f>'(B) Register of Participants'!$AP$17</f>
        <v/>
      </c>
      <c r="I39" s="20">
        <f>TRIM(IFERROR(LEFT('(B) Register of Participants'!$AS$17,FIND(" (",'(B) Register of Participants'!$AS$17)-1),'(B) Register of Participants'!$AS$17))</f>
        <v/>
      </c>
      <c r="J39" s="20">
        <f>'(B) Register of Participants'!$AT$17</f>
        <v/>
      </c>
      <c r="K39" s="20">
        <f>'(B) Register of Participants'!$AE$17</f>
        <v/>
      </c>
      <c r="L39" s="20">
        <f>'(B) Register of Participants'!$AF$17</f>
        <v/>
      </c>
      <c r="M39" s="20">
        <f>'(B) Register of Participants'!$AJ$17</f>
        <v/>
      </c>
      <c r="N39" s="20">
        <f>'(B) Register of Participants'!$CY$17</f>
        <v/>
      </c>
      <c r="O39" s="20">
        <f>'(B) Register of Participants'!$CW$17</f>
        <v/>
      </c>
      <c r="P39" s="20">
        <f>(ISNUMBER(SEARCH("6am-9am",$AS$27))*ISNUMBER(SEARCH("6am-9am",'(B) Register of Participants'!$X$17)))+(ISNUMBER(SEARCH("9am-12pm",$AS$27))*ISNUMBER(SEARCH("9am-12pm",'(B) Register of Participants'!$X$17)))+(ISNUMBER(SEARCH("12pm-3pm",$AS$27))*ISNUMBER(SEARCH("12pm-3pm",'(B) Register of Participants'!$X$17)))+(ISNUMBER(SEARCH("3pm-6pm",$AS$27))*ISNUMBER(SEARCH("3pm-6pm",'(B) Register of Participants'!$X$17)))+(ISNUMBER(SEARCH("6pm-9pm",$AS$27))*ISNUMBER(SEARCH("6pm-9pm",'(B) Register of Participants'!$X$17)))+(ISNUMBER(SEARCH("6am-9am",$AS$28))*ISNUMBER(SEARCH("6am-9am",'(B) Register of Participants'!$Y$17)))+(ISNUMBER(SEARCH("9am-12pm",$AS$28))*ISNUMBER(SEARCH("9am-12pm",'(B) Register of Participants'!$Y$17)))+(ISNUMBER(SEARCH("12pm-3pm",$AS$28))*ISNUMBER(SEARCH("12pm-3pm",'(B) Register of Participants'!$Y$17)))+(ISNUMBER(SEARCH("3pm-6pm",$AS$28))*ISNUMBER(SEARCH("3pm-6pm",'(B) Register of Participants'!$Y$17)))+(ISNUMBER(SEARCH("6pm-9pm",$AS$28))*ISNUMBER(SEARCH("6pm-9pm",'(B) Register of Participants'!$Y$17)))+(ISNUMBER(SEARCH("6am-9am",$AS$29))*ISNUMBER(SEARCH("6am-9am",'(B) Register of Participants'!$Z$17)))+(ISNUMBER(SEARCH("9am-12pm",$AS$29))*ISNUMBER(SEARCH("9am-12pm",'(B) Register of Participants'!$Z$17)))+(ISNUMBER(SEARCH("12pm-3pm",$AS$29))*ISNUMBER(SEARCH("12pm-3pm",'(B) Register of Participants'!$Z$17)))+(ISNUMBER(SEARCH("3pm-6pm",$AS$29))*ISNUMBER(SEARCH("3pm-6pm",'(B) Register of Participants'!$Z$17)))+(ISNUMBER(SEARCH("6pm-9pm",$AS$29))*ISNUMBER(SEARCH("6pm-9pm",'(B) Register of Participants'!$Z$17)))+(ISNUMBER(SEARCH("6am-9am",$AS$30))*ISNUMBER(SEARCH("6am-9am",'(B) Register of Participants'!$AA$17)))+(ISNUMBER(SEARCH("9am-12pm",$AS$30))*ISNUMBER(SEARCH("9am-12pm",'(B) Register of Participants'!$AA$17)))+(ISNUMBER(SEARCH("12pm-3pm",$AS$30))*ISNUMBER(SEARCH("12pm-3pm",'(B) Register of Participants'!$AA$17)))+(ISNUMBER(SEARCH("3pm-6pm",$AS$30))*ISNUMBER(SEARCH("3pm-6pm",'(B) Register of Participants'!$AA$17)))+(ISNUMBER(SEARCH("6pm-9pm",$AS$30))*ISNUMBER(SEARCH("6pm-9pm",'(B) Register of Participants'!$AA$17)))+(ISNUMBER(SEARCH("6am-9am",$AS$31))*ISNUMBER(SEARCH("6am-9am",'(B) Register of Participants'!$AB$17)))+(ISNUMBER(SEARCH("9am-12pm",$AS$31))*ISNUMBER(SEARCH("9am-12pm",'(B) Register of Participants'!$AB$17)))+(ISNUMBER(SEARCH("12pm-3pm",$AS$31))*ISNUMBER(SEARCH("12pm-3pm",'(B) Register of Participants'!$AB$17)))+(ISNUMBER(SEARCH("3pm-6pm",$AS$31))*ISNUMBER(SEARCH("3pm-6pm",'(B) Register of Participants'!$AB$17)))+(ISNUMBER(SEARCH("6pm-9pm",$AS$31))*ISNUMBER(SEARCH("6pm-9pm",'(B) Register of Participants'!$AB$17)))+(ISNUMBER(SEARCH("6am-9am",$AS$32))*ISNUMBER(SEARCH("6am-9am",'(B) Register of Participants'!$AC$17)))+(ISNUMBER(SEARCH("9am-12pm",$AS$32))*ISNUMBER(SEARCH("9am-12pm",'(B) Register of Participants'!$AC$17)))+(ISNUMBER(SEARCH("12pm-3pm",$AS$32))*ISNUMBER(SEARCH("12pm-3pm",'(B) Register of Participants'!$AC$17)))+(ISNUMBER(SEARCH("3pm-6pm",$AS$32))*ISNUMBER(SEARCH("3pm-6pm",'(B) Register of Participants'!$AC$17)))+(ISNUMBER(SEARCH("6pm-9pm",$AS$32))*ISNUMBER(SEARCH("6pm-9pm",'(B) Register of Participants'!$AC$17)))+(ISNUMBER(SEARCH("6am-9am",$AS$33))*ISNUMBER(SEARCH("6am-9am",'(B) Register of Participants'!$AD$17)))+(ISNUMBER(SEARCH("9am-12pm",$AS$33))*ISNUMBER(SEARCH("9am-12pm",'(B) Register of Participants'!$AD$17)))+(ISNUMBER(SEARCH("12pm-3pm",$AS$33))*ISNUMBER(SEARCH("12pm-3pm",'(B) Register of Participants'!$AD$17)))+(ISNUMBER(SEARCH("3pm-6pm",$AS$33))*ISNUMBER(SEARCH("3pm-6pm",'(B) Register of Participants'!$AD$17)))+(ISNUMBER(SEARCH("6pm-9pm",$AS$33))*ISNUMBER(SEARCH("6pm-9pm",'(B) Register of Participants'!$AD$17)))</f>
        <v/>
      </c>
      <c r="Q39" s="20">
        <f>IF(OR(AND($AS$17&lt;&gt;"",$AS$17&lt;&gt;"English",IF($AS$17="Persian",OR(ISNUMBER(SEARCH("Dari",'(B) Register of Participants'!$AR$17)),ISNUMBER(SEARCH("Farsi",'(B) Register of Participants'!$AR$17)),ISNUMBER(SEARCH("Persian",'(B) Register of Participants'!$AR$17)),ISNUMBER(SEARCH("Hazaragi",'(B) Register of Participants'!$AR$17))),ISNUMBER(SEARCH($AS$17,'(B) Register of Participants'!$AR$17)))),AND($AS$20&lt;&gt;"",$AS$20&lt;&gt;"English",IF($AS$20="Persian",OR(ISNUMBER(SEARCH("Dari",'(B) Register of Participants'!$AR$17)),ISNUMBER(SEARCH("Farsi",'(B) Register of Participants'!$AR$17)),ISNUMBER(SEARCH("Persian",'(B) Register of Participants'!$AR$17)),ISNUMBER(SEARCH("Hazaragi",'(B) Register of Participants'!$AR$17))),ISNUMBER(SEARCH($AS$20,'(B) Register of Participants'!$AR$17))))),1,0)</f>
        <v/>
      </c>
      <c r="R39" s="20">
        <f>IF(AND(AH39,AI39,NOT(AJ39),NOT($AS$25),AK39,$AS$26,AM39,AN39,NOT(AL39)),"Yes","No")</f>
        <v/>
      </c>
      <c r="S39" s="20">
        <f>IF(OR(COUNTIF('Engine Lists'!$A:$A,$AS$14&amp;"|"&amp;AO39)&gt;0,COUNTIF('Engine Lists'!$A:$A,$AS$14&amp;"|"&amp;AP39)&gt;0,COUNTIF('Engine Lists'!$A:$A,$AS$15&amp;"|"&amp;AO39)&gt;0,COUNTIF('Engine Lists'!$A:$A,$AS$15&amp;"|"&amp;AP39)&gt;0,COUNTIF('Engine Lists'!$A:$A,$AS$21&amp;"|"&amp;I39)&gt;0),-8,0)</f>
        <v/>
      </c>
      <c r="T39" s="20">
        <f>IF(Q39=1,IF(OR($AS$8="A2",$AS$8="B1"),7,IF(OR($AS$8="B2",$AS$8="C1",$AS$8="C2"),-5,0)),0)</f>
        <v/>
      </c>
      <c r="U39" s="20">
        <f>IF(AND($AS$6=G39,OR($AS$6="Male",$AS$6="Female")),5,0)</f>
        <v/>
      </c>
      <c r="V39" s="20">
        <f>IF(AND($AS$24,$AS$11&lt;&gt;"In-Person",K39&lt;&gt;"In-Person"),-5,0)</f>
        <v/>
      </c>
      <c r="W39" s="20">
        <f>IF(OR($AS$11=K39,$AS$11="Either",K39="Either"),3,0)</f>
        <v/>
      </c>
      <c r="X39" s="20">
        <f>IF(AND($AS$11&lt;&gt;"Online",K39&lt;&gt;"Online",ISNUMBER($AS$22),ISNUMBER(IFERROR(VALUE(M39),"x"))),IF(ABS($AS$22-VALUE(M39))&lt;=50,3,0),0)</f>
        <v/>
      </c>
      <c r="Y39" s="20">
        <f>IF(AND($AS$10&lt;&gt;"",$AS$10=J39),3,0)</f>
        <v/>
      </c>
      <c r="Z39" s="20">
        <f>IF(OR(N($AS$13)&gt;=150,N(O39)&gt;=150),3,0)</f>
        <v/>
      </c>
      <c r="AA39" s="20">
        <f>IF(AND($AS$21&lt;&gt;"",$AS$21&lt;&gt;"NA",$AS$21=I39),2,0)</f>
        <v/>
      </c>
      <c r="AB39" s="20">
        <f>IF(OR(AND($AS$14&lt;&gt;"",$AS$14&lt;&gt;"NA",OR($AS$14=AO39,$AS$14=AP39)),AND($AS$15&lt;&gt;"",OR($AS$15=AO39,$AS$15=AP39))),2,0)</f>
        <v/>
      </c>
      <c r="AC39" s="20">
        <f>IF(AND(ISNUMBER($AS$12),ISNUMBER(N39),ABS($AS$12-N39)&lt;=10),2,0)</f>
        <v/>
      </c>
      <c r="AD39" s="20">
        <f>IF(R39="Yes",SUM(S39:AC39),"")</f>
        <v/>
      </c>
      <c r="AE39" s="20">
        <f>IF(R39="Yes","Score "&amp;AD39&amp;": "&amp;TRIM(IF(S39&lt;&gt;0,"−8 acrimonious; ","")&amp;IF(T39=7,"+7 shared language; ","")&amp;IF(T39=-5,"−5 shared lang(adv); ","")&amp;IF(U39=5,"+5 same-sex; ","")&amp;IF(V39=-5,"−5 online no device; ","")&amp;IF(W39=3,"+3 mode; ","")&amp;IF(X39=3,"+3 proximity; ","")&amp;IF(Y39=3,"+3 category; ","")&amp;IF(Z39=3,"+3 long wait; ","")&amp;IF(AA39=2,"+2 religion; ","")&amp;IF(AB39=2,"+2 nationality; ","")&amp;IF(AC39=2,"+2 age; ","")),"Not eligible: "&amp;IF(NOT(AH39),"tutor not pending/with-capacity",IF(NOT(AI39),"no spare capacity",IF(AJ39,"tutor blacklisted",IF($AS$25,"student blacklisted",IF(NOT(AK39),"tutor vetting incomplete",IF(NOT($AS$26),"student vetting incomplete",IF(NOT(AM39),"no overlapping 3h AEST block",IF(NOT(AN39),"A1 student needs a shared language",IF(AL39,"'do not pair' note present",""))))))))))</f>
        <v/>
      </c>
      <c r="AF39">
        <f>TRIM(IFERROR(LEFT('(B) Register of Participants'!$AR$17,FIND(" (",'(B) Register of Participants'!$AR$17)-1),'(B) Register of Participants'!$AR$17))</f>
        <v/>
      </c>
      <c r="AG39">
        <f>IF(ISNUMBER(SEARCH("Mandarin",'(B) Register of Participants'!$AR$17)),"Mandarin",IF(ISNUMBER(SEARCH("Cantonese",'(B) Register of Participants'!$AR$17)),"Cantonese",IF(OR(AF39="Dari",AF39="Farsi",AF39="Persian",AF39="Hazaragi"),"Persian",AF39)))</f>
        <v/>
      </c>
      <c r="AH39">
        <f>OR(E39="ADM-ACT-UNMAT",E39="ADM-ACT-MAT-CNE")</f>
        <v/>
      </c>
      <c r="AI39">
        <f>F39&gt;0</f>
        <v/>
      </c>
      <c r="AJ39">
        <f>LEFT('(B) Register of Participants'!$L$17,3)="Yes"</f>
        <v/>
      </c>
      <c r="AK39">
        <f>AND(OR(LEFT('(B) Register of Participants'!$AY$17,3)="Yes",LEFT('(B) Register of Participants'!$AY$17,2)="NA"),OR(LEFT('(B) Register of Participants'!$AZ$17,3)="Yes",LEFT('(B) Register of Participants'!$AZ$17,2)="NA"))</f>
        <v/>
      </c>
      <c r="AL39">
        <f>OR(ISNUMBER(SEARCH("do not pair",'(B) Register of Participants'!$BL$17)),ISNUMBER(SEARCH("do not pair",'(B) Register of Participants'!$BM$17)))</f>
        <v/>
      </c>
      <c r="AM39">
        <f>P39&gt;0</f>
        <v/>
      </c>
      <c r="AN39">
        <f>IF($AS$8="A1",Q39=1,TRUE)</f>
        <v/>
      </c>
      <c r="AO39">
        <f>TRIM(IFERROR(LEFT('(B) Register of Participants'!$AP$17,FIND(";",'(B) Register of Participants'!$AP$17)-1),'(B) Register of Participants'!$AP$17))</f>
        <v/>
      </c>
      <c r="AP39">
        <f>IF(ISNUMBER(FIND(";",'(B) Register of Participants'!$AP$17)),TRIM(MID('(B) Register of Participants'!$AP$17,FIND(";",'(B) Register of Participants'!$AP$17)+1,80)),"")</f>
        <v/>
      </c>
    </row>
    <row r="40">
      <c r="B40" s="20">
        <f>IF(R40="Yes",RANK(AD40,$AD$25:$AD$124),"")</f>
        <v/>
      </c>
      <c r="C40" s="20">
        <f>'(B) Register of Participants'!$A$18</f>
        <v/>
      </c>
      <c r="D40" s="20">
        <f>'(B) Register of Participants'!$B$18</f>
        <v/>
      </c>
      <c r="E40" s="20">
        <f>'(B) Register of Participants'!$J$18</f>
        <v/>
      </c>
      <c r="F40" s="20">
        <f>IFERROR('(B) Register of Participants'!$O$18-'(B) Register of Participants'!$P$18,0)</f>
        <v/>
      </c>
      <c r="G40" s="20">
        <f>'(B) Register of Participants'!$AL$18</f>
        <v/>
      </c>
      <c r="H40" s="20">
        <f>'(B) Register of Participants'!$AP$18</f>
        <v/>
      </c>
      <c r="I40" s="20">
        <f>TRIM(IFERROR(LEFT('(B) Register of Participants'!$AS$18,FIND(" (",'(B) Register of Participants'!$AS$18)-1),'(B) Register of Participants'!$AS$18))</f>
        <v/>
      </c>
      <c r="J40" s="20">
        <f>'(B) Register of Participants'!$AT$18</f>
        <v/>
      </c>
      <c r="K40" s="20">
        <f>'(B) Register of Participants'!$AE$18</f>
        <v/>
      </c>
      <c r="L40" s="20">
        <f>'(B) Register of Participants'!$AF$18</f>
        <v/>
      </c>
      <c r="M40" s="20">
        <f>'(B) Register of Participants'!$AJ$18</f>
        <v/>
      </c>
      <c r="N40" s="20">
        <f>'(B) Register of Participants'!$CY$18</f>
        <v/>
      </c>
      <c r="O40" s="20">
        <f>'(B) Register of Participants'!$CW$18</f>
        <v/>
      </c>
      <c r="P40" s="20">
        <f>(ISNUMBER(SEARCH("6am-9am",$AS$27))*ISNUMBER(SEARCH("6am-9am",'(B) Register of Participants'!$X$18)))+(ISNUMBER(SEARCH("9am-12pm",$AS$27))*ISNUMBER(SEARCH("9am-12pm",'(B) Register of Participants'!$X$18)))+(ISNUMBER(SEARCH("12pm-3pm",$AS$27))*ISNUMBER(SEARCH("12pm-3pm",'(B) Register of Participants'!$X$18)))+(ISNUMBER(SEARCH("3pm-6pm",$AS$27))*ISNUMBER(SEARCH("3pm-6pm",'(B) Register of Participants'!$X$18)))+(ISNUMBER(SEARCH("6pm-9pm",$AS$27))*ISNUMBER(SEARCH("6pm-9pm",'(B) Register of Participants'!$X$18)))+(ISNUMBER(SEARCH("6am-9am",$AS$28))*ISNUMBER(SEARCH("6am-9am",'(B) Register of Participants'!$Y$18)))+(ISNUMBER(SEARCH("9am-12pm",$AS$28))*ISNUMBER(SEARCH("9am-12pm",'(B) Register of Participants'!$Y$18)))+(ISNUMBER(SEARCH("12pm-3pm",$AS$28))*ISNUMBER(SEARCH("12pm-3pm",'(B) Register of Participants'!$Y$18)))+(ISNUMBER(SEARCH("3pm-6pm",$AS$28))*ISNUMBER(SEARCH("3pm-6pm",'(B) Register of Participants'!$Y$18)))+(ISNUMBER(SEARCH("6pm-9pm",$AS$28))*ISNUMBER(SEARCH("6pm-9pm",'(B) Register of Participants'!$Y$18)))+(ISNUMBER(SEARCH("6am-9am",$AS$29))*ISNUMBER(SEARCH("6am-9am",'(B) Register of Participants'!$Z$18)))+(ISNUMBER(SEARCH("9am-12pm",$AS$29))*ISNUMBER(SEARCH("9am-12pm",'(B) Register of Participants'!$Z$18)))+(ISNUMBER(SEARCH("12pm-3pm",$AS$29))*ISNUMBER(SEARCH("12pm-3pm",'(B) Register of Participants'!$Z$18)))+(ISNUMBER(SEARCH("3pm-6pm",$AS$29))*ISNUMBER(SEARCH("3pm-6pm",'(B) Register of Participants'!$Z$18)))+(ISNUMBER(SEARCH("6pm-9pm",$AS$29))*ISNUMBER(SEARCH("6pm-9pm",'(B) Register of Participants'!$Z$18)))+(ISNUMBER(SEARCH("6am-9am",$AS$30))*ISNUMBER(SEARCH("6am-9am",'(B) Register of Participants'!$AA$18)))+(ISNUMBER(SEARCH("9am-12pm",$AS$30))*ISNUMBER(SEARCH("9am-12pm",'(B) Register of Participants'!$AA$18)))+(ISNUMBER(SEARCH("12pm-3pm",$AS$30))*ISNUMBER(SEARCH("12pm-3pm",'(B) Register of Participants'!$AA$18)))+(ISNUMBER(SEARCH("3pm-6pm",$AS$30))*ISNUMBER(SEARCH("3pm-6pm",'(B) Register of Participants'!$AA$18)))+(ISNUMBER(SEARCH("6pm-9pm",$AS$30))*ISNUMBER(SEARCH("6pm-9pm",'(B) Register of Participants'!$AA$18)))+(ISNUMBER(SEARCH("6am-9am",$AS$31))*ISNUMBER(SEARCH("6am-9am",'(B) Register of Participants'!$AB$18)))+(ISNUMBER(SEARCH("9am-12pm",$AS$31))*ISNUMBER(SEARCH("9am-12pm",'(B) Register of Participants'!$AB$18)))+(ISNUMBER(SEARCH("12pm-3pm",$AS$31))*ISNUMBER(SEARCH("12pm-3pm",'(B) Register of Participants'!$AB$18)))+(ISNUMBER(SEARCH("3pm-6pm",$AS$31))*ISNUMBER(SEARCH("3pm-6pm",'(B) Register of Participants'!$AB$18)))+(ISNUMBER(SEARCH("6pm-9pm",$AS$31))*ISNUMBER(SEARCH("6pm-9pm",'(B) Register of Participants'!$AB$18)))+(ISNUMBER(SEARCH("6am-9am",$AS$32))*ISNUMBER(SEARCH("6am-9am",'(B) Register of Participants'!$AC$18)))+(ISNUMBER(SEARCH("9am-12pm",$AS$32))*ISNUMBER(SEARCH("9am-12pm",'(B) Register of Participants'!$AC$18)))+(ISNUMBER(SEARCH("12pm-3pm",$AS$32))*ISNUMBER(SEARCH("12pm-3pm",'(B) Register of Participants'!$AC$18)))+(ISNUMBER(SEARCH("3pm-6pm",$AS$32))*ISNUMBER(SEARCH("3pm-6pm",'(B) Register of Participants'!$AC$18)))+(ISNUMBER(SEARCH("6pm-9pm",$AS$32))*ISNUMBER(SEARCH("6pm-9pm",'(B) Register of Participants'!$AC$18)))+(ISNUMBER(SEARCH("6am-9am",$AS$33))*ISNUMBER(SEARCH("6am-9am",'(B) Register of Participants'!$AD$18)))+(ISNUMBER(SEARCH("9am-12pm",$AS$33))*ISNUMBER(SEARCH("9am-12pm",'(B) Register of Participants'!$AD$18)))+(ISNUMBER(SEARCH("12pm-3pm",$AS$33))*ISNUMBER(SEARCH("12pm-3pm",'(B) Register of Participants'!$AD$18)))+(ISNUMBER(SEARCH("3pm-6pm",$AS$33))*ISNUMBER(SEARCH("3pm-6pm",'(B) Register of Participants'!$AD$18)))+(ISNUMBER(SEARCH("6pm-9pm",$AS$33))*ISNUMBER(SEARCH("6pm-9pm",'(B) Register of Participants'!$AD$18)))</f>
        <v/>
      </c>
      <c r="Q40" s="20">
        <f>IF(OR(AND($AS$17&lt;&gt;"",$AS$17&lt;&gt;"English",IF($AS$17="Persian",OR(ISNUMBER(SEARCH("Dari",'(B) Register of Participants'!$AR$18)),ISNUMBER(SEARCH("Farsi",'(B) Register of Participants'!$AR$18)),ISNUMBER(SEARCH("Persian",'(B) Register of Participants'!$AR$18)),ISNUMBER(SEARCH("Hazaragi",'(B) Register of Participants'!$AR$18))),ISNUMBER(SEARCH($AS$17,'(B) Register of Participants'!$AR$18)))),AND($AS$20&lt;&gt;"",$AS$20&lt;&gt;"English",IF($AS$20="Persian",OR(ISNUMBER(SEARCH("Dari",'(B) Register of Participants'!$AR$18)),ISNUMBER(SEARCH("Farsi",'(B) Register of Participants'!$AR$18)),ISNUMBER(SEARCH("Persian",'(B) Register of Participants'!$AR$18)),ISNUMBER(SEARCH("Hazaragi",'(B) Register of Participants'!$AR$18))),ISNUMBER(SEARCH($AS$20,'(B) Register of Participants'!$AR$18))))),1,0)</f>
        <v/>
      </c>
      <c r="R40" s="20">
        <f>IF(AND(AH40,AI40,NOT(AJ40),NOT($AS$25),AK40,$AS$26,AM40,AN40,NOT(AL40)),"Yes","No")</f>
        <v/>
      </c>
      <c r="S40" s="20">
        <f>IF(OR(COUNTIF('Engine Lists'!$A:$A,$AS$14&amp;"|"&amp;AO40)&gt;0,COUNTIF('Engine Lists'!$A:$A,$AS$14&amp;"|"&amp;AP40)&gt;0,COUNTIF('Engine Lists'!$A:$A,$AS$15&amp;"|"&amp;AO40)&gt;0,COUNTIF('Engine Lists'!$A:$A,$AS$15&amp;"|"&amp;AP40)&gt;0,COUNTIF('Engine Lists'!$A:$A,$AS$21&amp;"|"&amp;I40)&gt;0),-8,0)</f>
        <v/>
      </c>
      <c r="T40" s="20">
        <f>IF(Q40=1,IF(OR($AS$8="A2",$AS$8="B1"),7,IF(OR($AS$8="B2",$AS$8="C1",$AS$8="C2"),-5,0)),0)</f>
        <v/>
      </c>
      <c r="U40" s="20">
        <f>IF(AND($AS$6=G40,OR($AS$6="Male",$AS$6="Female")),5,0)</f>
        <v/>
      </c>
      <c r="V40" s="20">
        <f>IF(AND($AS$24,$AS$11&lt;&gt;"In-Person",K40&lt;&gt;"In-Person"),-5,0)</f>
        <v/>
      </c>
      <c r="W40" s="20">
        <f>IF(OR($AS$11=K40,$AS$11="Either",K40="Either"),3,0)</f>
        <v/>
      </c>
      <c r="X40" s="20">
        <f>IF(AND($AS$11&lt;&gt;"Online",K40&lt;&gt;"Online",ISNUMBER($AS$22),ISNUMBER(IFERROR(VALUE(M40),"x"))),IF(ABS($AS$22-VALUE(M40))&lt;=50,3,0),0)</f>
        <v/>
      </c>
      <c r="Y40" s="20">
        <f>IF(AND($AS$10&lt;&gt;"",$AS$10=J40),3,0)</f>
        <v/>
      </c>
      <c r="Z40" s="20">
        <f>IF(OR(N($AS$13)&gt;=150,N(O40)&gt;=150),3,0)</f>
        <v/>
      </c>
      <c r="AA40" s="20">
        <f>IF(AND($AS$21&lt;&gt;"",$AS$21&lt;&gt;"NA",$AS$21=I40),2,0)</f>
        <v/>
      </c>
      <c r="AB40" s="20">
        <f>IF(OR(AND($AS$14&lt;&gt;"",$AS$14&lt;&gt;"NA",OR($AS$14=AO40,$AS$14=AP40)),AND($AS$15&lt;&gt;"",OR($AS$15=AO40,$AS$15=AP40))),2,0)</f>
        <v/>
      </c>
      <c r="AC40" s="20">
        <f>IF(AND(ISNUMBER($AS$12),ISNUMBER(N40),ABS($AS$12-N40)&lt;=10),2,0)</f>
        <v/>
      </c>
      <c r="AD40" s="20">
        <f>IF(R40="Yes",SUM(S40:AC40),"")</f>
        <v/>
      </c>
      <c r="AE40" s="20">
        <f>IF(R40="Yes","Score "&amp;AD40&amp;": "&amp;TRIM(IF(S40&lt;&gt;0,"−8 acrimonious; ","")&amp;IF(T40=7,"+7 shared language; ","")&amp;IF(T40=-5,"−5 shared lang(adv); ","")&amp;IF(U40=5,"+5 same-sex; ","")&amp;IF(V40=-5,"−5 online no device; ","")&amp;IF(W40=3,"+3 mode; ","")&amp;IF(X40=3,"+3 proximity; ","")&amp;IF(Y40=3,"+3 category; ","")&amp;IF(Z40=3,"+3 long wait; ","")&amp;IF(AA40=2,"+2 religion; ","")&amp;IF(AB40=2,"+2 nationality; ","")&amp;IF(AC40=2,"+2 age; ","")),"Not eligible: "&amp;IF(NOT(AH40),"tutor not pending/with-capacity",IF(NOT(AI40),"no spare capacity",IF(AJ40,"tutor blacklisted",IF($AS$25,"student blacklisted",IF(NOT(AK40),"tutor vetting incomplete",IF(NOT($AS$26),"student vetting incomplete",IF(NOT(AM40),"no overlapping 3h AEST block",IF(NOT(AN40),"A1 student needs a shared language",IF(AL40,"'do not pair' note present",""))))))))))</f>
        <v/>
      </c>
      <c r="AF40">
        <f>TRIM(IFERROR(LEFT('(B) Register of Participants'!$AR$18,FIND(" (",'(B) Register of Participants'!$AR$18)-1),'(B) Register of Participants'!$AR$18))</f>
        <v/>
      </c>
      <c r="AG40">
        <f>IF(ISNUMBER(SEARCH("Mandarin",'(B) Register of Participants'!$AR$18)),"Mandarin",IF(ISNUMBER(SEARCH("Cantonese",'(B) Register of Participants'!$AR$18)),"Cantonese",IF(OR(AF40="Dari",AF40="Farsi",AF40="Persian",AF40="Hazaragi"),"Persian",AF40)))</f>
        <v/>
      </c>
      <c r="AH40">
        <f>OR(E40="ADM-ACT-UNMAT",E40="ADM-ACT-MAT-CNE")</f>
        <v/>
      </c>
      <c r="AI40">
        <f>F40&gt;0</f>
        <v/>
      </c>
      <c r="AJ40">
        <f>LEFT('(B) Register of Participants'!$L$18,3)="Yes"</f>
        <v/>
      </c>
      <c r="AK40">
        <f>AND(OR(LEFT('(B) Register of Participants'!$AY$18,3)="Yes",LEFT('(B) Register of Participants'!$AY$18,2)="NA"),OR(LEFT('(B) Register of Participants'!$AZ$18,3)="Yes",LEFT('(B) Register of Participants'!$AZ$18,2)="NA"))</f>
        <v/>
      </c>
      <c r="AL40">
        <f>OR(ISNUMBER(SEARCH("do not pair",'(B) Register of Participants'!$BL$18)),ISNUMBER(SEARCH("do not pair",'(B) Register of Participants'!$BM$18)))</f>
        <v/>
      </c>
      <c r="AM40">
        <f>P40&gt;0</f>
        <v/>
      </c>
      <c r="AN40">
        <f>IF($AS$8="A1",Q40=1,TRUE)</f>
        <v/>
      </c>
      <c r="AO40">
        <f>TRIM(IFERROR(LEFT('(B) Register of Participants'!$AP$18,FIND(";",'(B) Register of Participants'!$AP$18)-1),'(B) Register of Participants'!$AP$18))</f>
        <v/>
      </c>
      <c r="AP40">
        <f>IF(ISNUMBER(FIND(";",'(B) Register of Participants'!$AP$18)),TRIM(MID('(B) Register of Participants'!$AP$18,FIND(";",'(B) Register of Participants'!$AP$18)+1,80)),"")</f>
        <v/>
      </c>
    </row>
    <row r="41">
      <c r="B41" s="20">
        <f>IF(R41="Yes",RANK(AD41,$AD$25:$AD$124),"")</f>
        <v/>
      </c>
      <c r="C41" s="20">
        <f>'(B) Register of Participants'!$A$19</f>
        <v/>
      </c>
      <c r="D41" s="20">
        <f>'(B) Register of Participants'!$B$19</f>
        <v/>
      </c>
      <c r="E41" s="20">
        <f>'(B) Register of Participants'!$J$19</f>
        <v/>
      </c>
      <c r="F41" s="20">
        <f>IFERROR('(B) Register of Participants'!$O$19-'(B) Register of Participants'!$P$19,0)</f>
        <v/>
      </c>
      <c r="G41" s="20">
        <f>'(B) Register of Participants'!$AL$19</f>
        <v/>
      </c>
      <c r="H41" s="20">
        <f>'(B) Register of Participants'!$AP$19</f>
        <v/>
      </c>
      <c r="I41" s="20">
        <f>TRIM(IFERROR(LEFT('(B) Register of Participants'!$AS$19,FIND(" (",'(B) Register of Participants'!$AS$19)-1),'(B) Register of Participants'!$AS$19))</f>
        <v/>
      </c>
      <c r="J41" s="20">
        <f>'(B) Register of Participants'!$AT$19</f>
        <v/>
      </c>
      <c r="K41" s="20">
        <f>'(B) Register of Participants'!$AE$19</f>
        <v/>
      </c>
      <c r="L41" s="20">
        <f>'(B) Register of Participants'!$AF$19</f>
        <v/>
      </c>
      <c r="M41" s="20">
        <f>'(B) Register of Participants'!$AJ$19</f>
        <v/>
      </c>
      <c r="N41" s="20">
        <f>'(B) Register of Participants'!$CY$19</f>
        <v/>
      </c>
      <c r="O41" s="20">
        <f>'(B) Register of Participants'!$CW$19</f>
        <v/>
      </c>
      <c r="P41" s="20">
        <f>(ISNUMBER(SEARCH("6am-9am",$AS$27))*ISNUMBER(SEARCH("6am-9am",'(B) Register of Participants'!$X$19)))+(ISNUMBER(SEARCH("9am-12pm",$AS$27))*ISNUMBER(SEARCH("9am-12pm",'(B) Register of Participants'!$X$19)))+(ISNUMBER(SEARCH("12pm-3pm",$AS$27))*ISNUMBER(SEARCH("12pm-3pm",'(B) Register of Participants'!$X$19)))+(ISNUMBER(SEARCH("3pm-6pm",$AS$27))*ISNUMBER(SEARCH("3pm-6pm",'(B) Register of Participants'!$X$19)))+(ISNUMBER(SEARCH("6pm-9pm",$AS$27))*ISNUMBER(SEARCH("6pm-9pm",'(B) Register of Participants'!$X$19)))+(ISNUMBER(SEARCH("6am-9am",$AS$28))*ISNUMBER(SEARCH("6am-9am",'(B) Register of Participants'!$Y$19)))+(ISNUMBER(SEARCH("9am-12pm",$AS$28))*ISNUMBER(SEARCH("9am-12pm",'(B) Register of Participants'!$Y$19)))+(ISNUMBER(SEARCH("12pm-3pm",$AS$28))*ISNUMBER(SEARCH("12pm-3pm",'(B) Register of Participants'!$Y$19)))+(ISNUMBER(SEARCH("3pm-6pm",$AS$28))*ISNUMBER(SEARCH("3pm-6pm",'(B) Register of Participants'!$Y$19)))+(ISNUMBER(SEARCH("6pm-9pm",$AS$28))*ISNUMBER(SEARCH("6pm-9pm",'(B) Register of Participants'!$Y$19)))+(ISNUMBER(SEARCH("6am-9am",$AS$29))*ISNUMBER(SEARCH("6am-9am",'(B) Register of Participants'!$Z$19)))+(ISNUMBER(SEARCH("9am-12pm",$AS$29))*ISNUMBER(SEARCH("9am-12pm",'(B) Register of Participants'!$Z$19)))+(ISNUMBER(SEARCH("12pm-3pm",$AS$29))*ISNUMBER(SEARCH("12pm-3pm",'(B) Register of Participants'!$Z$19)))+(ISNUMBER(SEARCH("3pm-6pm",$AS$29))*ISNUMBER(SEARCH("3pm-6pm",'(B) Register of Participants'!$Z$19)))+(ISNUMBER(SEARCH("6pm-9pm",$AS$29))*ISNUMBER(SEARCH("6pm-9pm",'(B) Register of Participants'!$Z$19)))+(ISNUMBER(SEARCH("6am-9am",$AS$30))*ISNUMBER(SEARCH("6am-9am",'(B) Register of Participants'!$AA$19)))+(ISNUMBER(SEARCH("9am-12pm",$AS$30))*ISNUMBER(SEARCH("9am-12pm",'(B) Register of Participants'!$AA$19)))+(ISNUMBER(SEARCH("12pm-3pm",$AS$30))*ISNUMBER(SEARCH("12pm-3pm",'(B) Register of Participants'!$AA$19)))+(ISNUMBER(SEARCH("3pm-6pm",$AS$30))*ISNUMBER(SEARCH("3pm-6pm",'(B) Register of Participants'!$AA$19)))+(ISNUMBER(SEARCH("6pm-9pm",$AS$30))*ISNUMBER(SEARCH("6pm-9pm",'(B) Register of Participants'!$AA$19)))+(ISNUMBER(SEARCH("6am-9am",$AS$31))*ISNUMBER(SEARCH("6am-9am",'(B) Register of Participants'!$AB$19)))+(ISNUMBER(SEARCH("9am-12pm",$AS$31))*ISNUMBER(SEARCH("9am-12pm",'(B) Register of Participants'!$AB$19)))+(ISNUMBER(SEARCH("12pm-3pm",$AS$31))*ISNUMBER(SEARCH("12pm-3pm",'(B) Register of Participants'!$AB$19)))+(ISNUMBER(SEARCH("3pm-6pm",$AS$31))*ISNUMBER(SEARCH("3pm-6pm",'(B) Register of Participants'!$AB$19)))+(ISNUMBER(SEARCH("6pm-9pm",$AS$31))*ISNUMBER(SEARCH("6pm-9pm",'(B) Register of Participants'!$AB$19)))+(ISNUMBER(SEARCH("6am-9am",$AS$32))*ISNUMBER(SEARCH("6am-9am",'(B) Register of Participants'!$AC$19)))+(ISNUMBER(SEARCH("9am-12pm",$AS$32))*ISNUMBER(SEARCH("9am-12pm",'(B) Register of Participants'!$AC$19)))+(ISNUMBER(SEARCH("12pm-3pm",$AS$32))*ISNUMBER(SEARCH("12pm-3pm",'(B) Register of Participants'!$AC$19)))+(ISNUMBER(SEARCH("3pm-6pm",$AS$32))*ISNUMBER(SEARCH("3pm-6pm",'(B) Register of Participants'!$AC$19)))+(ISNUMBER(SEARCH("6pm-9pm",$AS$32))*ISNUMBER(SEARCH("6pm-9pm",'(B) Register of Participants'!$AC$19)))+(ISNUMBER(SEARCH("6am-9am",$AS$33))*ISNUMBER(SEARCH("6am-9am",'(B) Register of Participants'!$AD$19)))+(ISNUMBER(SEARCH("9am-12pm",$AS$33))*ISNUMBER(SEARCH("9am-12pm",'(B) Register of Participants'!$AD$19)))+(ISNUMBER(SEARCH("12pm-3pm",$AS$33))*ISNUMBER(SEARCH("12pm-3pm",'(B) Register of Participants'!$AD$19)))+(ISNUMBER(SEARCH("3pm-6pm",$AS$33))*ISNUMBER(SEARCH("3pm-6pm",'(B) Register of Participants'!$AD$19)))+(ISNUMBER(SEARCH("6pm-9pm",$AS$33))*ISNUMBER(SEARCH("6pm-9pm",'(B) Register of Participants'!$AD$19)))</f>
        <v/>
      </c>
      <c r="Q41" s="20">
        <f>IF(OR(AND($AS$17&lt;&gt;"",$AS$17&lt;&gt;"English",IF($AS$17="Persian",OR(ISNUMBER(SEARCH("Dari",'(B) Register of Participants'!$AR$19)),ISNUMBER(SEARCH("Farsi",'(B) Register of Participants'!$AR$19)),ISNUMBER(SEARCH("Persian",'(B) Register of Participants'!$AR$19)),ISNUMBER(SEARCH("Hazaragi",'(B) Register of Participants'!$AR$19))),ISNUMBER(SEARCH($AS$17,'(B) Register of Participants'!$AR$19)))),AND($AS$20&lt;&gt;"",$AS$20&lt;&gt;"English",IF($AS$20="Persian",OR(ISNUMBER(SEARCH("Dari",'(B) Register of Participants'!$AR$19)),ISNUMBER(SEARCH("Farsi",'(B) Register of Participants'!$AR$19)),ISNUMBER(SEARCH("Persian",'(B) Register of Participants'!$AR$19)),ISNUMBER(SEARCH("Hazaragi",'(B) Register of Participants'!$AR$19))),ISNUMBER(SEARCH($AS$20,'(B) Register of Participants'!$AR$19))))),1,0)</f>
        <v/>
      </c>
      <c r="R41" s="20">
        <f>IF(AND(AH41,AI41,NOT(AJ41),NOT($AS$25),AK41,$AS$26,AM41,AN41,NOT(AL41)),"Yes","No")</f>
        <v/>
      </c>
      <c r="S41" s="20">
        <f>IF(OR(COUNTIF('Engine Lists'!$A:$A,$AS$14&amp;"|"&amp;AO41)&gt;0,COUNTIF('Engine Lists'!$A:$A,$AS$14&amp;"|"&amp;AP41)&gt;0,COUNTIF('Engine Lists'!$A:$A,$AS$15&amp;"|"&amp;AO41)&gt;0,COUNTIF('Engine Lists'!$A:$A,$AS$15&amp;"|"&amp;AP41)&gt;0,COUNTIF('Engine Lists'!$A:$A,$AS$21&amp;"|"&amp;I41)&gt;0),-8,0)</f>
        <v/>
      </c>
      <c r="T41" s="20">
        <f>IF(Q41=1,IF(OR($AS$8="A2",$AS$8="B1"),7,IF(OR($AS$8="B2",$AS$8="C1",$AS$8="C2"),-5,0)),0)</f>
        <v/>
      </c>
      <c r="U41" s="20">
        <f>IF(AND($AS$6=G41,OR($AS$6="Male",$AS$6="Female")),5,0)</f>
        <v/>
      </c>
      <c r="V41" s="20">
        <f>IF(AND($AS$24,$AS$11&lt;&gt;"In-Person",K41&lt;&gt;"In-Person"),-5,0)</f>
        <v/>
      </c>
      <c r="W41" s="20">
        <f>IF(OR($AS$11=K41,$AS$11="Either",K41="Either"),3,0)</f>
        <v/>
      </c>
      <c r="X41" s="20">
        <f>IF(AND($AS$11&lt;&gt;"Online",K41&lt;&gt;"Online",ISNUMBER($AS$22),ISNUMBER(IFERROR(VALUE(M41),"x"))),IF(ABS($AS$22-VALUE(M41))&lt;=50,3,0),0)</f>
        <v/>
      </c>
      <c r="Y41" s="20">
        <f>IF(AND($AS$10&lt;&gt;"",$AS$10=J41),3,0)</f>
        <v/>
      </c>
      <c r="Z41" s="20">
        <f>IF(OR(N($AS$13)&gt;=150,N(O41)&gt;=150),3,0)</f>
        <v/>
      </c>
      <c r="AA41" s="20">
        <f>IF(AND($AS$21&lt;&gt;"",$AS$21&lt;&gt;"NA",$AS$21=I41),2,0)</f>
        <v/>
      </c>
      <c r="AB41" s="20">
        <f>IF(OR(AND($AS$14&lt;&gt;"",$AS$14&lt;&gt;"NA",OR($AS$14=AO41,$AS$14=AP41)),AND($AS$15&lt;&gt;"",OR($AS$15=AO41,$AS$15=AP41))),2,0)</f>
        <v/>
      </c>
      <c r="AC41" s="20">
        <f>IF(AND(ISNUMBER($AS$12),ISNUMBER(N41),ABS($AS$12-N41)&lt;=10),2,0)</f>
        <v/>
      </c>
      <c r="AD41" s="20">
        <f>IF(R41="Yes",SUM(S41:AC41),"")</f>
        <v/>
      </c>
      <c r="AE41" s="20">
        <f>IF(R41="Yes","Score "&amp;AD41&amp;": "&amp;TRIM(IF(S41&lt;&gt;0,"−8 acrimonious; ","")&amp;IF(T41=7,"+7 shared language; ","")&amp;IF(T41=-5,"−5 shared lang(adv); ","")&amp;IF(U41=5,"+5 same-sex; ","")&amp;IF(V41=-5,"−5 online no device; ","")&amp;IF(W41=3,"+3 mode; ","")&amp;IF(X41=3,"+3 proximity; ","")&amp;IF(Y41=3,"+3 category; ","")&amp;IF(Z41=3,"+3 long wait; ","")&amp;IF(AA41=2,"+2 religion; ","")&amp;IF(AB41=2,"+2 nationality; ","")&amp;IF(AC41=2,"+2 age; ","")),"Not eligible: "&amp;IF(NOT(AH41),"tutor not pending/with-capacity",IF(NOT(AI41),"no spare capacity",IF(AJ41,"tutor blacklisted",IF($AS$25,"student blacklisted",IF(NOT(AK41),"tutor vetting incomplete",IF(NOT($AS$26),"student vetting incomplete",IF(NOT(AM41),"no overlapping 3h AEST block",IF(NOT(AN41),"A1 student needs a shared language",IF(AL41,"'do not pair' note present",""))))))))))</f>
        <v/>
      </c>
      <c r="AF41">
        <f>TRIM(IFERROR(LEFT('(B) Register of Participants'!$AR$19,FIND(" (",'(B) Register of Participants'!$AR$19)-1),'(B) Register of Participants'!$AR$19))</f>
        <v/>
      </c>
      <c r="AG41">
        <f>IF(ISNUMBER(SEARCH("Mandarin",'(B) Register of Participants'!$AR$19)),"Mandarin",IF(ISNUMBER(SEARCH("Cantonese",'(B) Register of Participants'!$AR$19)),"Cantonese",IF(OR(AF41="Dari",AF41="Farsi",AF41="Persian",AF41="Hazaragi"),"Persian",AF41)))</f>
        <v/>
      </c>
      <c r="AH41">
        <f>OR(E41="ADM-ACT-UNMAT",E41="ADM-ACT-MAT-CNE")</f>
        <v/>
      </c>
      <c r="AI41">
        <f>F41&gt;0</f>
        <v/>
      </c>
      <c r="AJ41">
        <f>LEFT('(B) Register of Participants'!$L$19,3)="Yes"</f>
        <v/>
      </c>
      <c r="AK41">
        <f>AND(OR(LEFT('(B) Register of Participants'!$AY$19,3)="Yes",LEFT('(B) Register of Participants'!$AY$19,2)="NA"),OR(LEFT('(B) Register of Participants'!$AZ$19,3)="Yes",LEFT('(B) Register of Participants'!$AZ$19,2)="NA"))</f>
        <v/>
      </c>
      <c r="AL41">
        <f>OR(ISNUMBER(SEARCH("do not pair",'(B) Register of Participants'!$BL$19)),ISNUMBER(SEARCH("do not pair",'(B) Register of Participants'!$BM$19)))</f>
        <v/>
      </c>
      <c r="AM41">
        <f>P41&gt;0</f>
        <v/>
      </c>
      <c r="AN41">
        <f>IF($AS$8="A1",Q41=1,TRUE)</f>
        <v/>
      </c>
      <c r="AO41">
        <f>TRIM(IFERROR(LEFT('(B) Register of Participants'!$AP$19,FIND(";",'(B) Register of Participants'!$AP$19)-1),'(B) Register of Participants'!$AP$19))</f>
        <v/>
      </c>
      <c r="AP41">
        <f>IF(ISNUMBER(FIND(";",'(B) Register of Participants'!$AP$19)),TRIM(MID('(B) Register of Participants'!$AP$19,FIND(";",'(B) Register of Participants'!$AP$19)+1,80)),"")</f>
        <v/>
      </c>
    </row>
    <row r="42">
      <c r="B42" s="20">
        <f>IF(R42="Yes",RANK(AD42,$AD$25:$AD$124),"")</f>
        <v/>
      </c>
      <c r="C42" s="20">
        <f>'(B) Register of Participants'!$A$20</f>
        <v/>
      </c>
      <c r="D42" s="20">
        <f>'(B) Register of Participants'!$B$20</f>
        <v/>
      </c>
      <c r="E42" s="20">
        <f>'(B) Register of Participants'!$J$20</f>
        <v/>
      </c>
      <c r="F42" s="20">
        <f>IFERROR('(B) Register of Participants'!$O$20-'(B) Register of Participants'!$P$20,0)</f>
        <v/>
      </c>
      <c r="G42" s="20">
        <f>'(B) Register of Participants'!$AL$20</f>
        <v/>
      </c>
      <c r="H42" s="20">
        <f>'(B) Register of Participants'!$AP$20</f>
        <v/>
      </c>
      <c r="I42" s="20">
        <f>TRIM(IFERROR(LEFT('(B) Register of Participants'!$AS$20,FIND(" (",'(B) Register of Participants'!$AS$20)-1),'(B) Register of Participants'!$AS$20))</f>
        <v/>
      </c>
      <c r="J42" s="20">
        <f>'(B) Register of Participants'!$AT$20</f>
        <v/>
      </c>
      <c r="K42" s="20">
        <f>'(B) Register of Participants'!$AE$20</f>
        <v/>
      </c>
      <c r="L42" s="20">
        <f>'(B) Register of Participants'!$AF$20</f>
        <v/>
      </c>
      <c r="M42" s="20">
        <f>'(B) Register of Participants'!$AJ$20</f>
        <v/>
      </c>
      <c r="N42" s="20">
        <f>'(B) Register of Participants'!$CY$20</f>
        <v/>
      </c>
      <c r="O42" s="20">
        <f>'(B) Register of Participants'!$CW$20</f>
        <v/>
      </c>
      <c r="P42" s="20">
        <f>(ISNUMBER(SEARCH("6am-9am",$AS$27))*ISNUMBER(SEARCH("6am-9am",'(B) Register of Participants'!$X$20)))+(ISNUMBER(SEARCH("9am-12pm",$AS$27))*ISNUMBER(SEARCH("9am-12pm",'(B) Register of Participants'!$X$20)))+(ISNUMBER(SEARCH("12pm-3pm",$AS$27))*ISNUMBER(SEARCH("12pm-3pm",'(B) Register of Participants'!$X$20)))+(ISNUMBER(SEARCH("3pm-6pm",$AS$27))*ISNUMBER(SEARCH("3pm-6pm",'(B) Register of Participants'!$X$20)))+(ISNUMBER(SEARCH("6pm-9pm",$AS$27))*ISNUMBER(SEARCH("6pm-9pm",'(B) Register of Participants'!$X$20)))+(ISNUMBER(SEARCH("6am-9am",$AS$28))*ISNUMBER(SEARCH("6am-9am",'(B) Register of Participants'!$Y$20)))+(ISNUMBER(SEARCH("9am-12pm",$AS$28))*ISNUMBER(SEARCH("9am-12pm",'(B) Register of Participants'!$Y$20)))+(ISNUMBER(SEARCH("12pm-3pm",$AS$28))*ISNUMBER(SEARCH("12pm-3pm",'(B) Register of Participants'!$Y$20)))+(ISNUMBER(SEARCH("3pm-6pm",$AS$28))*ISNUMBER(SEARCH("3pm-6pm",'(B) Register of Participants'!$Y$20)))+(ISNUMBER(SEARCH("6pm-9pm",$AS$28))*ISNUMBER(SEARCH("6pm-9pm",'(B) Register of Participants'!$Y$20)))+(ISNUMBER(SEARCH("6am-9am",$AS$29))*ISNUMBER(SEARCH("6am-9am",'(B) Register of Participants'!$Z$20)))+(ISNUMBER(SEARCH("9am-12pm",$AS$29))*ISNUMBER(SEARCH("9am-12pm",'(B) Register of Participants'!$Z$20)))+(ISNUMBER(SEARCH("12pm-3pm",$AS$29))*ISNUMBER(SEARCH("12pm-3pm",'(B) Register of Participants'!$Z$20)))+(ISNUMBER(SEARCH("3pm-6pm",$AS$29))*ISNUMBER(SEARCH("3pm-6pm",'(B) Register of Participants'!$Z$20)))+(ISNUMBER(SEARCH("6pm-9pm",$AS$29))*ISNUMBER(SEARCH("6pm-9pm",'(B) Register of Participants'!$Z$20)))+(ISNUMBER(SEARCH("6am-9am",$AS$30))*ISNUMBER(SEARCH("6am-9am",'(B) Register of Participants'!$AA$20)))+(ISNUMBER(SEARCH("9am-12pm",$AS$30))*ISNUMBER(SEARCH("9am-12pm",'(B) Register of Participants'!$AA$20)))+(ISNUMBER(SEARCH("12pm-3pm",$AS$30))*ISNUMBER(SEARCH("12pm-3pm",'(B) Register of Participants'!$AA$20)))+(ISNUMBER(SEARCH("3pm-6pm",$AS$30))*ISNUMBER(SEARCH("3pm-6pm",'(B) Register of Participants'!$AA$20)))+(ISNUMBER(SEARCH("6pm-9pm",$AS$30))*ISNUMBER(SEARCH("6pm-9pm",'(B) Register of Participants'!$AA$20)))+(ISNUMBER(SEARCH("6am-9am",$AS$31))*ISNUMBER(SEARCH("6am-9am",'(B) Register of Participants'!$AB$20)))+(ISNUMBER(SEARCH("9am-12pm",$AS$31))*ISNUMBER(SEARCH("9am-12pm",'(B) Register of Participants'!$AB$20)))+(ISNUMBER(SEARCH("12pm-3pm",$AS$31))*ISNUMBER(SEARCH("12pm-3pm",'(B) Register of Participants'!$AB$20)))+(ISNUMBER(SEARCH("3pm-6pm",$AS$31))*ISNUMBER(SEARCH("3pm-6pm",'(B) Register of Participants'!$AB$20)))+(ISNUMBER(SEARCH("6pm-9pm",$AS$31))*ISNUMBER(SEARCH("6pm-9pm",'(B) Register of Participants'!$AB$20)))+(ISNUMBER(SEARCH("6am-9am",$AS$32))*ISNUMBER(SEARCH("6am-9am",'(B) Register of Participants'!$AC$20)))+(ISNUMBER(SEARCH("9am-12pm",$AS$32))*ISNUMBER(SEARCH("9am-12pm",'(B) Register of Participants'!$AC$20)))+(ISNUMBER(SEARCH("12pm-3pm",$AS$32))*ISNUMBER(SEARCH("12pm-3pm",'(B) Register of Participants'!$AC$20)))+(ISNUMBER(SEARCH("3pm-6pm",$AS$32))*ISNUMBER(SEARCH("3pm-6pm",'(B) Register of Participants'!$AC$20)))+(ISNUMBER(SEARCH("6pm-9pm",$AS$32))*ISNUMBER(SEARCH("6pm-9pm",'(B) Register of Participants'!$AC$20)))+(ISNUMBER(SEARCH("6am-9am",$AS$33))*ISNUMBER(SEARCH("6am-9am",'(B) Register of Participants'!$AD$20)))+(ISNUMBER(SEARCH("9am-12pm",$AS$33))*ISNUMBER(SEARCH("9am-12pm",'(B) Register of Participants'!$AD$20)))+(ISNUMBER(SEARCH("12pm-3pm",$AS$33))*ISNUMBER(SEARCH("12pm-3pm",'(B) Register of Participants'!$AD$20)))+(ISNUMBER(SEARCH("3pm-6pm",$AS$33))*ISNUMBER(SEARCH("3pm-6pm",'(B) Register of Participants'!$AD$20)))+(ISNUMBER(SEARCH("6pm-9pm",$AS$33))*ISNUMBER(SEARCH("6pm-9pm",'(B) Register of Participants'!$AD$20)))</f>
        <v/>
      </c>
      <c r="Q42" s="20">
        <f>IF(OR(AND($AS$17&lt;&gt;"",$AS$17&lt;&gt;"English",IF($AS$17="Persian",OR(ISNUMBER(SEARCH("Dari",'(B) Register of Participants'!$AR$20)),ISNUMBER(SEARCH("Farsi",'(B) Register of Participants'!$AR$20)),ISNUMBER(SEARCH("Persian",'(B) Register of Participants'!$AR$20)),ISNUMBER(SEARCH("Hazaragi",'(B) Register of Participants'!$AR$20))),ISNUMBER(SEARCH($AS$17,'(B) Register of Participants'!$AR$20)))),AND($AS$20&lt;&gt;"",$AS$20&lt;&gt;"English",IF($AS$20="Persian",OR(ISNUMBER(SEARCH("Dari",'(B) Register of Participants'!$AR$20)),ISNUMBER(SEARCH("Farsi",'(B) Register of Participants'!$AR$20)),ISNUMBER(SEARCH("Persian",'(B) Register of Participants'!$AR$20)),ISNUMBER(SEARCH("Hazaragi",'(B) Register of Participants'!$AR$20))),ISNUMBER(SEARCH($AS$20,'(B) Register of Participants'!$AR$20))))),1,0)</f>
        <v/>
      </c>
      <c r="R42" s="20">
        <f>IF(AND(AH42,AI42,NOT(AJ42),NOT($AS$25),AK42,$AS$26,AM42,AN42,NOT(AL42)),"Yes","No")</f>
        <v/>
      </c>
      <c r="S42" s="20">
        <f>IF(OR(COUNTIF('Engine Lists'!$A:$A,$AS$14&amp;"|"&amp;AO42)&gt;0,COUNTIF('Engine Lists'!$A:$A,$AS$14&amp;"|"&amp;AP42)&gt;0,COUNTIF('Engine Lists'!$A:$A,$AS$15&amp;"|"&amp;AO42)&gt;0,COUNTIF('Engine Lists'!$A:$A,$AS$15&amp;"|"&amp;AP42)&gt;0,COUNTIF('Engine Lists'!$A:$A,$AS$21&amp;"|"&amp;I42)&gt;0),-8,0)</f>
        <v/>
      </c>
      <c r="T42" s="20">
        <f>IF(Q42=1,IF(OR($AS$8="A2",$AS$8="B1"),7,IF(OR($AS$8="B2",$AS$8="C1",$AS$8="C2"),-5,0)),0)</f>
        <v/>
      </c>
      <c r="U42" s="20">
        <f>IF(AND($AS$6=G42,OR($AS$6="Male",$AS$6="Female")),5,0)</f>
        <v/>
      </c>
      <c r="V42" s="20">
        <f>IF(AND($AS$24,$AS$11&lt;&gt;"In-Person",K42&lt;&gt;"In-Person"),-5,0)</f>
        <v/>
      </c>
      <c r="W42" s="20">
        <f>IF(OR($AS$11=K42,$AS$11="Either",K42="Either"),3,0)</f>
        <v/>
      </c>
      <c r="X42" s="20">
        <f>IF(AND($AS$11&lt;&gt;"Online",K42&lt;&gt;"Online",ISNUMBER($AS$22),ISNUMBER(IFERROR(VALUE(M42),"x"))),IF(ABS($AS$22-VALUE(M42))&lt;=50,3,0),0)</f>
        <v/>
      </c>
      <c r="Y42" s="20">
        <f>IF(AND($AS$10&lt;&gt;"",$AS$10=J42),3,0)</f>
        <v/>
      </c>
      <c r="Z42" s="20">
        <f>IF(OR(N($AS$13)&gt;=150,N(O42)&gt;=150),3,0)</f>
        <v/>
      </c>
      <c r="AA42" s="20">
        <f>IF(AND($AS$21&lt;&gt;"",$AS$21&lt;&gt;"NA",$AS$21=I42),2,0)</f>
        <v/>
      </c>
      <c r="AB42" s="20">
        <f>IF(OR(AND($AS$14&lt;&gt;"",$AS$14&lt;&gt;"NA",OR($AS$14=AO42,$AS$14=AP42)),AND($AS$15&lt;&gt;"",OR($AS$15=AO42,$AS$15=AP42))),2,0)</f>
        <v/>
      </c>
      <c r="AC42" s="20">
        <f>IF(AND(ISNUMBER($AS$12),ISNUMBER(N42),ABS($AS$12-N42)&lt;=10),2,0)</f>
        <v/>
      </c>
      <c r="AD42" s="20">
        <f>IF(R42="Yes",SUM(S42:AC42),"")</f>
        <v/>
      </c>
      <c r="AE42" s="20">
        <f>IF(R42="Yes","Score "&amp;AD42&amp;": "&amp;TRIM(IF(S42&lt;&gt;0,"−8 acrimonious; ","")&amp;IF(T42=7,"+7 shared language; ","")&amp;IF(T42=-5,"−5 shared lang(adv); ","")&amp;IF(U42=5,"+5 same-sex; ","")&amp;IF(V42=-5,"−5 online no device; ","")&amp;IF(W42=3,"+3 mode; ","")&amp;IF(X42=3,"+3 proximity; ","")&amp;IF(Y42=3,"+3 category; ","")&amp;IF(Z42=3,"+3 long wait; ","")&amp;IF(AA42=2,"+2 religion; ","")&amp;IF(AB42=2,"+2 nationality; ","")&amp;IF(AC42=2,"+2 age; ","")),"Not eligible: "&amp;IF(NOT(AH42),"tutor not pending/with-capacity",IF(NOT(AI42),"no spare capacity",IF(AJ42,"tutor blacklisted",IF($AS$25,"student blacklisted",IF(NOT(AK42),"tutor vetting incomplete",IF(NOT($AS$26),"student vetting incomplete",IF(NOT(AM42),"no overlapping 3h AEST block",IF(NOT(AN42),"A1 student needs a shared language",IF(AL42,"'do not pair' note present",""))))))))))</f>
        <v/>
      </c>
      <c r="AF42">
        <f>TRIM(IFERROR(LEFT('(B) Register of Participants'!$AR$20,FIND(" (",'(B) Register of Participants'!$AR$20)-1),'(B) Register of Participants'!$AR$20))</f>
        <v/>
      </c>
      <c r="AG42">
        <f>IF(ISNUMBER(SEARCH("Mandarin",'(B) Register of Participants'!$AR$20)),"Mandarin",IF(ISNUMBER(SEARCH("Cantonese",'(B) Register of Participants'!$AR$20)),"Cantonese",IF(OR(AF42="Dari",AF42="Farsi",AF42="Persian",AF42="Hazaragi"),"Persian",AF42)))</f>
        <v/>
      </c>
      <c r="AH42">
        <f>OR(E42="ADM-ACT-UNMAT",E42="ADM-ACT-MAT-CNE")</f>
        <v/>
      </c>
      <c r="AI42">
        <f>F42&gt;0</f>
        <v/>
      </c>
      <c r="AJ42">
        <f>LEFT('(B) Register of Participants'!$L$20,3)="Yes"</f>
        <v/>
      </c>
      <c r="AK42">
        <f>AND(OR(LEFT('(B) Register of Participants'!$AY$20,3)="Yes",LEFT('(B) Register of Participants'!$AY$20,2)="NA"),OR(LEFT('(B) Register of Participants'!$AZ$20,3)="Yes",LEFT('(B) Register of Participants'!$AZ$20,2)="NA"))</f>
        <v/>
      </c>
      <c r="AL42">
        <f>OR(ISNUMBER(SEARCH("do not pair",'(B) Register of Participants'!$BL$20)),ISNUMBER(SEARCH("do not pair",'(B) Register of Participants'!$BM$20)))</f>
        <v/>
      </c>
      <c r="AM42">
        <f>P42&gt;0</f>
        <v/>
      </c>
      <c r="AN42">
        <f>IF($AS$8="A1",Q42=1,TRUE)</f>
        <v/>
      </c>
      <c r="AO42">
        <f>TRIM(IFERROR(LEFT('(B) Register of Participants'!$AP$20,FIND(";",'(B) Register of Participants'!$AP$20)-1),'(B) Register of Participants'!$AP$20))</f>
        <v/>
      </c>
      <c r="AP42">
        <f>IF(ISNUMBER(FIND(";",'(B) Register of Participants'!$AP$20)),TRIM(MID('(B) Register of Participants'!$AP$20,FIND(";",'(B) Register of Participants'!$AP$20)+1,80)),"")</f>
        <v/>
      </c>
    </row>
    <row r="43">
      <c r="B43" s="20">
        <f>IF(R43="Yes",RANK(AD43,$AD$25:$AD$124),"")</f>
        <v/>
      </c>
      <c r="C43" s="20">
        <f>'(B) Register of Participants'!$A$21</f>
        <v/>
      </c>
      <c r="D43" s="20">
        <f>'(B) Register of Participants'!$B$21</f>
        <v/>
      </c>
      <c r="E43" s="20">
        <f>'(B) Register of Participants'!$J$21</f>
        <v/>
      </c>
      <c r="F43" s="20">
        <f>IFERROR('(B) Register of Participants'!$O$21-'(B) Register of Participants'!$P$21,0)</f>
        <v/>
      </c>
      <c r="G43" s="20">
        <f>'(B) Register of Participants'!$AL$21</f>
        <v/>
      </c>
      <c r="H43" s="20">
        <f>'(B) Register of Participants'!$AP$21</f>
        <v/>
      </c>
      <c r="I43" s="20">
        <f>TRIM(IFERROR(LEFT('(B) Register of Participants'!$AS$21,FIND(" (",'(B) Register of Participants'!$AS$21)-1),'(B) Register of Participants'!$AS$21))</f>
        <v/>
      </c>
      <c r="J43" s="20">
        <f>'(B) Register of Participants'!$AT$21</f>
        <v/>
      </c>
      <c r="K43" s="20">
        <f>'(B) Register of Participants'!$AE$21</f>
        <v/>
      </c>
      <c r="L43" s="20">
        <f>'(B) Register of Participants'!$AF$21</f>
        <v/>
      </c>
      <c r="M43" s="20">
        <f>'(B) Register of Participants'!$AJ$21</f>
        <v/>
      </c>
      <c r="N43" s="20">
        <f>'(B) Register of Participants'!$CY$21</f>
        <v/>
      </c>
      <c r="O43" s="20">
        <f>'(B) Register of Participants'!$CW$21</f>
        <v/>
      </c>
      <c r="P43" s="20">
        <f>(ISNUMBER(SEARCH("6am-9am",$AS$27))*ISNUMBER(SEARCH("6am-9am",'(B) Register of Participants'!$X$21)))+(ISNUMBER(SEARCH("9am-12pm",$AS$27))*ISNUMBER(SEARCH("9am-12pm",'(B) Register of Participants'!$X$21)))+(ISNUMBER(SEARCH("12pm-3pm",$AS$27))*ISNUMBER(SEARCH("12pm-3pm",'(B) Register of Participants'!$X$21)))+(ISNUMBER(SEARCH("3pm-6pm",$AS$27))*ISNUMBER(SEARCH("3pm-6pm",'(B) Register of Participants'!$X$21)))+(ISNUMBER(SEARCH("6pm-9pm",$AS$27))*ISNUMBER(SEARCH("6pm-9pm",'(B) Register of Participants'!$X$21)))+(ISNUMBER(SEARCH("6am-9am",$AS$28))*ISNUMBER(SEARCH("6am-9am",'(B) Register of Participants'!$Y$21)))+(ISNUMBER(SEARCH("9am-12pm",$AS$28))*ISNUMBER(SEARCH("9am-12pm",'(B) Register of Participants'!$Y$21)))+(ISNUMBER(SEARCH("12pm-3pm",$AS$28))*ISNUMBER(SEARCH("12pm-3pm",'(B) Register of Participants'!$Y$21)))+(ISNUMBER(SEARCH("3pm-6pm",$AS$28))*ISNUMBER(SEARCH("3pm-6pm",'(B) Register of Participants'!$Y$21)))+(ISNUMBER(SEARCH("6pm-9pm",$AS$28))*ISNUMBER(SEARCH("6pm-9pm",'(B) Register of Participants'!$Y$21)))+(ISNUMBER(SEARCH("6am-9am",$AS$29))*ISNUMBER(SEARCH("6am-9am",'(B) Register of Participants'!$Z$21)))+(ISNUMBER(SEARCH("9am-12pm",$AS$29))*ISNUMBER(SEARCH("9am-12pm",'(B) Register of Participants'!$Z$21)))+(ISNUMBER(SEARCH("12pm-3pm",$AS$29))*ISNUMBER(SEARCH("12pm-3pm",'(B) Register of Participants'!$Z$21)))+(ISNUMBER(SEARCH("3pm-6pm",$AS$29))*ISNUMBER(SEARCH("3pm-6pm",'(B) Register of Participants'!$Z$21)))+(ISNUMBER(SEARCH("6pm-9pm",$AS$29))*ISNUMBER(SEARCH("6pm-9pm",'(B) Register of Participants'!$Z$21)))+(ISNUMBER(SEARCH("6am-9am",$AS$30))*ISNUMBER(SEARCH("6am-9am",'(B) Register of Participants'!$AA$21)))+(ISNUMBER(SEARCH("9am-12pm",$AS$30))*ISNUMBER(SEARCH("9am-12pm",'(B) Register of Participants'!$AA$21)))+(ISNUMBER(SEARCH("12pm-3pm",$AS$30))*ISNUMBER(SEARCH("12pm-3pm",'(B) Register of Participants'!$AA$21)))+(ISNUMBER(SEARCH("3pm-6pm",$AS$30))*ISNUMBER(SEARCH("3pm-6pm",'(B) Register of Participants'!$AA$21)))+(ISNUMBER(SEARCH("6pm-9pm",$AS$30))*ISNUMBER(SEARCH("6pm-9pm",'(B) Register of Participants'!$AA$21)))+(ISNUMBER(SEARCH("6am-9am",$AS$31))*ISNUMBER(SEARCH("6am-9am",'(B) Register of Participants'!$AB$21)))+(ISNUMBER(SEARCH("9am-12pm",$AS$31))*ISNUMBER(SEARCH("9am-12pm",'(B) Register of Participants'!$AB$21)))+(ISNUMBER(SEARCH("12pm-3pm",$AS$31))*ISNUMBER(SEARCH("12pm-3pm",'(B) Register of Participants'!$AB$21)))+(ISNUMBER(SEARCH("3pm-6pm",$AS$31))*ISNUMBER(SEARCH("3pm-6pm",'(B) Register of Participants'!$AB$21)))+(ISNUMBER(SEARCH("6pm-9pm",$AS$31))*ISNUMBER(SEARCH("6pm-9pm",'(B) Register of Participants'!$AB$21)))+(ISNUMBER(SEARCH("6am-9am",$AS$32))*ISNUMBER(SEARCH("6am-9am",'(B) Register of Participants'!$AC$21)))+(ISNUMBER(SEARCH("9am-12pm",$AS$32))*ISNUMBER(SEARCH("9am-12pm",'(B) Register of Participants'!$AC$21)))+(ISNUMBER(SEARCH("12pm-3pm",$AS$32))*ISNUMBER(SEARCH("12pm-3pm",'(B) Register of Participants'!$AC$21)))+(ISNUMBER(SEARCH("3pm-6pm",$AS$32))*ISNUMBER(SEARCH("3pm-6pm",'(B) Register of Participants'!$AC$21)))+(ISNUMBER(SEARCH("6pm-9pm",$AS$32))*ISNUMBER(SEARCH("6pm-9pm",'(B) Register of Participants'!$AC$21)))+(ISNUMBER(SEARCH("6am-9am",$AS$33))*ISNUMBER(SEARCH("6am-9am",'(B) Register of Participants'!$AD$21)))+(ISNUMBER(SEARCH("9am-12pm",$AS$33))*ISNUMBER(SEARCH("9am-12pm",'(B) Register of Participants'!$AD$21)))+(ISNUMBER(SEARCH("12pm-3pm",$AS$33))*ISNUMBER(SEARCH("12pm-3pm",'(B) Register of Participants'!$AD$21)))+(ISNUMBER(SEARCH("3pm-6pm",$AS$33))*ISNUMBER(SEARCH("3pm-6pm",'(B) Register of Participants'!$AD$21)))+(ISNUMBER(SEARCH("6pm-9pm",$AS$33))*ISNUMBER(SEARCH("6pm-9pm",'(B) Register of Participants'!$AD$21)))</f>
        <v/>
      </c>
      <c r="Q43" s="20">
        <f>IF(OR(AND($AS$17&lt;&gt;"",$AS$17&lt;&gt;"English",IF($AS$17="Persian",OR(ISNUMBER(SEARCH("Dari",'(B) Register of Participants'!$AR$21)),ISNUMBER(SEARCH("Farsi",'(B) Register of Participants'!$AR$21)),ISNUMBER(SEARCH("Persian",'(B) Register of Participants'!$AR$21)),ISNUMBER(SEARCH("Hazaragi",'(B) Register of Participants'!$AR$21))),ISNUMBER(SEARCH($AS$17,'(B) Register of Participants'!$AR$21)))),AND($AS$20&lt;&gt;"",$AS$20&lt;&gt;"English",IF($AS$20="Persian",OR(ISNUMBER(SEARCH("Dari",'(B) Register of Participants'!$AR$21)),ISNUMBER(SEARCH("Farsi",'(B) Register of Participants'!$AR$21)),ISNUMBER(SEARCH("Persian",'(B) Register of Participants'!$AR$21)),ISNUMBER(SEARCH("Hazaragi",'(B) Register of Participants'!$AR$21))),ISNUMBER(SEARCH($AS$20,'(B) Register of Participants'!$AR$21))))),1,0)</f>
        <v/>
      </c>
      <c r="R43" s="20">
        <f>IF(AND(AH43,AI43,NOT(AJ43),NOT($AS$25),AK43,$AS$26,AM43,AN43,NOT(AL43)),"Yes","No")</f>
        <v/>
      </c>
      <c r="S43" s="20">
        <f>IF(OR(COUNTIF('Engine Lists'!$A:$A,$AS$14&amp;"|"&amp;AO43)&gt;0,COUNTIF('Engine Lists'!$A:$A,$AS$14&amp;"|"&amp;AP43)&gt;0,COUNTIF('Engine Lists'!$A:$A,$AS$15&amp;"|"&amp;AO43)&gt;0,COUNTIF('Engine Lists'!$A:$A,$AS$15&amp;"|"&amp;AP43)&gt;0,COUNTIF('Engine Lists'!$A:$A,$AS$21&amp;"|"&amp;I43)&gt;0),-8,0)</f>
        <v/>
      </c>
      <c r="T43" s="20">
        <f>IF(Q43=1,IF(OR($AS$8="A2",$AS$8="B1"),7,IF(OR($AS$8="B2",$AS$8="C1",$AS$8="C2"),-5,0)),0)</f>
        <v/>
      </c>
      <c r="U43" s="20">
        <f>IF(AND($AS$6=G43,OR($AS$6="Male",$AS$6="Female")),5,0)</f>
        <v/>
      </c>
      <c r="V43" s="20">
        <f>IF(AND($AS$24,$AS$11&lt;&gt;"In-Person",K43&lt;&gt;"In-Person"),-5,0)</f>
        <v/>
      </c>
      <c r="W43" s="20">
        <f>IF(OR($AS$11=K43,$AS$11="Either",K43="Either"),3,0)</f>
        <v/>
      </c>
      <c r="X43" s="20">
        <f>IF(AND($AS$11&lt;&gt;"Online",K43&lt;&gt;"Online",ISNUMBER($AS$22),ISNUMBER(IFERROR(VALUE(M43),"x"))),IF(ABS($AS$22-VALUE(M43))&lt;=50,3,0),0)</f>
        <v/>
      </c>
      <c r="Y43" s="20">
        <f>IF(AND($AS$10&lt;&gt;"",$AS$10=J43),3,0)</f>
        <v/>
      </c>
      <c r="Z43" s="20">
        <f>IF(OR(N($AS$13)&gt;=150,N(O43)&gt;=150),3,0)</f>
        <v/>
      </c>
      <c r="AA43" s="20">
        <f>IF(AND($AS$21&lt;&gt;"",$AS$21&lt;&gt;"NA",$AS$21=I43),2,0)</f>
        <v/>
      </c>
      <c r="AB43" s="20">
        <f>IF(OR(AND($AS$14&lt;&gt;"",$AS$14&lt;&gt;"NA",OR($AS$14=AO43,$AS$14=AP43)),AND($AS$15&lt;&gt;"",OR($AS$15=AO43,$AS$15=AP43))),2,0)</f>
        <v/>
      </c>
      <c r="AC43" s="20">
        <f>IF(AND(ISNUMBER($AS$12),ISNUMBER(N43),ABS($AS$12-N43)&lt;=10),2,0)</f>
        <v/>
      </c>
      <c r="AD43" s="20">
        <f>IF(R43="Yes",SUM(S43:AC43),"")</f>
        <v/>
      </c>
      <c r="AE43" s="20">
        <f>IF(R43="Yes","Score "&amp;AD43&amp;": "&amp;TRIM(IF(S43&lt;&gt;0,"−8 acrimonious; ","")&amp;IF(T43=7,"+7 shared language; ","")&amp;IF(T43=-5,"−5 shared lang(adv); ","")&amp;IF(U43=5,"+5 same-sex; ","")&amp;IF(V43=-5,"−5 online no device; ","")&amp;IF(W43=3,"+3 mode; ","")&amp;IF(X43=3,"+3 proximity; ","")&amp;IF(Y43=3,"+3 category; ","")&amp;IF(Z43=3,"+3 long wait; ","")&amp;IF(AA43=2,"+2 religion; ","")&amp;IF(AB43=2,"+2 nationality; ","")&amp;IF(AC43=2,"+2 age; ","")),"Not eligible: "&amp;IF(NOT(AH43),"tutor not pending/with-capacity",IF(NOT(AI43),"no spare capacity",IF(AJ43,"tutor blacklisted",IF($AS$25,"student blacklisted",IF(NOT(AK43),"tutor vetting incomplete",IF(NOT($AS$26),"student vetting incomplete",IF(NOT(AM43),"no overlapping 3h AEST block",IF(NOT(AN43),"A1 student needs a shared language",IF(AL43,"'do not pair' note present",""))))))))))</f>
        <v/>
      </c>
      <c r="AF43">
        <f>TRIM(IFERROR(LEFT('(B) Register of Participants'!$AR$21,FIND(" (",'(B) Register of Participants'!$AR$21)-1),'(B) Register of Participants'!$AR$21))</f>
        <v/>
      </c>
      <c r="AG43">
        <f>IF(ISNUMBER(SEARCH("Mandarin",'(B) Register of Participants'!$AR$21)),"Mandarin",IF(ISNUMBER(SEARCH("Cantonese",'(B) Register of Participants'!$AR$21)),"Cantonese",IF(OR(AF43="Dari",AF43="Farsi",AF43="Persian",AF43="Hazaragi"),"Persian",AF43)))</f>
        <v/>
      </c>
      <c r="AH43">
        <f>OR(E43="ADM-ACT-UNMAT",E43="ADM-ACT-MAT-CNE")</f>
        <v/>
      </c>
      <c r="AI43">
        <f>F43&gt;0</f>
        <v/>
      </c>
      <c r="AJ43">
        <f>LEFT('(B) Register of Participants'!$L$21,3)="Yes"</f>
        <v/>
      </c>
      <c r="AK43">
        <f>AND(OR(LEFT('(B) Register of Participants'!$AY$21,3)="Yes",LEFT('(B) Register of Participants'!$AY$21,2)="NA"),OR(LEFT('(B) Register of Participants'!$AZ$21,3)="Yes",LEFT('(B) Register of Participants'!$AZ$21,2)="NA"))</f>
        <v/>
      </c>
      <c r="AL43">
        <f>OR(ISNUMBER(SEARCH("do not pair",'(B) Register of Participants'!$BL$21)),ISNUMBER(SEARCH("do not pair",'(B) Register of Participants'!$BM$21)))</f>
        <v/>
      </c>
      <c r="AM43">
        <f>P43&gt;0</f>
        <v/>
      </c>
      <c r="AN43">
        <f>IF($AS$8="A1",Q43=1,TRUE)</f>
        <v/>
      </c>
      <c r="AO43">
        <f>TRIM(IFERROR(LEFT('(B) Register of Participants'!$AP$21,FIND(";",'(B) Register of Participants'!$AP$21)-1),'(B) Register of Participants'!$AP$21))</f>
        <v/>
      </c>
      <c r="AP43">
        <f>IF(ISNUMBER(FIND(";",'(B) Register of Participants'!$AP$21)),TRIM(MID('(B) Register of Participants'!$AP$21,FIND(";",'(B) Register of Participants'!$AP$21)+1,80)),"")</f>
        <v/>
      </c>
    </row>
    <row r="44">
      <c r="B44" s="20">
        <f>IF(R44="Yes",RANK(AD44,$AD$25:$AD$124),"")</f>
        <v/>
      </c>
      <c r="C44" s="20">
        <f>'(B) Register of Participants'!$A$22</f>
        <v/>
      </c>
      <c r="D44" s="20">
        <f>'(B) Register of Participants'!$B$22</f>
        <v/>
      </c>
      <c r="E44" s="20">
        <f>'(B) Register of Participants'!$J$22</f>
        <v/>
      </c>
      <c r="F44" s="20">
        <f>IFERROR('(B) Register of Participants'!$O$22-'(B) Register of Participants'!$P$22,0)</f>
        <v/>
      </c>
      <c r="G44" s="20">
        <f>'(B) Register of Participants'!$AL$22</f>
        <v/>
      </c>
      <c r="H44" s="20">
        <f>'(B) Register of Participants'!$AP$22</f>
        <v/>
      </c>
      <c r="I44" s="20">
        <f>TRIM(IFERROR(LEFT('(B) Register of Participants'!$AS$22,FIND(" (",'(B) Register of Participants'!$AS$22)-1),'(B) Register of Participants'!$AS$22))</f>
        <v/>
      </c>
      <c r="J44" s="20">
        <f>'(B) Register of Participants'!$AT$22</f>
        <v/>
      </c>
      <c r="K44" s="20">
        <f>'(B) Register of Participants'!$AE$22</f>
        <v/>
      </c>
      <c r="L44" s="20">
        <f>'(B) Register of Participants'!$AF$22</f>
        <v/>
      </c>
      <c r="M44" s="20">
        <f>'(B) Register of Participants'!$AJ$22</f>
        <v/>
      </c>
      <c r="N44" s="20">
        <f>'(B) Register of Participants'!$CY$22</f>
        <v/>
      </c>
      <c r="O44" s="20">
        <f>'(B) Register of Participants'!$CW$22</f>
        <v/>
      </c>
      <c r="P44" s="20">
        <f>(ISNUMBER(SEARCH("6am-9am",$AS$27))*ISNUMBER(SEARCH("6am-9am",'(B) Register of Participants'!$X$22)))+(ISNUMBER(SEARCH("9am-12pm",$AS$27))*ISNUMBER(SEARCH("9am-12pm",'(B) Register of Participants'!$X$22)))+(ISNUMBER(SEARCH("12pm-3pm",$AS$27))*ISNUMBER(SEARCH("12pm-3pm",'(B) Register of Participants'!$X$22)))+(ISNUMBER(SEARCH("3pm-6pm",$AS$27))*ISNUMBER(SEARCH("3pm-6pm",'(B) Register of Participants'!$X$22)))+(ISNUMBER(SEARCH("6pm-9pm",$AS$27))*ISNUMBER(SEARCH("6pm-9pm",'(B) Register of Participants'!$X$22)))+(ISNUMBER(SEARCH("6am-9am",$AS$28))*ISNUMBER(SEARCH("6am-9am",'(B) Register of Participants'!$Y$22)))+(ISNUMBER(SEARCH("9am-12pm",$AS$28))*ISNUMBER(SEARCH("9am-12pm",'(B) Register of Participants'!$Y$22)))+(ISNUMBER(SEARCH("12pm-3pm",$AS$28))*ISNUMBER(SEARCH("12pm-3pm",'(B) Register of Participants'!$Y$22)))+(ISNUMBER(SEARCH("3pm-6pm",$AS$28))*ISNUMBER(SEARCH("3pm-6pm",'(B) Register of Participants'!$Y$22)))+(ISNUMBER(SEARCH("6pm-9pm",$AS$28))*ISNUMBER(SEARCH("6pm-9pm",'(B) Register of Participants'!$Y$22)))+(ISNUMBER(SEARCH("6am-9am",$AS$29))*ISNUMBER(SEARCH("6am-9am",'(B) Register of Participants'!$Z$22)))+(ISNUMBER(SEARCH("9am-12pm",$AS$29))*ISNUMBER(SEARCH("9am-12pm",'(B) Register of Participants'!$Z$22)))+(ISNUMBER(SEARCH("12pm-3pm",$AS$29))*ISNUMBER(SEARCH("12pm-3pm",'(B) Register of Participants'!$Z$22)))+(ISNUMBER(SEARCH("3pm-6pm",$AS$29))*ISNUMBER(SEARCH("3pm-6pm",'(B) Register of Participants'!$Z$22)))+(ISNUMBER(SEARCH("6pm-9pm",$AS$29))*ISNUMBER(SEARCH("6pm-9pm",'(B) Register of Participants'!$Z$22)))+(ISNUMBER(SEARCH("6am-9am",$AS$30))*ISNUMBER(SEARCH("6am-9am",'(B) Register of Participants'!$AA$22)))+(ISNUMBER(SEARCH("9am-12pm",$AS$30))*ISNUMBER(SEARCH("9am-12pm",'(B) Register of Participants'!$AA$22)))+(ISNUMBER(SEARCH("12pm-3pm",$AS$30))*ISNUMBER(SEARCH("12pm-3pm",'(B) Register of Participants'!$AA$22)))+(ISNUMBER(SEARCH("3pm-6pm",$AS$30))*ISNUMBER(SEARCH("3pm-6pm",'(B) Register of Participants'!$AA$22)))+(ISNUMBER(SEARCH("6pm-9pm",$AS$30))*ISNUMBER(SEARCH("6pm-9pm",'(B) Register of Participants'!$AA$22)))+(ISNUMBER(SEARCH("6am-9am",$AS$31))*ISNUMBER(SEARCH("6am-9am",'(B) Register of Participants'!$AB$22)))+(ISNUMBER(SEARCH("9am-12pm",$AS$31))*ISNUMBER(SEARCH("9am-12pm",'(B) Register of Participants'!$AB$22)))+(ISNUMBER(SEARCH("12pm-3pm",$AS$31))*ISNUMBER(SEARCH("12pm-3pm",'(B) Register of Participants'!$AB$22)))+(ISNUMBER(SEARCH("3pm-6pm",$AS$31))*ISNUMBER(SEARCH("3pm-6pm",'(B) Register of Participants'!$AB$22)))+(ISNUMBER(SEARCH("6pm-9pm",$AS$31))*ISNUMBER(SEARCH("6pm-9pm",'(B) Register of Participants'!$AB$22)))+(ISNUMBER(SEARCH("6am-9am",$AS$32))*ISNUMBER(SEARCH("6am-9am",'(B) Register of Participants'!$AC$22)))+(ISNUMBER(SEARCH("9am-12pm",$AS$32))*ISNUMBER(SEARCH("9am-12pm",'(B) Register of Participants'!$AC$22)))+(ISNUMBER(SEARCH("12pm-3pm",$AS$32))*ISNUMBER(SEARCH("12pm-3pm",'(B) Register of Participants'!$AC$22)))+(ISNUMBER(SEARCH("3pm-6pm",$AS$32))*ISNUMBER(SEARCH("3pm-6pm",'(B) Register of Participants'!$AC$22)))+(ISNUMBER(SEARCH("6pm-9pm",$AS$32))*ISNUMBER(SEARCH("6pm-9pm",'(B) Register of Participants'!$AC$22)))+(ISNUMBER(SEARCH("6am-9am",$AS$33))*ISNUMBER(SEARCH("6am-9am",'(B) Register of Participants'!$AD$22)))+(ISNUMBER(SEARCH("9am-12pm",$AS$33))*ISNUMBER(SEARCH("9am-12pm",'(B) Register of Participants'!$AD$22)))+(ISNUMBER(SEARCH("12pm-3pm",$AS$33))*ISNUMBER(SEARCH("12pm-3pm",'(B) Register of Participants'!$AD$22)))+(ISNUMBER(SEARCH("3pm-6pm",$AS$33))*ISNUMBER(SEARCH("3pm-6pm",'(B) Register of Participants'!$AD$22)))+(ISNUMBER(SEARCH("6pm-9pm",$AS$33))*ISNUMBER(SEARCH("6pm-9pm",'(B) Register of Participants'!$AD$22)))</f>
        <v/>
      </c>
      <c r="Q44" s="20">
        <f>IF(OR(AND($AS$17&lt;&gt;"",$AS$17&lt;&gt;"English",IF($AS$17="Persian",OR(ISNUMBER(SEARCH("Dari",'(B) Register of Participants'!$AR$22)),ISNUMBER(SEARCH("Farsi",'(B) Register of Participants'!$AR$22)),ISNUMBER(SEARCH("Persian",'(B) Register of Participants'!$AR$22)),ISNUMBER(SEARCH("Hazaragi",'(B) Register of Participants'!$AR$22))),ISNUMBER(SEARCH($AS$17,'(B) Register of Participants'!$AR$22)))),AND($AS$20&lt;&gt;"",$AS$20&lt;&gt;"English",IF($AS$20="Persian",OR(ISNUMBER(SEARCH("Dari",'(B) Register of Participants'!$AR$22)),ISNUMBER(SEARCH("Farsi",'(B) Register of Participants'!$AR$22)),ISNUMBER(SEARCH("Persian",'(B) Register of Participants'!$AR$22)),ISNUMBER(SEARCH("Hazaragi",'(B) Register of Participants'!$AR$22))),ISNUMBER(SEARCH($AS$20,'(B) Register of Participants'!$AR$22))))),1,0)</f>
        <v/>
      </c>
      <c r="R44" s="20">
        <f>IF(AND(AH44,AI44,NOT(AJ44),NOT($AS$25),AK44,$AS$26,AM44,AN44,NOT(AL44)),"Yes","No")</f>
        <v/>
      </c>
      <c r="S44" s="20">
        <f>IF(OR(COUNTIF('Engine Lists'!$A:$A,$AS$14&amp;"|"&amp;AO44)&gt;0,COUNTIF('Engine Lists'!$A:$A,$AS$14&amp;"|"&amp;AP44)&gt;0,COUNTIF('Engine Lists'!$A:$A,$AS$15&amp;"|"&amp;AO44)&gt;0,COUNTIF('Engine Lists'!$A:$A,$AS$15&amp;"|"&amp;AP44)&gt;0,COUNTIF('Engine Lists'!$A:$A,$AS$21&amp;"|"&amp;I44)&gt;0),-8,0)</f>
        <v/>
      </c>
      <c r="T44" s="20">
        <f>IF(Q44=1,IF(OR($AS$8="A2",$AS$8="B1"),7,IF(OR($AS$8="B2",$AS$8="C1",$AS$8="C2"),-5,0)),0)</f>
        <v/>
      </c>
      <c r="U44" s="20">
        <f>IF(AND($AS$6=G44,OR($AS$6="Male",$AS$6="Female")),5,0)</f>
        <v/>
      </c>
      <c r="V44" s="20">
        <f>IF(AND($AS$24,$AS$11&lt;&gt;"In-Person",K44&lt;&gt;"In-Person"),-5,0)</f>
        <v/>
      </c>
      <c r="W44" s="20">
        <f>IF(OR($AS$11=K44,$AS$11="Either",K44="Either"),3,0)</f>
        <v/>
      </c>
      <c r="X44" s="20">
        <f>IF(AND($AS$11&lt;&gt;"Online",K44&lt;&gt;"Online",ISNUMBER($AS$22),ISNUMBER(IFERROR(VALUE(M44),"x"))),IF(ABS($AS$22-VALUE(M44))&lt;=50,3,0),0)</f>
        <v/>
      </c>
      <c r="Y44" s="20">
        <f>IF(AND($AS$10&lt;&gt;"",$AS$10=J44),3,0)</f>
        <v/>
      </c>
      <c r="Z44" s="20">
        <f>IF(OR(N($AS$13)&gt;=150,N(O44)&gt;=150),3,0)</f>
        <v/>
      </c>
      <c r="AA44" s="20">
        <f>IF(AND($AS$21&lt;&gt;"",$AS$21&lt;&gt;"NA",$AS$21=I44),2,0)</f>
        <v/>
      </c>
      <c r="AB44" s="20">
        <f>IF(OR(AND($AS$14&lt;&gt;"",$AS$14&lt;&gt;"NA",OR($AS$14=AO44,$AS$14=AP44)),AND($AS$15&lt;&gt;"",OR($AS$15=AO44,$AS$15=AP44))),2,0)</f>
        <v/>
      </c>
      <c r="AC44" s="20">
        <f>IF(AND(ISNUMBER($AS$12),ISNUMBER(N44),ABS($AS$12-N44)&lt;=10),2,0)</f>
        <v/>
      </c>
      <c r="AD44" s="20">
        <f>IF(R44="Yes",SUM(S44:AC44),"")</f>
        <v/>
      </c>
      <c r="AE44" s="20">
        <f>IF(R44="Yes","Score "&amp;AD44&amp;": "&amp;TRIM(IF(S44&lt;&gt;0,"−8 acrimonious; ","")&amp;IF(T44=7,"+7 shared language; ","")&amp;IF(T44=-5,"−5 shared lang(adv); ","")&amp;IF(U44=5,"+5 same-sex; ","")&amp;IF(V44=-5,"−5 online no device; ","")&amp;IF(W44=3,"+3 mode; ","")&amp;IF(X44=3,"+3 proximity; ","")&amp;IF(Y44=3,"+3 category; ","")&amp;IF(Z44=3,"+3 long wait; ","")&amp;IF(AA44=2,"+2 religion; ","")&amp;IF(AB44=2,"+2 nationality; ","")&amp;IF(AC44=2,"+2 age; ","")),"Not eligible: "&amp;IF(NOT(AH44),"tutor not pending/with-capacity",IF(NOT(AI44),"no spare capacity",IF(AJ44,"tutor blacklisted",IF($AS$25,"student blacklisted",IF(NOT(AK44),"tutor vetting incomplete",IF(NOT($AS$26),"student vetting incomplete",IF(NOT(AM44),"no overlapping 3h AEST block",IF(NOT(AN44),"A1 student needs a shared language",IF(AL44,"'do not pair' note present",""))))))))))</f>
        <v/>
      </c>
      <c r="AF44">
        <f>TRIM(IFERROR(LEFT('(B) Register of Participants'!$AR$22,FIND(" (",'(B) Register of Participants'!$AR$22)-1),'(B) Register of Participants'!$AR$22))</f>
        <v/>
      </c>
      <c r="AG44">
        <f>IF(ISNUMBER(SEARCH("Mandarin",'(B) Register of Participants'!$AR$22)),"Mandarin",IF(ISNUMBER(SEARCH("Cantonese",'(B) Register of Participants'!$AR$22)),"Cantonese",IF(OR(AF44="Dari",AF44="Farsi",AF44="Persian",AF44="Hazaragi"),"Persian",AF44)))</f>
        <v/>
      </c>
      <c r="AH44">
        <f>OR(E44="ADM-ACT-UNMAT",E44="ADM-ACT-MAT-CNE")</f>
        <v/>
      </c>
      <c r="AI44">
        <f>F44&gt;0</f>
        <v/>
      </c>
      <c r="AJ44">
        <f>LEFT('(B) Register of Participants'!$L$22,3)="Yes"</f>
        <v/>
      </c>
      <c r="AK44">
        <f>AND(OR(LEFT('(B) Register of Participants'!$AY$22,3)="Yes",LEFT('(B) Register of Participants'!$AY$22,2)="NA"),OR(LEFT('(B) Register of Participants'!$AZ$22,3)="Yes",LEFT('(B) Register of Participants'!$AZ$22,2)="NA"))</f>
        <v/>
      </c>
      <c r="AL44">
        <f>OR(ISNUMBER(SEARCH("do not pair",'(B) Register of Participants'!$BL$22)),ISNUMBER(SEARCH("do not pair",'(B) Register of Participants'!$BM$22)))</f>
        <v/>
      </c>
      <c r="AM44">
        <f>P44&gt;0</f>
        <v/>
      </c>
      <c r="AN44">
        <f>IF($AS$8="A1",Q44=1,TRUE)</f>
        <v/>
      </c>
      <c r="AO44">
        <f>TRIM(IFERROR(LEFT('(B) Register of Participants'!$AP$22,FIND(";",'(B) Register of Participants'!$AP$22)-1),'(B) Register of Participants'!$AP$22))</f>
        <v/>
      </c>
      <c r="AP44">
        <f>IF(ISNUMBER(FIND(";",'(B) Register of Participants'!$AP$22)),TRIM(MID('(B) Register of Participants'!$AP$22,FIND(";",'(B) Register of Participants'!$AP$22)+1,80)),"")</f>
        <v/>
      </c>
    </row>
    <row r="45">
      <c r="B45" s="20">
        <f>IF(R45="Yes",RANK(AD45,$AD$25:$AD$124),"")</f>
        <v/>
      </c>
      <c r="C45" s="20">
        <f>'(B) Register of Participants'!$A$23</f>
        <v/>
      </c>
      <c r="D45" s="20">
        <f>'(B) Register of Participants'!$B$23</f>
        <v/>
      </c>
      <c r="E45" s="20">
        <f>'(B) Register of Participants'!$J$23</f>
        <v/>
      </c>
      <c r="F45" s="20">
        <f>IFERROR('(B) Register of Participants'!$O$23-'(B) Register of Participants'!$P$23,0)</f>
        <v/>
      </c>
      <c r="G45" s="20">
        <f>'(B) Register of Participants'!$AL$23</f>
        <v/>
      </c>
      <c r="H45" s="20">
        <f>'(B) Register of Participants'!$AP$23</f>
        <v/>
      </c>
      <c r="I45" s="20">
        <f>TRIM(IFERROR(LEFT('(B) Register of Participants'!$AS$23,FIND(" (",'(B) Register of Participants'!$AS$23)-1),'(B) Register of Participants'!$AS$23))</f>
        <v/>
      </c>
      <c r="J45" s="20">
        <f>'(B) Register of Participants'!$AT$23</f>
        <v/>
      </c>
      <c r="K45" s="20">
        <f>'(B) Register of Participants'!$AE$23</f>
        <v/>
      </c>
      <c r="L45" s="20">
        <f>'(B) Register of Participants'!$AF$23</f>
        <v/>
      </c>
      <c r="M45" s="20">
        <f>'(B) Register of Participants'!$AJ$23</f>
        <v/>
      </c>
      <c r="N45" s="20">
        <f>'(B) Register of Participants'!$CY$23</f>
        <v/>
      </c>
      <c r="O45" s="20">
        <f>'(B) Register of Participants'!$CW$23</f>
        <v/>
      </c>
      <c r="P45" s="20">
        <f>(ISNUMBER(SEARCH("6am-9am",$AS$27))*ISNUMBER(SEARCH("6am-9am",'(B) Register of Participants'!$X$23)))+(ISNUMBER(SEARCH("9am-12pm",$AS$27))*ISNUMBER(SEARCH("9am-12pm",'(B) Register of Participants'!$X$23)))+(ISNUMBER(SEARCH("12pm-3pm",$AS$27))*ISNUMBER(SEARCH("12pm-3pm",'(B) Register of Participants'!$X$23)))+(ISNUMBER(SEARCH("3pm-6pm",$AS$27))*ISNUMBER(SEARCH("3pm-6pm",'(B) Register of Participants'!$X$23)))+(ISNUMBER(SEARCH("6pm-9pm",$AS$27))*ISNUMBER(SEARCH("6pm-9pm",'(B) Register of Participants'!$X$23)))+(ISNUMBER(SEARCH("6am-9am",$AS$28))*ISNUMBER(SEARCH("6am-9am",'(B) Register of Participants'!$Y$23)))+(ISNUMBER(SEARCH("9am-12pm",$AS$28))*ISNUMBER(SEARCH("9am-12pm",'(B) Register of Participants'!$Y$23)))+(ISNUMBER(SEARCH("12pm-3pm",$AS$28))*ISNUMBER(SEARCH("12pm-3pm",'(B) Register of Participants'!$Y$23)))+(ISNUMBER(SEARCH("3pm-6pm",$AS$28))*ISNUMBER(SEARCH("3pm-6pm",'(B) Register of Participants'!$Y$23)))+(ISNUMBER(SEARCH("6pm-9pm",$AS$28))*ISNUMBER(SEARCH("6pm-9pm",'(B) Register of Participants'!$Y$23)))+(ISNUMBER(SEARCH("6am-9am",$AS$29))*ISNUMBER(SEARCH("6am-9am",'(B) Register of Participants'!$Z$23)))+(ISNUMBER(SEARCH("9am-12pm",$AS$29))*ISNUMBER(SEARCH("9am-12pm",'(B) Register of Participants'!$Z$23)))+(ISNUMBER(SEARCH("12pm-3pm",$AS$29))*ISNUMBER(SEARCH("12pm-3pm",'(B) Register of Participants'!$Z$23)))+(ISNUMBER(SEARCH("3pm-6pm",$AS$29))*ISNUMBER(SEARCH("3pm-6pm",'(B) Register of Participants'!$Z$23)))+(ISNUMBER(SEARCH("6pm-9pm",$AS$29))*ISNUMBER(SEARCH("6pm-9pm",'(B) Register of Participants'!$Z$23)))+(ISNUMBER(SEARCH("6am-9am",$AS$30))*ISNUMBER(SEARCH("6am-9am",'(B) Register of Participants'!$AA$23)))+(ISNUMBER(SEARCH("9am-12pm",$AS$30))*ISNUMBER(SEARCH("9am-12pm",'(B) Register of Participants'!$AA$23)))+(ISNUMBER(SEARCH("12pm-3pm",$AS$30))*ISNUMBER(SEARCH("12pm-3pm",'(B) Register of Participants'!$AA$23)))+(ISNUMBER(SEARCH("3pm-6pm",$AS$30))*ISNUMBER(SEARCH("3pm-6pm",'(B) Register of Participants'!$AA$23)))+(ISNUMBER(SEARCH("6pm-9pm",$AS$30))*ISNUMBER(SEARCH("6pm-9pm",'(B) Register of Participants'!$AA$23)))+(ISNUMBER(SEARCH("6am-9am",$AS$31))*ISNUMBER(SEARCH("6am-9am",'(B) Register of Participants'!$AB$23)))+(ISNUMBER(SEARCH("9am-12pm",$AS$31))*ISNUMBER(SEARCH("9am-12pm",'(B) Register of Participants'!$AB$23)))+(ISNUMBER(SEARCH("12pm-3pm",$AS$31))*ISNUMBER(SEARCH("12pm-3pm",'(B) Register of Participants'!$AB$23)))+(ISNUMBER(SEARCH("3pm-6pm",$AS$31))*ISNUMBER(SEARCH("3pm-6pm",'(B) Register of Participants'!$AB$23)))+(ISNUMBER(SEARCH("6pm-9pm",$AS$31))*ISNUMBER(SEARCH("6pm-9pm",'(B) Register of Participants'!$AB$23)))+(ISNUMBER(SEARCH("6am-9am",$AS$32))*ISNUMBER(SEARCH("6am-9am",'(B) Register of Participants'!$AC$23)))+(ISNUMBER(SEARCH("9am-12pm",$AS$32))*ISNUMBER(SEARCH("9am-12pm",'(B) Register of Participants'!$AC$23)))+(ISNUMBER(SEARCH("12pm-3pm",$AS$32))*ISNUMBER(SEARCH("12pm-3pm",'(B) Register of Participants'!$AC$23)))+(ISNUMBER(SEARCH("3pm-6pm",$AS$32))*ISNUMBER(SEARCH("3pm-6pm",'(B) Register of Participants'!$AC$23)))+(ISNUMBER(SEARCH("6pm-9pm",$AS$32))*ISNUMBER(SEARCH("6pm-9pm",'(B) Register of Participants'!$AC$23)))+(ISNUMBER(SEARCH("6am-9am",$AS$33))*ISNUMBER(SEARCH("6am-9am",'(B) Register of Participants'!$AD$23)))+(ISNUMBER(SEARCH("9am-12pm",$AS$33))*ISNUMBER(SEARCH("9am-12pm",'(B) Register of Participants'!$AD$23)))+(ISNUMBER(SEARCH("12pm-3pm",$AS$33))*ISNUMBER(SEARCH("12pm-3pm",'(B) Register of Participants'!$AD$23)))+(ISNUMBER(SEARCH("3pm-6pm",$AS$33))*ISNUMBER(SEARCH("3pm-6pm",'(B) Register of Participants'!$AD$23)))+(ISNUMBER(SEARCH("6pm-9pm",$AS$33))*ISNUMBER(SEARCH("6pm-9pm",'(B) Register of Participants'!$AD$23)))</f>
        <v/>
      </c>
      <c r="Q45" s="20">
        <f>IF(OR(AND($AS$17&lt;&gt;"",$AS$17&lt;&gt;"English",IF($AS$17="Persian",OR(ISNUMBER(SEARCH("Dari",'(B) Register of Participants'!$AR$23)),ISNUMBER(SEARCH("Farsi",'(B) Register of Participants'!$AR$23)),ISNUMBER(SEARCH("Persian",'(B) Register of Participants'!$AR$23)),ISNUMBER(SEARCH("Hazaragi",'(B) Register of Participants'!$AR$23))),ISNUMBER(SEARCH($AS$17,'(B) Register of Participants'!$AR$23)))),AND($AS$20&lt;&gt;"",$AS$20&lt;&gt;"English",IF($AS$20="Persian",OR(ISNUMBER(SEARCH("Dari",'(B) Register of Participants'!$AR$23)),ISNUMBER(SEARCH("Farsi",'(B) Register of Participants'!$AR$23)),ISNUMBER(SEARCH("Persian",'(B) Register of Participants'!$AR$23)),ISNUMBER(SEARCH("Hazaragi",'(B) Register of Participants'!$AR$23))),ISNUMBER(SEARCH($AS$20,'(B) Register of Participants'!$AR$23))))),1,0)</f>
        <v/>
      </c>
      <c r="R45" s="20">
        <f>IF(AND(AH45,AI45,NOT(AJ45),NOT($AS$25),AK45,$AS$26,AM45,AN45,NOT(AL45)),"Yes","No")</f>
        <v/>
      </c>
      <c r="S45" s="20">
        <f>IF(OR(COUNTIF('Engine Lists'!$A:$A,$AS$14&amp;"|"&amp;AO45)&gt;0,COUNTIF('Engine Lists'!$A:$A,$AS$14&amp;"|"&amp;AP45)&gt;0,COUNTIF('Engine Lists'!$A:$A,$AS$15&amp;"|"&amp;AO45)&gt;0,COUNTIF('Engine Lists'!$A:$A,$AS$15&amp;"|"&amp;AP45)&gt;0,COUNTIF('Engine Lists'!$A:$A,$AS$21&amp;"|"&amp;I45)&gt;0),-8,0)</f>
        <v/>
      </c>
      <c r="T45" s="20">
        <f>IF(Q45=1,IF(OR($AS$8="A2",$AS$8="B1"),7,IF(OR($AS$8="B2",$AS$8="C1",$AS$8="C2"),-5,0)),0)</f>
        <v/>
      </c>
      <c r="U45" s="20">
        <f>IF(AND($AS$6=G45,OR($AS$6="Male",$AS$6="Female")),5,0)</f>
        <v/>
      </c>
      <c r="V45" s="20">
        <f>IF(AND($AS$24,$AS$11&lt;&gt;"In-Person",K45&lt;&gt;"In-Person"),-5,0)</f>
        <v/>
      </c>
      <c r="W45" s="20">
        <f>IF(OR($AS$11=K45,$AS$11="Either",K45="Either"),3,0)</f>
        <v/>
      </c>
      <c r="X45" s="20">
        <f>IF(AND($AS$11&lt;&gt;"Online",K45&lt;&gt;"Online",ISNUMBER($AS$22),ISNUMBER(IFERROR(VALUE(M45),"x"))),IF(ABS($AS$22-VALUE(M45))&lt;=50,3,0),0)</f>
        <v/>
      </c>
      <c r="Y45" s="20">
        <f>IF(AND($AS$10&lt;&gt;"",$AS$10=J45),3,0)</f>
        <v/>
      </c>
      <c r="Z45" s="20">
        <f>IF(OR(N($AS$13)&gt;=150,N(O45)&gt;=150),3,0)</f>
        <v/>
      </c>
      <c r="AA45" s="20">
        <f>IF(AND($AS$21&lt;&gt;"",$AS$21&lt;&gt;"NA",$AS$21=I45),2,0)</f>
        <v/>
      </c>
      <c r="AB45" s="20">
        <f>IF(OR(AND($AS$14&lt;&gt;"",$AS$14&lt;&gt;"NA",OR($AS$14=AO45,$AS$14=AP45)),AND($AS$15&lt;&gt;"",OR($AS$15=AO45,$AS$15=AP45))),2,0)</f>
        <v/>
      </c>
      <c r="AC45" s="20">
        <f>IF(AND(ISNUMBER($AS$12),ISNUMBER(N45),ABS($AS$12-N45)&lt;=10),2,0)</f>
        <v/>
      </c>
      <c r="AD45" s="20">
        <f>IF(R45="Yes",SUM(S45:AC45),"")</f>
        <v/>
      </c>
      <c r="AE45" s="20">
        <f>IF(R45="Yes","Score "&amp;AD45&amp;": "&amp;TRIM(IF(S45&lt;&gt;0,"−8 acrimonious; ","")&amp;IF(T45=7,"+7 shared language; ","")&amp;IF(T45=-5,"−5 shared lang(adv); ","")&amp;IF(U45=5,"+5 same-sex; ","")&amp;IF(V45=-5,"−5 online no device; ","")&amp;IF(W45=3,"+3 mode; ","")&amp;IF(X45=3,"+3 proximity; ","")&amp;IF(Y45=3,"+3 category; ","")&amp;IF(Z45=3,"+3 long wait; ","")&amp;IF(AA45=2,"+2 religion; ","")&amp;IF(AB45=2,"+2 nationality; ","")&amp;IF(AC45=2,"+2 age; ","")),"Not eligible: "&amp;IF(NOT(AH45),"tutor not pending/with-capacity",IF(NOT(AI45),"no spare capacity",IF(AJ45,"tutor blacklisted",IF($AS$25,"student blacklisted",IF(NOT(AK45),"tutor vetting incomplete",IF(NOT($AS$26),"student vetting incomplete",IF(NOT(AM45),"no overlapping 3h AEST block",IF(NOT(AN45),"A1 student needs a shared language",IF(AL45,"'do not pair' note present",""))))))))))</f>
        <v/>
      </c>
      <c r="AF45">
        <f>TRIM(IFERROR(LEFT('(B) Register of Participants'!$AR$23,FIND(" (",'(B) Register of Participants'!$AR$23)-1),'(B) Register of Participants'!$AR$23))</f>
        <v/>
      </c>
      <c r="AG45">
        <f>IF(ISNUMBER(SEARCH("Mandarin",'(B) Register of Participants'!$AR$23)),"Mandarin",IF(ISNUMBER(SEARCH("Cantonese",'(B) Register of Participants'!$AR$23)),"Cantonese",IF(OR(AF45="Dari",AF45="Farsi",AF45="Persian",AF45="Hazaragi"),"Persian",AF45)))</f>
        <v/>
      </c>
      <c r="AH45">
        <f>OR(E45="ADM-ACT-UNMAT",E45="ADM-ACT-MAT-CNE")</f>
        <v/>
      </c>
      <c r="AI45">
        <f>F45&gt;0</f>
        <v/>
      </c>
      <c r="AJ45">
        <f>LEFT('(B) Register of Participants'!$L$23,3)="Yes"</f>
        <v/>
      </c>
      <c r="AK45">
        <f>AND(OR(LEFT('(B) Register of Participants'!$AY$23,3)="Yes",LEFT('(B) Register of Participants'!$AY$23,2)="NA"),OR(LEFT('(B) Register of Participants'!$AZ$23,3)="Yes",LEFT('(B) Register of Participants'!$AZ$23,2)="NA"))</f>
        <v/>
      </c>
      <c r="AL45">
        <f>OR(ISNUMBER(SEARCH("do not pair",'(B) Register of Participants'!$BL$23)),ISNUMBER(SEARCH("do not pair",'(B) Register of Participants'!$BM$23)))</f>
        <v/>
      </c>
      <c r="AM45">
        <f>P45&gt;0</f>
        <v/>
      </c>
      <c r="AN45">
        <f>IF($AS$8="A1",Q45=1,TRUE)</f>
        <v/>
      </c>
      <c r="AO45">
        <f>TRIM(IFERROR(LEFT('(B) Register of Participants'!$AP$23,FIND(";",'(B) Register of Participants'!$AP$23)-1),'(B) Register of Participants'!$AP$23))</f>
        <v/>
      </c>
      <c r="AP45">
        <f>IF(ISNUMBER(FIND(";",'(B) Register of Participants'!$AP$23)),TRIM(MID('(B) Register of Participants'!$AP$23,FIND(";",'(B) Register of Participants'!$AP$23)+1,80)),"")</f>
        <v/>
      </c>
    </row>
    <row r="46">
      <c r="B46" s="20">
        <f>IF(R46="Yes",RANK(AD46,$AD$25:$AD$124),"")</f>
        <v/>
      </c>
      <c r="C46" s="20">
        <f>'(B) Register of Participants'!$A$24</f>
        <v/>
      </c>
      <c r="D46" s="20">
        <f>'(B) Register of Participants'!$B$24</f>
        <v/>
      </c>
      <c r="E46" s="20">
        <f>'(B) Register of Participants'!$J$24</f>
        <v/>
      </c>
      <c r="F46" s="20">
        <f>IFERROR('(B) Register of Participants'!$O$24-'(B) Register of Participants'!$P$24,0)</f>
        <v/>
      </c>
      <c r="G46" s="20">
        <f>'(B) Register of Participants'!$AL$24</f>
        <v/>
      </c>
      <c r="H46" s="20">
        <f>'(B) Register of Participants'!$AP$24</f>
        <v/>
      </c>
      <c r="I46" s="20">
        <f>TRIM(IFERROR(LEFT('(B) Register of Participants'!$AS$24,FIND(" (",'(B) Register of Participants'!$AS$24)-1),'(B) Register of Participants'!$AS$24))</f>
        <v/>
      </c>
      <c r="J46" s="20">
        <f>'(B) Register of Participants'!$AT$24</f>
        <v/>
      </c>
      <c r="K46" s="20">
        <f>'(B) Register of Participants'!$AE$24</f>
        <v/>
      </c>
      <c r="L46" s="20">
        <f>'(B) Register of Participants'!$AF$24</f>
        <v/>
      </c>
      <c r="M46" s="20">
        <f>'(B) Register of Participants'!$AJ$24</f>
        <v/>
      </c>
      <c r="N46" s="20">
        <f>'(B) Register of Participants'!$CY$24</f>
        <v/>
      </c>
      <c r="O46" s="20">
        <f>'(B) Register of Participants'!$CW$24</f>
        <v/>
      </c>
      <c r="P46" s="20">
        <f>(ISNUMBER(SEARCH("6am-9am",$AS$27))*ISNUMBER(SEARCH("6am-9am",'(B) Register of Participants'!$X$24)))+(ISNUMBER(SEARCH("9am-12pm",$AS$27))*ISNUMBER(SEARCH("9am-12pm",'(B) Register of Participants'!$X$24)))+(ISNUMBER(SEARCH("12pm-3pm",$AS$27))*ISNUMBER(SEARCH("12pm-3pm",'(B) Register of Participants'!$X$24)))+(ISNUMBER(SEARCH("3pm-6pm",$AS$27))*ISNUMBER(SEARCH("3pm-6pm",'(B) Register of Participants'!$X$24)))+(ISNUMBER(SEARCH("6pm-9pm",$AS$27))*ISNUMBER(SEARCH("6pm-9pm",'(B) Register of Participants'!$X$24)))+(ISNUMBER(SEARCH("6am-9am",$AS$28))*ISNUMBER(SEARCH("6am-9am",'(B) Register of Participants'!$Y$24)))+(ISNUMBER(SEARCH("9am-12pm",$AS$28))*ISNUMBER(SEARCH("9am-12pm",'(B) Register of Participants'!$Y$24)))+(ISNUMBER(SEARCH("12pm-3pm",$AS$28))*ISNUMBER(SEARCH("12pm-3pm",'(B) Register of Participants'!$Y$24)))+(ISNUMBER(SEARCH("3pm-6pm",$AS$28))*ISNUMBER(SEARCH("3pm-6pm",'(B) Register of Participants'!$Y$24)))+(ISNUMBER(SEARCH("6pm-9pm",$AS$28))*ISNUMBER(SEARCH("6pm-9pm",'(B) Register of Participants'!$Y$24)))+(ISNUMBER(SEARCH("6am-9am",$AS$29))*ISNUMBER(SEARCH("6am-9am",'(B) Register of Participants'!$Z$24)))+(ISNUMBER(SEARCH("9am-12pm",$AS$29))*ISNUMBER(SEARCH("9am-12pm",'(B) Register of Participants'!$Z$24)))+(ISNUMBER(SEARCH("12pm-3pm",$AS$29))*ISNUMBER(SEARCH("12pm-3pm",'(B) Register of Participants'!$Z$24)))+(ISNUMBER(SEARCH("3pm-6pm",$AS$29))*ISNUMBER(SEARCH("3pm-6pm",'(B) Register of Participants'!$Z$24)))+(ISNUMBER(SEARCH("6pm-9pm",$AS$29))*ISNUMBER(SEARCH("6pm-9pm",'(B) Register of Participants'!$Z$24)))+(ISNUMBER(SEARCH("6am-9am",$AS$30))*ISNUMBER(SEARCH("6am-9am",'(B) Register of Participants'!$AA$24)))+(ISNUMBER(SEARCH("9am-12pm",$AS$30))*ISNUMBER(SEARCH("9am-12pm",'(B) Register of Participants'!$AA$24)))+(ISNUMBER(SEARCH("12pm-3pm",$AS$30))*ISNUMBER(SEARCH("12pm-3pm",'(B) Register of Participants'!$AA$24)))+(ISNUMBER(SEARCH("3pm-6pm",$AS$30))*ISNUMBER(SEARCH("3pm-6pm",'(B) Register of Participants'!$AA$24)))+(ISNUMBER(SEARCH("6pm-9pm",$AS$30))*ISNUMBER(SEARCH("6pm-9pm",'(B) Register of Participants'!$AA$24)))+(ISNUMBER(SEARCH("6am-9am",$AS$31))*ISNUMBER(SEARCH("6am-9am",'(B) Register of Participants'!$AB$24)))+(ISNUMBER(SEARCH("9am-12pm",$AS$31))*ISNUMBER(SEARCH("9am-12pm",'(B) Register of Participants'!$AB$24)))+(ISNUMBER(SEARCH("12pm-3pm",$AS$31))*ISNUMBER(SEARCH("12pm-3pm",'(B) Register of Participants'!$AB$24)))+(ISNUMBER(SEARCH("3pm-6pm",$AS$31))*ISNUMBER(SEARCH("3pm-6pm",'(B) Register of Participants'!$AB$24)))+(ISNUMBER(SEARCH("6pm-9pm",$AS$31))*ISNUMBER(SEARCH("6pm-9pm",'(B) Register of Participants'!$AB$24)))+(ISNUMBER(SEARCH("6am-9am",$AS$32))*ISNUMBER(SEARCH("6am-9am",'(B) Register of Participants'!$AC$24)))+(ISNUMBER(SEARCH("9am-12pm",$AS$32))*ISNUMBER(SEARCH("9am-12pm",'(B) Register of Participants'!$AC$24)))+(ISNUMBER(SEARCH("12pm-3pm",$AS$32))*ISNUMBER(SEARCH("12pm-3pm",'(B) Register of Participants'!$AC$24)))+(ISNUMBER(SEARCH("3pm-6pm",$AS$32))*ISNUMBER(SEARCH("3pm-6pm",'(B) Register of Participants'!$AC$24)))+(ISNUMBER(SEARCH("6pm-9pm",$AS$32))*ISNUMBER(SEARCH("6pm-9pm",'(B) Register of Participants'!$AC$24)))+(ISNUMBER(SEARCH("6am-9am",$AS$33))*ISNUMBER(SEARCH("6am-9am",'(B) Register of Participants'!$AD$24)))+(ISNUMBER(SEARCH("9am-12pm",$AS$33))*ISNUMBER(SEARCH("9am-12pm",'(B) Register of Participants'!$AD$24)))+(ISNUMBER(SEARCH("12pm-3pm",$AS$33))*ISNUMBER(SEARCH("12pm-3pm",'(B) Register of Participants'!$AD$24)))+(ISNUMBER(SEARCH("3pm-6pm",$AS$33))*ISNUMBER(SEARCH("3pm-6pm",'(B) Register of Participants'!$AD$24)))+(ISNUMBER(SEARCH("6pm-9pm",$AS$33))*ISNUMBER(SEARCH("6pm-9pm",'(B) Register of Participants'!$AD$24)))</f>
        <v/>
      </c>
      <c r="Q46" s="20">
        <f>IF(OR(AND($AS$17&lt;&gt;"",$AS$17&lt;&gt;"English",IF($AS$17="Persian",OR(ISNUMBER(SEARCH("Dari",'(B) Register of Participants'!$AR$24)),ISNUMBER(SEARCH("Farsi",'(B) Register of Participants'!$AR$24)),ISNUMBER(SEARCH("Persian",'(B) Register of Participants'!$AR$24)),ISNUMBER(SEARCH("Hazaragi",'(B) Register of Participants'!$AR$24))),ISNUMBER(SEARCH($AS$17,'(B) Register of Participants'!$AR$24)))),AND($AS$20&lt;&gt;"",$AS$20&lt;&gt;"English",IF($AS$20="Persian",OR(ISNUMBER(SEARCH("Dari",'(B) Register of Participants'!$AR$24)),ISNUMBER(SEARCH("Farsi",'(B) Register of Participants'!$AR$24)),ISNUMBER(SEARCH("Persian",'(B) Register of Participants'!$AR$24)),ISNUMBER(SEARCH("Hazaragi",'(B) Register of Participants'!$AR$24))),ISNUMBER(SEARCH($AS$20,'(B) Register of Participants'!$AR$24))))),1,0)</f>
        <v/>
      </c>
      <c r="R46" s="20">
        <f>IF(AND(AH46,AI46,NOT(AJ46),NOT($AS$25),AK46,$AS$26,AM46,AN46,NOT(AL46)),"Yes","No")</f>
        <v/>
      </c>
      <c r="S46" s="20">
        <f>IF(OR(COUNTIF('Engine Lists'!$A:$A,$AS$14&amp;"|"&amp;AO46)&gt;0,COUNTIF('Engine Lists'!$A:$A,$AS$14&amp;"|"&amp;AP46)&gt;0,COUNTIF('Engine Lists'!$A:$A,$AS$15&amp;"|"&amp;AO46)&gt;0,COUNTIF('Engine Lists'!$A:$A,$AS$15&amp;"|"&amp;AP46)&gt;0,COUNTIF('Engine Lists'!$A:$A,$AS$21&amp;"|"&amp;I46)&gt;0),-8,0)</f>
        <v/>
      </c>
      <c r="T46" s="20">
        <f>IF(Q46=1,IF(OR($AS$8="A2",$AS$8="B1"),7,IF(OR($AS$8="B2",$AS$8="C1",$AS$8="C2"),-5,0)),0)</f>
        <v/>
      </c>
      <c r="U46" s="20">
        <f>IF(AND($AS$6=G46,OR($AS$6="Male",$AS$6="Female")),5,0)</f>
        <v/>
      </c>
      <c r="V46" s="20">
        <f>IF(AND($AS$24,$AS$11&lt;&gt;"In-Person",K46&lt;&gt;"In-Person"),-5,0)</f>
        <v/>
      </c>
      <c r="W46" s="20">
        <f>IF(OR($AS$11=K46,$AS$11="Either",K46="Either"),3,0)</f>
        <v/>
      </c>
      <c r="X46" s="20">
        <f>IF(AND($AS$11&lt;&gt;"Online",K46&lt;&gt;"Online",ISNUMBER($AS$22),ISNUMBER(IFERROR(VALUE(M46),"x"))),IF(ABS($AS$22-VALUE(M46))&lt;=50,3,0),0)</f>
        <v/>
      </c>
      <c r="Y46" s="20">
        <f>IF(AND($AS$10&lt;&gt;"",$AS$10=J46),3,0)</f>
        <v/>
      </c>
      <c r="Z46" s="20">
        <f>IF(OR(N($AS$13)&gt;=150,N(O46)&gt;=150),3,0)</f>
        <v/>
      </c>
      <c r="AA46" s="20">
        <f>IF(AND($AS$21&lt;&gt;"",$AS$21&lt;&gt;"NA",$AS$21=I46),2,0)</f>
        <v/>
      </c>
      <c r="AB46" s="20">
        <f>IF(OR(AND($AS$14&lt;&gt;"",$AS$14&lt;&gt;"NA",OR($AS$14=AO46,$AS$14=AP46)),AND($AS$15&lt;&gt;"",OR($AS$15=AO46,$AS$15=AP46))),2,0)</f>
        <v/>
      </c>
      <c r="AC46" s="20">
        <f>IF(AND(ISNUMBER($AS$12),ISNUMBER(N46),ABS($AS$12-N46)&lt;=10),2,0)</f>
        <v/>
      </c>
      <c r="AD46" s="20">
        <f>IF(R46="Yes",SUM(S46:AC46),"")</f>
        <v/>
      </c>
      <c r="AE46" s="20">
        <f>IF(R46="Yes","Score "&amp;AD46&amp;": "&amp;TRIM(IF(S46&lt;&gt;0,"−8 acrimonious; ","")&amp;IF(T46=7,"+7 shared language; ","")&amp;IF(T46=-5,"−5 shared lang(adv); ","")&amp;IF(U46=5,"+5 same-sex; ","")&amp;IF(V46=-5,"−5 online no device; ","")&amp;IF(W46=3,"+3 mode; ","")&amp;IF(X46=3,"+3 proximity; ","")&amp;IF(Y46=3,"+3 category; ","")&amp;IF(Z46=3,"+3 long wait; ","")&amp;IF(AA46=2,"+2 religion; ","")&amp;IF(AB46=2,"+2 nationality; ","")&amp;IF(AC46=2,"+2 age; ","")),"Not eligible: "&amp;IF(NOT(AH46),"tutor not pending/with-capacity",IF(NOT(AI46),"no spare capacity",IF(AJ46,"tutor blacklisted",IF($AS$25,"student blacklisted",IF(NOT(AK46),"tutor vetting incomplete",IF(NOT($AS$26),"student vetting incomplete",IF(NOT(AM46),"no overlapping 3h AEST block",IF(NOT(AN46),"A1 student needs a shared language",IF(AL46,"'do not pair' note present",""))))))))))</f>
        <v/>
      </c>
      <c r="AF46">
        <f>TRIM(IFERROR(LEFT('(B) Register of Participants'!$AR$24,FIND(" (",'(B) Register of Participants'!$AR$24)-1),'(B) Register of Participants'!$AR$24))</f>
        <v/>
      </c>
      <c r="AG46">
        <f>IF(ISNUMBER(SEARCH("Mandarin",'(B) Register of Participants'!$AR$24)),"Mandarin",IF(ISNUMBER(SEARCH("Cantonese",'(B) Register of Participants'!$AR$24)),"Cantonese",IF(OR(AF46="Dari",AF46="Farsi",AF46="Persian",AF46="Hazaragi"),"Persian",AF46)))</f>
        <v/>
      </c>
      <c r="AH46">
        <f>OR(E46="ADM-ACT-UNMAT",E46="ADM-ACT-MAT-CNE")</f>
        <v/>
      </c>
      <c r="AI46">
        <f>F46&gt;0</f>
        <v/>
      </c>
      <c r="AJ46">
        <f>LEFT('(B) Register of Participants'!$L$24,3)="Yes"</f>
        <v/>
      </c>
      <c r="AK46">
        <f>AND(OR(LEFT('(B) Register of Participants'!$AY$24,3)="Yes",LEFT('(B) Register of Participants'!$AY$24,2)="NA"),OR(LEFT('(B) Register of Participants'!$AZ$24,3)="Yes",LEFT('(B) Register of Participants'!$AZ$24,2)="NA"))</f>
        <v/>
      </c>
      <c r="AL46">
        <f>OR(ISNUMBER(SEARCH("do not pair",'(B) Register of Participants'!$BL$24)),ISNUMBER(SEARCH("do not pair",'(B) Register of Participants'!$BM$24)))</f>
        <v/>
      </c>
      <c r="AM46">
        <f>P46&gt;0</f>
        <v/>
      </c>
      <c r="AN46">
        <f>IF($AS$8="A1",Q46=1,TRUE)</f>
        <v/>
      </c>
      <c r="AO46">
        <f>TRIM(IFERROR(LEFT('(B) Register of Participants'!$AP$24,FIND(";",'(B) Register of Participants'!$AP$24)-1),'(B) Register of Participants'!$AP$24))</f>
        <v/>
      </c>
      <c r="AP46">
        <f>IF(ISNUMBER(FIND(";",'(B) Register of Participants'!$AP$24)),TRIM(MID('(B) Register of Participants'!$AP$24,FIND(";",'(B) Register of Participants'!$AP$24)+1,80)),"")</f>
        <v/>
      </c>
    </row>
    <row r="47">
      <c r="B47" s="20">
        <f>IF(R47="Yes",RANK(AD47,$AD$25:$AD$124),"")</f>
        <v/>
      </c>
      <c r="C47" s="20">
        <f>'(B) Register of Participants'!$A$25</f>
        <v/>
      </c>
      <c r="D47" s="20">
        <f>'(B) Register of Participants'!$B$25</f>
        <v/>
      </c>
      <c r="E47" s="20">
        <f>'(B) Register of Participants'!$J$25</f>
        <v/>
      </c>
      <c r="F47" s="20">
        <f>IFERROR('(B) Register of Participants'!$O$25-'(B) Register of Participants'!$P$25,0)</f>
        <v/>
      </c>
      <c r="G47" s="20">
        <f>'(B) Register of Participants'!$AL$25</f>
        <v/>
      </c>
      <c r="H47" s="20">
        <f>'(B) Register of Participants'!$AP$25</f>
        <v/>
      </c>
      <c r="I47" s="20">
        <f>TRIM(IFERROR(LEFT('(B) Register of Participants'!$AS$25,FIND(" (",'(B) Register of Participants'!$AS$25)-1),'(B) Register of Participants'!$AS$25))</f>
        <v/>
      </c>
      <c r="J47" s="20">
        <f>'(B) Register of Participants'!$AT$25</f>
        <v/>
      </c>
      <c r="K47" s="20">
        <f>'(B) Register of Participants'!$AE$25</f>
        <v/>
      </c>
      <c r="L47" s="20">
        <f>'(B) Register of Participants'!$AF$25</f>
        <v/>
      </c>
      <c r="M47" s="20">
        <f>'(B) Register of Participants'!$AJ$25</f>
        <v/>
      </c>
      <c r="N47" s="20">
        <f>'(B) Register of Participants'!$CY$25</f>
        <v/>
      </c>
      <c r="O47" s="20">
        <f>'(B) Register of Participants'!$CW$25</f>
        <v/>
      </c>
      <c r="P47" s="20">
        <f>(ISNUMBER(SEARCH("6am-9am",$AS$27))*ISNUMBER(SEARCH("6am-9am",'(B) Register of Participants'!$X$25)))+(ISNUMBER(SEARCH("9am-12pm",$AS$27))*ISNUMBER(SEARCH("9am-12pm",'(B) Register of Participants'!$X$25)))+(ISNUMBER(SEARCH("12pm-3pm",$AS$27))*ISNUMBER(SEARCH("12pm-3pm",'(B) Register of Participants'!$X$25)))+(ISNUMBER(SEARCH("3pm-6pm",$AS$27))*ISNUMBER(SEARCH("3pm-6pm",'(B) Register of Participants'!$X$25)))+(ISNUMBER(SEARCH("6pm-9pm",$AS$27))*ISNUMBER(SEARCH("6pm-9pm",'(B) Register of Participants'!$X$25)))+(ISNUMBER(SEARCH("6am-9am",$AS$28))*ISNUMBER(SEARCH("6am-9am",'(B) Register of Participants'!$Y$25)))+(ISNUMBER(SEARCH("9am-12pm",$AS$28))*ISNUMBER(SEARCH("9am-12pm",'(B) Register of Participants'!$Y$25)))+(ISNUMBER(SEARCH("12pm-3pm",$AS$28))*ISNUMBER(SEARCH("12pm-3pm",'(B) Register of Participants'!$Y$25)))+(ISNUMBER(SEARCH("3pm-6pm",$AS$28))*ISNUMBER(SEARCH("3pm-6pm",'(B) Register of Participants'!$Y$25)))+(ISNUMBER(SEARCH("6pm-9pm",$AS$28))*ISNUMBER(SEARCH("6pm-9pm",'(B) Register of Participants'!$Y$25)))+(ISNUMBER(SEARCH("6am-9am",$AS$29))*ISNUMBER(SEARCH("6am-9am",'(B) Register of Participants'!$Z$25)))+(ISNUMBER(SEARCH("9am-12pm",$AS$29))*ISNUMBER(SEARCH("9am-12pm",'(B) Register of Participants'!$Z$25)))+(ISNUMBER(SEARCH("12pm-3pm",$AS$29))*ISNUMBER(SEARCH("12pm-3pm",'(B) Register of Participants'!$Z$25)))+(ISNUMBER(SEARCH("3pm-6pm",$AS$29))*ISNUMBER(SEARCH("3pm-6pm",'(B) Register of Participants'!$Z$25)))+(ISNUMBER(SEARCH("6pm-9pm",$AS$29))*ISNUMBER(SEARCH("6pm-9pm",'(B) Register of Participants'!$Z$25)))+(ISNUMBER(SEARCH("6am-9am",$AS$30))*ISNUMBER(SEARCH("6am-9am",'(B) Register of Participants'!$AA$25)))+(ISNUMBER(SEARCH("9am-12pm",$AS$30))*ISNUMBER(SEARCH("9am-12pm",'(B) Register of Participants'!$AA$25)))+(ISNUMBER(SEARCH("12pm-3pm",$AS$30))*ISNUMBER(SEARCH("12pm-3pm",'(B) Register of Participants'!$AA$25)))+(ISNUMBER(SEARCH("3pm-6pm",$AS$30))*ISNUMBER(SEARCH("3pm-6pm",'(B) Register of Participants'!$AA$25)))+(ISNUMBER(SEARCH("6pm-9pm",$AS$30))*ISNUMBER(SEARCH("6pm-9pm",'(B) Register of Participants'!$AA$25)))+(ISNUMBER(SEARCH("6am-9am",$AS$31))*ISNUMBER(SEARCH("6am-9am",'(B) Register of Participants'!$AB$25)))+(ISNUMBER(SEARCH("9am-12pm",$AS$31))*ISNUMBER(SEARCH("9am-12pm",'(B) Register of Participants'!$AB$25)))+(ISNUMBER(SEARCH("12pm-3pm",$AS$31))*ISNUMBER(SEARCH("12pm-3pm",'(B) Register of Participants'!$AB$25)))+(ISNUMBER(SEARCH("3pm-6pm",$AS$31))*ISNUMBER(SEARCH("3pm-6pm",'(B) Register of Participants'!$AB$25)))+(ISNUMBER(SEARCH("6pm-9pm",$AS$31))*ISNUMBER(SEARCH("6pm-9pm",'(B) Register of Participants'!$AB$25)))+(ISNUMBER(SEARCH("6am-9am",$AS$32))*ISNUMBER(SEARCH("6am-9am",'(B) Register of Participants'!$AC$25)))+(ISNUMBER(SEARCH("9am-12pm",$AS$32))*ISNUMBER(SEARCH("9am-12pm",'(B) Register of Participants'!$AC$25)))+(ISNUMBER(SEARCH("12pm-3pm",$AS$32))*ISNUMBER(SEARCH("12pm-3pm",'(B) Register of Participants'!$AC$25)))+(ISNUMBER(SEARCH("3pm-6pm",$AS$32))*ISNUMBER(SEARCH("3pm-6pm",'(B) Register of Participants'!$AC$25)))+(ISNUMBER(SEARCH("6pm-9pm",$AS$32))*ISNUMBER(SEARCH("6pm-9pm",'(B) Register of Participants'!$AC$25)))+(ISNUMBER(SEARCH("6am-9am",$AS$33))*ISNUMBER(SEARCH("6am-9am",'(B) Register of Participants'!$AD$25)))+(ISNUMBER(SEARCH("9am-12pm",$AS$33))*ISNUMBER(SEARCH("9am-12pm",'(B) Register of Participants'!$AD$25)))+(ISNUMBER(SEARCH("12pm-3pm",$AS$33))*ISNUMBER(SEARCH("12pm-3pm",'(B) Register of Participants'!$AD$25)))+(ISNUMBER(SEARCH("3pm-6pm",$AS$33))*ISNUMBER(SEARCH("3pm-6pm",'(B) Register of Participants'!$AD$25)))+(ISNUMBER(SEARCH("6pm-9pm",$AS$33))*ISNUMBER(SEARCH("6pm-9pm",'(B) Register of Participants'!$AD$25)))</f>
        <v/>
      </c>
      <c r="Q47" s="20">
        <f>IF(OR(AND($AS$17&lt;&gt;"",$AS$17&lt;&gt;"English",IF($AS$17="Persian",OR(ISNUMBER(SEARCH("Dari",'(B) Register of Participants'!$AR$25)),ISNUMBER(SEARCH("Farsi",'(B) Register of Participants'!$AR$25)),ISNUMBER(SEARCH("Persian",'(B) Register of Participants'!$AR$25)),ISNUMBER(SEARCH("Hazaragi",'(B) Register of Participants'!$AR$25))),ISNUMBER(SEARCH($AS$17,'(B) Register of Participants'!$AR$25)))),AND($AS$20&lt;&gt;"",$AS$20&lt;&gt;"English",IF($AS$20="Persian",OR(ISNUMBER(SEARCH("Dari",'(B) Register of Participants'!$AR$25)),ISNUMBER(SEARCH("Farsi",'(B) Register of Participants'!$AR$25)),ISNUMBER(SEARCH("Persian",'(B) Register of Participants'!$AR$25)),ISNUMBER(SEARCH("Hazaragi",'(B) Register of Participants'!$AR$25))),ISNUMBER(SEARCH($AS$20,'(B) Register of Participants'!$AR$25))))),1,0)</f>
        <v/>
      </c>
      <c r="R47" s="20">
        <f>IF(AND(AH47,AI47,NOT(AJ47),NOT($AS$25),AK47,$AS$26,AM47,AN47,NOT(AL47)),"Yes","No")</f>
        <v/>
      </c>
      <c r="S47" s="20">
        <f>IF(OR(COUNTIF('Engine Lists'!$A:$A,$AS$14&amp;"|"&amp;AO47)&gt;0,COUNTIF('Engine Lists'!$A:$A,$AS$14&amp;"|"&amp;AP47)&gt;0,COUNTIF('Engine Lists'!$A:$A,$AS$15&amp;"|"&amp;AO47)&gt;0,COUNTIF('Engine Lists'!$A:$A,$AS$15&amp;"|"&amp;AP47)&gt;0,COUNTIF('Engine Lists'!$A:$A,$AS$21&amp;"|"&amp;I47)&gt;0),-8,0)</f>
        <v/>
      </c>
      <c r="T47" s="20">
        <f>IF(Q47=1,IF(OR($AS$8="A2",$AS$8="B1"),7,IF(OR($AS$8="B2",$AS$8="C1",$AS$8="C2"),-5,0)),0)</f>
        <v/>
      </c>
      <c r="U47" s="20">
        <f>IF(AND($AS$6=G47,OR($AS$6="Male",$AS$6="Female")),5,0)</f>
        <v/>
      </c>
      <c r="V47" s="20">
        <f>IF(AND($AS$24,$AS$11&lt;&gt;"In-Person",K47&lt;&gt;"In-Person"),-5,0)</f>
        <v/>
      </c>
      <c r="W47" s="20">
        <f>IF(OR($AS$11=K47,$AS$11="Either",K47="Either"),3,0)</f>
        <v/>
      </c>
      <c r="X47" s="20">
        <f>IF(AND($AS$11&lt;&gt;"Online",K47&lt;&gt;"Online",ISNUMBER($AS$22),ISNUMBER(IFERROR(VALUE(M47),"x"))),IF(ABS($AS$22-VALUE(M47))&lt;=50,3,0),0)</f>
        <v/>
      </c>
      <c r="Y47" s="20">
        <f>IF(AND($AS$10&lt;&gt;"",$AS$10=J47),3,0)</f>
        <v/>
      </c>
      <c r="Z47" s="20">
        <f>IF(OR(N($AS$13)&gt;=150,N(O47)&gt;=150),3,0)</f>
        <v/>
      </c>
      <c r="AA47" s="20">
        <f>IF(AND($AS$21&lt;&gt;"",$AS$21&lt;&gt;"NA",$AS$21=I47),2,0)</f>
        <v/>
      </c>
      <c r="AB47" s="20">
        <f>IF(OR(AND($AS$14&lt;&gt;"",$AS$14&lt;&gt;"NA",OR($AS$14=AO47,$AS$14=AP47)),AND($AS$15&lt;&gt;"",OR($AS$15=AO47,$AS$15=AP47))),2,0)</f>
        <v/>
      </c>
      <c r="AC47" s="20">
        <f>IF(AND(ISNUMBER($AS$12),ISNUMBER(N47),ABS($AS$12-N47)&lt;=10),2,0)</f>
        <v/>
      </c>
      <c r="AD47" s="20">
        <f>IF(R47="Yes",SUM(S47:AC47),"")</f>
        <v/>
      </c>
      <c r="AE47" s="20">
        <f>IF(R47="Yes","Score "&amp;AD47&amp;": "&amp;TRIM(IF(S47&lt;&gt;0,"−8 acrimonious; ","")&amp;IF(T47=7,"+7 shared language; ","")&amp;IF(T47=-5,"−5 shared lang(adv); ","")&amp;IF(U47=5,"+5 same-sex; ","")&amp;IF(V47=-5,"−5 online no device; ","")&amp;IF(W47=3,"+3 mode; ","")&amp;IF(X47=3,"+3 proximity; ","")&amp;IF(Y47=3,"+3 category; ","")&amp;IF(Z47=3,"+3 long wait; ","")&amp;IF(AA47=2,"+2 religion; ","")&amp;IF(AB47=2,"+2 nationality; ","")&amp;IF(AC47=2,"+2 age; ","")),"Not eligible: "&amp;IF(NOT(AH47),"tutor not pending/with-capacity",IF(NOT(AI47),"no spare capacity",IF(AJ47,"tutor blacklisted",IF($AS$25,"student blacklisted",IF(NOT(AK47),"tutor vetting incomplete",IF(NOT($AS$26),"student vetting incomplete",IF(NOT(AM47),"no overlapping 3h AEST block",IF(NOT(AN47),"A1 student needs a shared language",IF(AL47,"'do not pair' note present",""))))))))))</f>
        <v/>
      </c>
      <c r="AF47">
        <f>TRIM(IFERROR(LEFT('(B) Register of Participants'!$AR$25,FIND(" (",'(B) Register of Participants'!$AR$25)-1),'(B) Register of Participants'!$AR$25))</f>
        <v/>
      </c>
      <c r="AG47">
        <f>IF(ISNUMBER(SEARCH("Mandarin",'(B) Register of Participants'!$AR$25)),"Mandarin",IF(ISNUMBER(SEARCH("Cantonese",'(B) Register of Participants'!$AR$25)),"Cantonese",IF(OR(AF47="Dari",AF47="Farsi",AF47="Persian",AF47="Hazaragi"),"Persian",AF47)))</f>
        <v/>
      </c>
      <c r="AH47">
        <f>OR(E47="ADM-ACT-UNMAT",E47="ADM-ACT-MAT-CNE")</f>
        <v/>
      </c>
      <c r="AI47">
        <f>F47&gt;0</f>
        <v/>
      </c>
      <c r="AJ47">
        <f>LEFT('(B) Register of Participants'!$L$25,3)="Yes"</f>
        <v/>
      </c>
      <c r="AK47">
        <f>AND(OR(LEFT('(B) Register of Participants'!$AY$25,3)="Yes",LEFT('(B) Register of Participants'!$AY$25,2)="NA"),OR(LEFT('(B) Register of Participants'!$AZ$25,3)="Yes",LEFT('(B) Register of Participants'!$AZ$25,2)="NA"))</f>
        <v/>
      </c>
      <c r="AL47">
        <f>OR(ISNUMBER(SEARCH("do not pair",'(B) Register of Participants'!$BL$25)),ISNUMBER(SEARCH("do not pair",'(B) Register of Participants'!$BM$25)))</f>
        <v/>
      </c>
      <c r="AM47">
        <f>P47&gt;0</f>
        <v/>
      </c>
      <c r="AN47">
        <f>IF($AS$8="A1",Q47=1,TRUE)</f>
        <v/>
      </c>
      <c r="AO47">
        <f>TRIM(IFERROR(LEFT('(B) Register of Participants'!$AP$25,FIND(";",'(B) Register of Participants'!$AP$25)-1),'(B) Register of Participants'!$AP$25))</f>
        <v/>
      </c>
      <c r="AP47">
        <f>IF(ISNUMBER(FIND(";",'(B) Register of Participants'!$AP$25)),TRIM(MID('(B) Register of Participants'!$AP$25,FIND(";",'(B) Register of Participants'!$AP$25)+1,80)),"")</f>
        <v/>
      </c>
    </row>
    <row r="48">
      <c r="B48" s="20">
        <f>IF(R48="Yes",RANK(AD48,$AD$25:$AD$124),"")</f>
        <v/>
      </c>
      <c r="C48" s="20">
        <f>'(B) Register of Participants'!$A$26</f>
        <v/>
      </c>
      <c r="D48" s="20">
        <f>'(B) Register of Participants'!$B$26</f>
        <v/>
      </c>
      <c r="E48" s="20">
        <f>'(B) Register of Participants'!$J$26</f>
        <v/>
      </c>
      <c r="F48" s="20">
        <f>IFERROR('(B) Register of Participants'!$O$26-'(B) Register of Participants'!$P$26,0)</f>
        <v/>
      </c>
      <c r="G48" s="20">
        <f>'(B) Register of Participants'!$AL$26</f>
        <v/>
      </c>
      <c r="H48" s="20">
        <f>'(B) Register of Participants'!$AP$26</f>
        <v/>
      </c>
      <c r="I48" s="20">
        <f>TRIM(IFERROR(LEFT('(B) Register of Participants'!$AS$26,FIND(" (",'(B) Register of Participants'!$AS$26)-1),'(B) Register of Participants'!$AS$26))</f>
        <v/>
      </c>
      <c r="J48" s="20">
        <f>'(B) Register of Participants'!$AT$26</f>
        <v/>
      </c>
      <c r="K48" s="20">
        <f>'(B) Register of Participants'!$AE$26</f>
        <v/>
      </c>
      <c r="L48" s="20">
        <f>'(B) Register of Participants'!$AF$26</f>
        <v/>
      </c>
      <c r="M48" s="20">
        <f>'(B) Register of Participants'!$AJ$26</f>
        <v/>
      </c>
      <c r="N48" s="20">
        <f>'(B) Register of Participants'!$CY$26</f>
        <v/>
      </c>
      <c r="O48" s="20">
        <f>'(B) Register of Participants'!$CW$26</f>
        <v/>
      </c>
      <c r="P48" s="20">
        <f>(ISNUMBER(SEARCH("6am-9am",$AS$27))*ISNUMBER(SEARCH("6am-9am",'(B) Register of Participants'!$X$26)))+(ISNUMBER(SEARCH("9am-12pm",$AS$27))*ISNUMBER(SEARCH("9am-12pm",'(B) Register of Participants'!$X$26)))+(ISNUMBER(SEARCH("12pm-3pm",$AS$27))*ISNUMBER(SEARCH("12pm-3pm",'(B) Register of Participants'!$X$26)))+(ISNUMBER(SEARCH("3pm-6pm",$AS$27))*ISNUMBER(SEARCH("3pm-6pm",'(B) Register of Participants'!$X$26)))+(ISNUMBER(SEARCH("6pm-9pm",$AS$27))*ISNUMBER(SEARCH("6pm-9pm",'(B) Register of Participants'!$X$26)))+(ISNUMBER(SEARCH("6am-9am",$AS$28))*ISNUMBER(SEARCH("6am-9am",'(B) Register of Participants'!$Y$26)))+(ISNUMBER(SEARCH("9am-12pm",$AS$28))*ISNUMBER(SEARCH("9am-12pm",'(B) Register of Participants'!$Y$26)))+(ISNUMBER(SEARCH("12pm-3pm",$AS$28))*ISNUMBER(SEARCH("12pm-3pm",'(B) Register of Participants'!$Y$26)))+(ISNUMBER(SEARCH("3pm-6pm",$AS$28))*ISNUMBER(SEARCH("3pm-6pm",'(B) Register of Participants'!$Y$26)))+(ISNUMBER(SEARCH("6pm-9pm",$AS$28))*ISNUMBER(SEARCH("6pm-9pm",'(B) Register of Participants'!$Y$26)))+(ISNUMBER(SEARCH("6am-9am",$AS$29))*ISNUMBER(SEARCH("6am-9am",'(B) Register of Participants'!$Z$26)))+(ISNUMBER(SEARCH("9am-12pm",$AS$29))*ISNUMBER(SEARCH("9am-12pm",'(B) Register of Participants'!$Z$26)))+(ISNUMBER(SEARCH("12pm-3pm",$AS$29))*ISNUMBER(SEARCH("12pm-3pm",'(B) Register of Participants'!$Z$26)))+(ISNUMBER(SEARCH("3pm-6pm",$AS$29))*ISNUMBER(SEARCH("3pm-6pm",'(B) Register of Participants'!$Z$26)))+(ISNUMBER(SEARCH("6pm-9pm",$AS$29))*ISNUMBER(SEARCH("6pm-9pm",'(B) Register of Participants'!$Z$26)))+(ISNUMBER(SEARCH("6am-9am",$AS$30))*ISNUMBER(SEARCH("6am-9am",'(B) Register of Participants'!$AA$26)))+(ISNUMBER(SEARCH("9am-12pm",$AS$30))*ISNUMBER(SEARCH("9am-12pm",'(B) Register of Participants'!$AA$26)))+(ISNUMBER(SEARCH("12pm-3pm",$AS$30))*ISNUMBER(SEARCH("12pm-3pm",'(B) Register of Participants'!$AA$26)))+(ISNUMBER(SEARCH("3pm-6pm",$AS$30))*ISNUMBER(SEARCH("3pm-6pm",'(B) Register of Participants'!$AA$26)))+(ISNUMBER(SEARCH("6pm-9pm",$AS$30))*ISNUMBER(SEARCH("6pm-9pm",'(B) Register of Participants'!$AA$26)))+(ISNUMBER(SEARCH("6am-9am",$AS$31))*ISNUMBER(SEARCH("6am-9am",'(B) Register of Participants'!$AB$26)))+(ISNUMBER(SEARCH("9am-12pm",$AS$31))*ISNUMBER(SEARCH("9am-12pm",'(B) Register of Participants'!$AB$26)))+(ISNUMBER(SEARCH("12pm-3pm",$AS$31))*ISNUMBER(SEARCH("12pm-3pm",'(B) Register of Participants'!$AB$26)))+(ISNUMBER(SEARCH("3pm-6pm",$AS$31))*ISNUMBER(SEARCH("3pm-6pm",'(B) Register of Participants'!$AB$26)))+(ISNUMBER(SEARCH("6pm-9pm",$AS$31))*ISNUMBER(SEARCH("6pm-9pm",'(B) Register of Participants'!$AB$26)))+(ISNUMBER(SEARCH("6am-9am",$AS$32))*ISNUMBER(SEARCH("6am-9am",'(B) Register of Participants'!$AC$26)))+(ISNUMBER(SEARCH("9am-12pm",$AS$32))*ISNUMBER(SEARCH("9am-12pm",'(B) Register of Participants'!$AC$26)))+(ISNUMBER(SEARCH("12pm-3pm",$AS$32))*ISNUMBER(SEARCH("12pm-3pm",'(B) Register of Participants'!$AC$26)))+(ISNUMBER(SEARCH("3pm-6pm",$AS$32))*ISNUMBER(SEARCH("3pm-6pm",'(B) Register of Participants'!$AC$26)))+(ISNUMBER(SEARCH("6pm-9pm",$AS$32))*ISNUMBER(SEARCH("6pm-9pm",'(B) Register of Participants'!$AC$26)))+(ISNUMBER(SEARCH("6am-9am",$AS$33))*ISNUMBER(SEARCH("6am-9am",'(B) Register of Participants'!$AD$26)))+(ISNUMBER(SEARCH("9am-12pm",$AS$33))*ISNUMBER(SEARCH("9am-12pm",'(B) Register of Participants'!$AD$26)))+(ISNUMBER(SEARCH("12pm-3pm",$AS$33))*ISNUMBER(SEARCH("12pm-3pm",'(B) Register of Participants'!$AD$26)))+(ISNUMBER(SEARCH("3pm-6pm",$AS$33))*ISNUMBER(SEARCH("3pm-6pm",'(B) Register of Participants'!$AD$26)))+(ISNUMBER(SEARCH("6pm-9pm",$AS$33))*ISNUMBER(SEARCH("6pm-9pm",'(B) Register of Participants'!$AD$26)))</f>
        <v/>
      </c>
      <c r="Q48" s="20">
        <f>IF(OR(AND($AS$17&lt;&gt;"",$AS$17&lt;&gt;"English",IF($AS$17="Persian",OR(ISNUMBER(SEARCH("Dari",'(B) Register of Participants'!$AR$26)),ISNUMBER(SEARCH("Farsi",'(B) Register of Participants'!$AR$26)),ISNUMBER(SEARCH("Persian",'(B) Register of Participants'!$AR$26)),ISNUMBER(SEARCH("Hazaragi",'(B) Register of Participants'!$AR$26))),ISNUMBER(SEARCH($AS$17,'(B) Register of Participants'!$AR$26)))),AND($AS$20&lt;&gt;"",$AS$20&lt;&gt;"English",IF($AS$20="Persian",OR(ISNUMBER(SEARCH("Dari",'(B) Register of Participants'!$AR$26)),ISNUMBER(SEARCH("Farsi",'(B) Register of Participants'!$AR$26)),ISNUMBER(SEARCH("Persian",'(B) Register of Participants'!$AR$26)),ISNUMBER(SEARCH("Hazaragi",'(B) Register of Participants'!$AR$26))),ISNUMBER(SEARCH($AS$20,'(B) Register of Participants'!$AR$26))))),1,0)</f>
        <v/>
      </c>
      <c r="R48" s="20">
        <f>IF(AND(AH48,AI48,NOT(AJ48),NOT($AS$25),AK48,$AS$26,AM48,AN48,NOT(AL48)),"Yes","No")</f>
        <v/>
      </c>
      <c r="S48" s="20">
        <f>IF(OR(COUNTIF('Engine Lists'!$A:$A,$AS$14&amp;"|"&amp;AO48)&gt;0,COUNTIF('Engine Lists'!$A:$A,$AS$14&amp;"|"&amp;AP48)&gt;0,COUNTIF('Engine Lists'!$A:$A,$AS$15&amp;"|"&amp;AO48)&gt;0,COUNTIF('Engine Lists'!$A:$A,$AS$15&amp;"|"&amp;AP48)&gt;0,COUNTIF('Engine Lists'!$A:$A,$AS$21&amp;"|"&amp;I48)&gt;0),-8,0)</f>
        <v/>
      </c>
      <c r="T48" s="20">
        <f>IF(Q48=1,IF(OR($AS$8="A2",$AS$8="B1"),7,IF(OR($AS$8="B2",$AS$8="C1",$AS$8="C2"),-5,0)),0)</f>
        <v/>
      </c>
      <c r="U48" s="20">
        <f>IF(AND($AS$6=G48,OR($AS$6="Male",$AS$6="Female")),5,0)</f>
        <v/>
      </c>
      <c r="V48" s="20">
        <f>IF(AND($AS$24,$AS$11&lt;&gt;"In-Person",K48&lt;&gt;"In-Person"),-5,0)</f>
        <v/>
      </c>
      <c r="W48" s="20">
        <f>IF(OR($AS$11=K48,$AS$11="Either",K48="Either"),3,0)</f>
        <v/>
      </c>
      <c r="X48" s="20">
        <f>IF(AND($AS$11&lt;&gt;"Online",K48&lt;&gt;"Online",ISNUMBER($AS$22),ISNUMBER(IFERROR(VALUE(M48),"x"))),IF(ABS($AS$22-VALUE(M48))&lt;=50,3,0),0)</f>
        <v/>
      </c>
      <c r="Y48" s="20">
        <f>IF(AND($AS$10&lt;&gt;"",$AS$10=J48),3,0)</f>
        <v/>
      </c>
      <c r="Z48" s="20">
        <f>IF(OR(N($AS$13)&gt;=150,N(O48)&gt;=150),3,0)</f>
        <v/>
      </c>
      <c r="AA48" s="20">
        <f>IF(AND($AS$21&lt;&gt;"",$AS$21&lt;&gt;"NA",$AS$21=I48),2,0)</f>
        <v/>
      </c>
      <c r="AB48" s="20">
        <f>IF(OR(AND($AS$14&lt;&gt;"",$AS$14&lt;&gt;"NA",OR($AS$14=AO48,$AS$14=AP48)),AND($AS$15&lt;&gt;"",OR($AS$15=AO48,$AS$15=AP48))),2,0)</f>
        <v/>
      </c>
      <c r="AC48" s="20">
        <f>IF(AND(ISNUMBER($AS$12),ISNUMBER(N48),ABS($AS$12-N48)&lt;=10),2,0)</f>
        <v/>
      </c>
      <c r="AD48" s="20">
        <f>IF(R48="Yes",SUM(S48:AC48),"")</f>
        <v/>
      </c>
      <c r="AE48" s="20">
        <f>IF(R48="Yes","Score "&amp;AD48&amp;": "&amp;TRIM(IF(S48&lt;&gt;0,"−8 acrimonious; ","")&amp;IF(T48=7,"+7 shared language; ","")&amp;IF(T48=-5,"−5 shared lang(adv); ","")&amp;IF(U48=5,"+5 same-sex; ","")&amp;IF(V48=-5,"−5 online no device; ","")&amp;IF(W48=3,"+3 mode; ","")&amp;IF(X48=3,"+3 proximity; ","")&amp;IF(Y48=3,"+3 category; ","")&amp;IF(Z48=3,"+3 long wait; ","")&amp;IF(AA48=2,"+2 religion; ","")&amp;IF(AB48=2,"+2 nationality; ","")&amp;IF(AC48=2,"+2 age; ","")),"Not eligible: "&amp;IF(NOT(AH48),"tutor not pending/with-capacity",IF(NOT(AI48),"no spare capacity",IF(AJ48,"tutor blacklisted",IF($AS$25,"student blacklisted",IF(NOT(AK48),"tutor vetting incomplete",IF(NOT($AS$26),"student vetting incomplete",IF(NOT(AM48),"no overlapping 3h AEST block",IF(NOT(AN48),"A1 student needs a shared language",IF(AL48,"'do not pair' note present",""))))))))))</f>
        <v/>
      </c>
      <c r="AF48">
        <f>TRIM(IFERROR(LEFT('(B) Register of Participants'!$AR$26,FIND(" (",'(B) Register of Participants'!$AR$26)-1),'(B) Register of Participants'!$AR$26))</f>
        <v/>
      </c>
      <c r="AG48">
        <f>IF(ISNUMBER(SEARCH("Mandarin",'(B) Register of Participants'!$AR$26)),"Mandarin",IF(ISNUMBER(SEARCH("Cantonese",'(B) Register of Participants'!$AR$26)),"Cantonese",IF(OR(AF48="Dari",AF48="Farsi",AF48="Persian",AF48="Hazaragi"),"Persian",AF48)))</f>
        <v/>
      </c>
      <c r="AH48">
        <f>OR(E48="ADM-ACT-UNMAT",E48="ADM-ACT-MAT-CNE")</f>
        <v/>
      </c>
      <c r="AI48">
        <f>F48&gt;0</f>
        <v/>
      </c>
      <c r="AJ48">
        <f>LEFT('(B) Register of Participants'!$L$26,3)="Yes"</f>
        <v/>
      </c>
      <c r="AK48">
        <f>AND(OR(LEFT('(B) Register of Participants'!$AY$26,3)="Yes",LEFT('(B) Register of Participants'!$AY$26,2)="NA"),OR(LEFT('(B) Register of Participants'!$AZ$26,3)="Yes",LEFT('(B) Register of Participants'!$AZ$26,2)="NA"))</f>
        <v/>
      </c>
      <c r="AL48">
        <f>OR(ISNUMBER(SEARCH("do not pair",'(B) Register of Participants'!$BL$26)),ISNUMBER(SEARCH("do not pair",'(B) Register of Participants'!$BM$26)))</f>
        <v/>
      </c>
      <c r="AM48">
        <f>P48&gt;0</f>
        <v/>
      </c>
      <c r="AN48">
        <f>IF($AS$8="A1",Q48=1,TRUE)</f>
        <v/>
      </c>
      <c r="AO48">
        <f>TRIM(IFERROR(LEFT('(B) Register of Participants'!$AP$26,FIND(";",'(B) Register of Participants'!$AP$26)-1),'(B) Register of Participants'!$AP$26))</f>
        <v/>
      </c>
      <c r="AP48">
        <f>IF(ISNUMBER(FIND(";",'(B) Register of Participants'!$AP$26)),TRIM(MID('(B) Register of Participants'!$AP$26,FIND(";",'(B) Register of Participants'!$AP$26)+1,80)),"")</f>
        <v/>
      </c>
    </row>
    <row r="49">
      <c r="B49" s="20">
        <f>IF(R49="Yes",RANK(AD49,$AD$25:$AD$124),"")</f>
        <v/>
      </c>
      <c r="C49" s="20">
        <f>'(B) Register of Participants'!$A$27</f>
        <v/>
      </c>
      <c r="D49" s="20">
        <f>'(B) Register of Participants'!$B$27</f>
        <v/>
      </c>
      <c r="E49" s="20">
        <f>'(B) Register of Participants'!$J$27</f>
        <v/>
      </c>
      <c r="F49" s="20">
        <f>IFERROR('(B) Register of Participants'!$O$27-'(B) Register of Participants'!$P$27,0)</f>
        <v/>
      </c>
      <c r="G49" s="20">
        <f>'(B) Register of Participants'!$AL$27</f>
        <v/>
      </c>
      <c r="H49" s="20">
        <f>'(B) Register of Participants'!$AP$27</f>
        <v/>
      </c>
      <c r="I49" s="20">
        <f>TRIM(IFERROR(LEFT('(B) Register of Participants'!$AS$27,FIND(" (",'(B) Register of Participants'!$AS$27)-1),'(B) Register of Participants'!$AS$27))</f>
        <v/>
      </c>
      <c r="J49" s="20">
        <f>'(B) Register of Participants'!$AT$27</f>
        <v/>
      </c>
      <c r="K49" s="20">
        <f>'(B) Register of Participants'!$AE$27</f>
        <v/>
      </c>
      <c r="L49" s="20">
        <f>'(B) Register of Participants'!$AF$27</f>
        <v/>
      </c>
      <c r="M49" s="20">
        <f>'(B) Register of Participants'!$AJ$27</f>
        <v/>
      </c>
      <c r="N49" s="20">
        <f>'(B) Register of Participants'!$CY$27</f>
        <v/>
      </c>
      <c r="O49" s="20">
        <f>'(B) Register of Participants'!$CW$27</f>
        <v/>
      </c>
      <c r="P49" s="20">
        <f>(ISNUMBER(SEARCH("6am-9am",$AS$27))*ISNUMBER(SEARCH("6am-9am",'(B) Register of Participants'!$X$27)))+(ISNUMBER(SEARCH("9am-12pm",$AS$27))*ISNUMBER(SEARCH("9am-12pm",'(B) Register of Participants'!$X$27)))+(ISNUMBER(SEARCH("12pm-3pm",$AS$27))*ISNUMBER(SEARCH("12pm-3pm",'(B) Register of Participants'!$X$27)))+(ISNUMBER(SEARCH("3pm-6pm",$AS$27))*ISNUMBER(SEARCH("3pm-6pm",'(B) Register of Participants'!$X$27)))+(ISNUMBER(SEARCH("6pm-9pm",$AS$27))*ISNUMBER(SEARCH("6pm-9pm",'(B) Register of Participants'!$X$27)))+(ISNUMBER(SEARCH("6am-9am",$AS$28))*ISNUMBER(SEARCH("6am-9am",'(B) Register of Participants'!$Y$27)))+(ISNUMBER(SEARCH("9am-12pm",$AS$28))*ISNUMBER(SEARCH("9am-12pm",'(B) Register of Participants'!$Y$27)))+(ISNUMBER(SEARCH("12pm-3pm",$AS$28))*ISNUMBER(SEARCH("12pm-3pm",'(B) Register of Participants'!$Y$27)))+(ISNUMBER(SEARCH("3pm-6pm",$AS$28))*ISNUMBER(SEARCH("3pm-6pm",'(B) Register of Participants'!$Y$27)))+(ISNUMBER(SEARCH("6pm-9pm",$AS$28))*ISNUMBER(SEARCH("6pm-9pm",'(B) Register of Participants'!$Y$27)))+(ISNUMBER(SEARCH("6am-9am",$AS$29))*ISNUMBER(SEARCH("6am-9am",'(B) Register of Participants'!$Z$27)))+(ISNUMBER(SEARCH("9am-12pm",$AS$29))*ISNUMBER(SEARCH("9am-12pm",'(B) Register of Participants'!$Z$27)))+(ISNUMBER(SEARCH("12pm-3pm",$AS$29))*ISNUMBER(SEARCH("12pm-3pm",'(B) Register of Participants'!$Z$27)))+(ISNUMBER(SEARCH("3pm-6pm",$AS$29))*ISNUMBER(SEARCH("3pm-6pm",'(B) Register of Participants'!$Z$27)))+(ISNUMBER(SEARCH("6pm-9pm",$AS$29))*ISNUMBER(SEARCH("6pm-9pm",'(B) Register of Participants'!$Z$27)))+(ISNUMBER(SEARCH("6am-9am",$AS$30))*ISNUMBER(SEARCH("6am-9am",'(B) Register of Participants'!$AA$27)))+(ISNUMBER(SEARCH("9am-12pm",$AS$30))*ISNUMBER(SEARCH("9am-12pm",'(B) Register of Participants'!$AA$27)))+(ISNUMBER(SEARCH("12pm-3pm",$AS$30))*ISNUMBER(SEARCH("12pm-3pm",'(B) Register of Participants'!$AA$27)))+(ISNUMBER(SEARCH("3pm-6pm",$AS$30))*ISNUMBER(SEARCH("3pm-6pm",'(B) Register of Participants'!$AA$27)))+(ISNUMBER(SEARCH("6pm-9pm",$AS$30))*ISNUMBER(SEARCH("6pm-9pm",'(B) Register of Participants'!$AA$27)))+(ISNUMBER(SEARCH("6am-9am",$AS$31))*ISNUMBER(SEARCH("6am-9am",'(B) Register of Participants'!$AB$27)))+(ISNUMBER(SEARCH("9am-12pm",$AS$31))*ISNUMBER(SEARCH("9am-12pm",'(B) Register of Participants'!$AB$27)))+(ISNUMBER(SEARCH("12pm-3pm",$AS$31))*ISNUMBER(SEARCH("12pm-3pm",'(B) Register of Participants'!$AB$27)))+(ISNUMBER(SEARCH("3pm-6pm",$AS$31))*ISNUMBER(SEARCH("3pm-6pm",'(B) Register of Participants'!$AB$27)))+(ISNUMBER(SEARCH("6pm-9pm",$AS$31))*ISNUMBER(SEARCH("6pm-9pm",'(B) Register of Participants'!$AB$27)))+(ISNUMBER(SEARCH("6am-9am",$AS$32))*ISNUMBER(SEARCH("6am-9am",'(B) Register of Participants'!$AC$27)))+(ISNUMBER(SEARCH("9am-12pm",$AS$32))*ISNUMBER(SEARCH("9am-12pm",'(B) Register of Participants'!$AC$27)))+(ISNUMBER(SEARCH("12pm-3pm",$AS$32))*ISNUMBER(SEARCH("12pm-3pm",'(B) Register of Participants'!$AC$27)))+(ISNUMBER(SEARCH("3pm-6pm",$AS$32))*ISNUMBER(SEARCH("3pm-6pm",'(B) Register of Participants'!$AC$27)))+(ISNUMBER(SEARCH("6pm-9pm",$AS$32))*ISNUMBER(SEARCH("6pm-9pm",'(B) Register of Participants'!$AC$27)))+(ISNUMBER(SEARCH("6am-9am",$AS$33))*ISNUMBER(SEARCH("6am-9am",'(B) Register of Participants'!$AD$27)))+(ISNUMBER(SEARCH("9am-12pm",$AS$33))*ISNUMBER(SEARCH("9am-12pm",'(B) Register of Participants'!$AD$27)))+(ISNUMBER(SEARCH("12pm-3pm",$AS$33))*ISNUMBER(SEARCH("12pm-3pm",'(B) Register of Participants'!$AD$27)))+(ISNUMBER(SEARCH("3pm-6pm",$AS$33))*ISNUMBER(SEARCH("3pm-6pm",'(B) Register of Participants'!$AD$27)))+(ISNUMBER(SEARCH("6pm-9pm",$AS$33))*ISNUMBER(SEARCH("6pm-9pm",'(B) Register of Participants'!$AD$27)))</f>
        <v/>
      </c>
      <c r="Q49" s="20">
        <f>IF(OR(AND($AS$17&lt;&gt;"",$AS$17&lt;&gt;"English",IF($AS$17="Persian",OR(ISNUMBER(SEARCH("Dari",'(B) Register of Participants'!$AR$27)),ISNUMBER(SEARCH("Farsi",'(B) Register of Participants'!$AR$27)),ISNUMBER(SEARCH("Persian",'(B) Register of Participants'!$AR$27)),ISNUMBER(SEARCH("Hazaragi",'(B) Register of Participants'!$AR$27))),ISNUMBER(SEARCH($AS$17,'(B) Register of Participants'!$AR$27)))),AND($AS$20&lt;&gt;"",$AS$20&lt;&gt;"English",IF($AS$20="Persian",OR(ISNUMBER(SEARCH("Dari",'(B) Register of Participants'!$AR$27)),ISNUMBER(SEARCH("Farsi",'(B) Register of Participants'!$AR$27)),ISNUMBER(SEARCH("Persian",'(B) Register of Participants'!$AR$27)),ISNUMBER(SEARCH("Hazaragi",'(B) Register of Participants'!$AR$27))),ISNUMBER(SEARCH($AS$20,'(B) Register of Participants'!$AR$27))))),1,0)</f>
        <v/>
      </c>
      <c r="R49" s="20">
        <f>IF(AND(AH49,AI49,NOT(AJ49),NOT($AS$25),AK49,$AS$26,AM49,AN49,NOT(AL49)),"Yes","No")</f>
        <v/>
      </c>
      <c r="S49" s="20">
        <f>IF(OR(COUNTIF('Engine Lists'!$A:$A,$AS$14&amp;"|"&amp;AO49)&gt;0,COUNTIF('Engine Lists'!$A:$A,$AS$14&amp;"|"&amp;AP49)&gt;0,COUNTIF('Engine Lists'!$A:$A,$AS$15&amp;"|"&amp;AO49)&gt;0,COUNTIF('Engine Lists'!$A:$A,$AS$15&amp;"|"&amp;AP49)&gt;0,COUNTIF('Engine Lists'!$A:$A,$AS$21&amp;"|"&amp;I49)&gt;0),-8,0)</f>
        <v/>
      </c>
      <c r="T49" s="20">
        <f>IF(Q49=1,IF(OR($AS$8="A2",$AS$8="B1"),7,IF(OR($AS$8="B2",$AS$8="C1",$AS$8="C2"),-5,0)),0)</f>
        <v/>
      </c>
      <c r="U49" s="20">
        <f>IF(AND($AS$6=G49,OR($AS$6="Male",$AS$6="Female")),5,0)</f>
        <v/>
      </c>
      <c r="V49" s="20">
        <f>IF(AND($AS$24,$AS$11&lt;&gt;"In-Person",K49&lt;&gt;"In-Person"),-5,0)</f>
        <v/>
      </c>
      <c r="W49" s="20">
        <f>IF(OR($AS$11=K49,$AS$11="Either",K49="Either"),3,0)</f>
        <v/>
      </c>
      <c r="X49" s="20">
        <f>IF(AND($AS$11&lt;&gt;"Online",K49&lt;&gt;"Online",ISNUMBER($AS$22),ISNUMBER(IFERROR(VALUE(M49),"x"))),IF(ABS($AS$22-VALUE(M49))&lt;=50,3,0),0)</f>
        <v/>
      </c>
      <c r="Y49" s="20">
        <f>IF(AND($AS$10&lt;&gt;"",$AS$10=J49),3,0)</f>
        <v/>
      </c>
      <c r="Z49" s="20">
        <f>IF(OR(N($AS$13)&gt;=150,N(O49)&gt;=150),3,0)</f>
        <v/>
      </c>
      <c r="AA49" s="20">
        <f>IF(AND($AS$21&lt;&gt;"",$AS$21&lt;&gt;"NA",$AS$21=I49),2,0)</f>
        <v/>
      </c>
      <c r="AB49" s="20">
        <f>IF(OR(AND($AS$14&lt;&gt;"",$AS$14&lt;&gt;"NA",OR($AS$14=AO49,$AS$14=AP49)),AND($AS$15&lt;&gt;"",OR($AS$15=AO49,$AS$15=AP49))),2,0)</f>
        <v/>
      </c>
      <c r="AC49" s="20">
        <f>IF(AND(ISNUMBER($AS$12),ISNUMBER(N49),ABS($AS$12-N49)&lt;=10),2,0)</f>
        <v/>
      </c>
      <c r="AD49" s="20">
        <f>IF(R49="Yes",SUM(S49:AC49),"")</f>
        <v/>
      </c>
      <c r="AE49" s="20">
        <f>IF(R49="Yes","Score "&amp;AD49&amp;": "&amp;TRIM(IF(S49&lt;&gt;0,"−8 acrimonious; ","")&amp;IF(T49=7,"+7 shared language; ","")&amp;IF(T49=-5,"−5 shared lang(adv); ","")&amp;IF(U49=5,"+5 same-sex; ","")&amp;IF(V49=-5,"−5 online no device; ","")&amp;IF(W49=3,"+3 mode; ","")&amp;IF(X49=3,"+3 proximity; ","")&amp;IF(Y49=3,"+3 category; ","")&amp;IF(Z49=3,"+3 long wait; ","")&amp;IF(AA49=2,"+2 religion; ","")&amp;IF(AB49=2,"+2 nationality; ","")&amp;IF(AC49=2,"+2 age; ","")),"Not eligible: "&amp;IF(NOT(AH49),"tutor not pending/with-capacity",IF(NOT(AI49),"no spare capacity",IF(AJ49,"tutor blacklisted",IF($AS$25,"student blacklisted",IF(NOT(AK49),"tutor vetting incomplete",IF(NOT($AS$26),"student vetting incomplete",IF(NOT(AM49),"no overlapping 3h AEST block",IF(NOT(AN49),"A1 student needs a shared language",IF(AL49,"'do not pair' note present",""))))))))))</f>
        <v/>
      </c>
      <c r="AF49">
        <f>TRIM(IFERROR(LEFT('(B) Register of Participants'!$AR$27,FIND(" (",'(B) Register of Participants'!$AR$27)-1),'(B) Register of Participants'!$AR$27))</f>
        <v/>
      </c>
      <c r="AG49">
        <f>IF(ISNUMBER(SEARCH("Mandarin",'(B) Register of Participants'!$AR$27)),"Mandarin",IF(ISNUMBER(SEARCH("Cantonese",'(B) Register of Participants'!$AR$27)),"Cantonese",IF(OR(AF49="Dari",AF49="Farsi",AF49="Persian",AF49="Hazaragi"),"Persian",AF49)))</f>
        <v/>
      </c>
      <c r="AH49">
        <f>OR(E49="ADM-ACT-UNMAT",E49="ADM-ACT-MAT-CNE")</f>
        <v/>
      </c>
      <c r="AI49">
        <f>F49&gt;0</f>
        <v/>
      </c>
      <c r="AJ49">
        <f>LEFT('(B) Register of Participants'!$L$27,3)="Yes"</f>
        <v/>
      </c>
      <c r="AK49">
        <f>AND(OR(LEFT('(B) Register of Participants'!$AY$27,3)="Yes",LEFT('(B) Register of Participants'!$AY$27,2)="NA"),OR(LEFT('(B) Register of Participants'!$AZ$27,3)="Yes",LEFT('(B) Register of Participants'!$AZ$27,2)="NA"))</f>
        <v/>
      </c>
      <c r="AL49">
        <f>OR(ISNUMBER(SEARCH("do not pair",'(B) Register of Participants'!$BL$27)),ISNUMBER(SEARCH("do not pair",'(B) Register of Participants'!$BM$27)))</f>
        <v/>
      </c>
      <c r="AM49">
        <f>P49&gt;0</f>
        <v/>
      </c>
      <c r="AN49">
        <f>IF($AS$8="A1",Q49=1,TRUE)</f>
        <v/>
      </c>
      <c r="AO49">
        <f>TRIM(IFERROR(LEFT('(B) Register of Participants'!$AP$27,FIND(";",'(B) Register of Participants'!$AP$27)-1),'(B) Register of Participants'!$AP$27))</f>
        <v/>
      </c>
      <c r="AP49">
        <f>IF(ISNUMBER(FIND(";",'(B) Register of Participants'!$AP$27)),TRIM(MID('(B) Register of Participants'!$AP$27,FIND(";",'(B) Register of Participants'!$AP$27)+1,80)),"")</f>
        <v/>
      </c>
    </row>
    <row r="50">
      <c r="B50" s="20">
        <f>IF(R50="Yes",RANK(AD50,$AD$25:$AD$124),"")</f>
        <v/>
      </c>
      <c r="C50" s="20">
        <f>'(B) Register of Participants'!$A$28</f>
        <v/>
      </c>
      <c r="D50" s="20">
        <f>'(B) Register of Participants'!$B$28</f>
        <v/>
      </c>
      <c r="E50" s="20">
        <f>'(B) Register of Participants'!$J$28</f>
        <v/>
      </c>
      <c r="F50" s="20">
        <f>IFERROR('(B) Register of Participants'!$O$28-'(B) Register of Participants'!$P$28,0)</f>
        <v/>
      </c>
      <c r="G50" s="20">
        <f>'(B) Register of Participants'!$AL$28</f>
        <v/>
      </c>
      <c r="H50" s="20">
        <f>'(B) Register of Participants'!$AP$28</f>
        <v/>
      </c>
      <c r="I50" s="20">
        <f>TRIM(IFERROR(LEFT('(B) Register of Participants'!$AS$28,FIND(" (",'(B) Register of Participants'!$AS$28)-1),'(B) Register of Participants'!$AS$28))</f>
        <v/>
      </c>
      <c r="J50" s="20">
        <f>'(B) Register of Participants'!$AT$28</f>
        <v/>
      </c>
      <c r="K50" s="20">
        <f>'(B) Register of Participants'!$AE$28</f>
        <v/>
      </c>
      <c r="L50" s="20">
        <f>'(B) Register of Participants'!$AF$28</f>
        <v/>
      </c>
      <c r="M50" s="20">
        <f>'(B) Register of Participants'!$AJ$28</f>
        <v/>
      </c>
      <c r="N50" s="20">
        <f>'(B) Register of Participants'!$CY$28</f>
        <v/>
      </c>
      <c r="O50" s="20">
        <f>'(B) Register of Participants'!$CW$28</f>
        <v/>
      </c>
      <c r="P50" s="20">
        <f>(ISNUMBER(SEARCH("6am-9am",$AS$27))*ISNUMBER(SEARCH("6am-9am",'(B) Register of Participants'!$X$28)))+(ISNUMBER(SEARCH("9am-12pm",$AS$27))*ISNUMBER(SEARCH("9am-12pm",'(B) Register of Participants'!$X$28)))+(ISNUMBER(SEARCH("12pm-3pm",$AS$27))*ISNUMBER(SEARCH("12pm-3pm",'(B) Register of Participants'!$X$28)))+(ISNUMBER(SEARCH("3pm-6pm",$AS$27))*ISNUMBER(SEARCH("3pm-6pm",'(B) Register of Participants'!$X$28)))+(ISNUMBER(SEARCH("6pm-9pm",$AS$27))*ISNUMBER(SEARCH("6pm-9pm",'(B) Register of Participants'!$X$28)))+(ISNUMBER(SEARCH("6am-9am",$AS$28))*ISNUMBER(SEARCH("6am-9am",'(B) Register of Participants'!$Y$28)))+(ISNUMBER(SEARCH("9am-12pm",$AS$28))*ISNUMBER(SEARCH("9am-12pm",'(B) Register of Participants'!$Y$28)))+(ISNUMBER(SEARCH("12pm-3pm",$AS$28))*ISNUMBER(SEARCH("12pm-3pm",'(B) Register of Participants'!$Y$28)))+(ISNUMBER(SEARCH("3pm-6pm",$AS$28))*ISNUMBER(SEARCH("3pm-6pm",'(B) Register of Participants'!$Y$28)))+(ISNUMBER(SEARCH("6pm-9pm",$AS$28))*ISNUMBER(SEARCH("6pm-9pm",'(B) Register of Participants'!$Y$28)))+(ISNUMBER(SEARCH("6am-9am",$AS$29))*ISNUMBER(SEARCH("6am-9am",'(B) Register of Participants'!$Z$28)))+(ISNUMBER(SEARCH("9am-12pm",$AS$29))*ISNUMBER(SEARCH("9am-12pm",'(B) Register of Participants'!$Z$28)))+(ISNUMBER(SEARCH("12pm-3pm",$AS$29))*ISNUMBER(SEARCH("12pm-3pm",'(B) Register of Participants'!$Z$28)))+(ISNUMBER(SEARCH("3pm-6pm",$AS$29))*ISNUMBER(SEARCH("3pm-6pm",'(B) Register of Participants'!$Z$28)))+(ISNUMBER(SEARCH("6pm-9pm",$AS$29))*ISNUMBER(SEARCH("6pm-9pm",'(B) Register of Participants'!$Z$28)))+(ISNUMBER(SEARCH("6am-9am",$AS$30))*ISNUMBER(SEARCH("6am-9am",'(B) Register of Participants'!$AA$28)))+(ISNUMBER(SEARCH("9am-12pm",$AS$30))*ISNUMBER(SEARCH("9am-12pm",'(B) Register of Participants'!$AA$28)))+(ISNUMBER(SEARCH("12pm-3pm",$AS$30))*ISNUMBER(SEARCH("12pm-3pm",'(B) Register of Participants'!$AA$28)))+(ISNUMBER(SEARCH("3pm-6pm",$AS$30))*ISNUMBER(SEARCH("3pm-6pm",'(B) Register of Participants'!$AA$28)))+(ISNUMBER(SEARCH("6pm-9pm",$AS$30))*ISNUMBER(SEARCH("6pm-9pm",'(B) Register of Participants'!$AA$28)))+(ISNUMBER(SEARCH("6am-9am",$AS$31))*ISNUMBER(SEARCH("6am-9am",'(B) Register of Participants'!$AB$28)))+(ISNUMBER(SEARCH("9am-12pm",$AS$31))*ISNUMBER(SEARCH("9am-12pm",'(B) Register of Participants'!$AB$28)))+(ISNUMBER(SEARCH("12pm-3pm",$AS$31))*ISNUMBER(SEARCH("12pm-3pm",'(B) Register of Participants'!$AB$28)))+(ISNUMBER(SEARCH("3pm-6pm",$AS$31))*ISNUMBER(SEARCH("3pm-6pm",'(B) Register of Participants'!$AB$28)))+(ISNUMBER(SEARCH("6pm-9pm",$AS$31))*ISNUMBER(SEARCH("6pm-9pm",'(B) Register of Participants'!$AB$28)))+(ISNUMBER(SEARCH("6am-9am",$AS$32))*ISNUMBER(SEARCH("6am-9am",'(B) Register of Participants'!$AC$28)))+(ISNUMBER(SEARCH("9am-12pm",$AS$32))*ISNUMBER(SEARCH("9am-12pm",'(B) Register of Participants'!$AC$28)))+(ISNUMBER(SEARCH("12pm-3pm",$AS$32))*ISNUMBER(SEARCH("12pm-3pm",'(B) Register of Participants'!$AC$28)))+(ISNUMBER(SEARCH("3pm-6pm",$AS$32))*ISNUMBER(SEARCH("3pm-6pm",'(B) Register of Participants'!$AC$28)))+(ISNUMBER(SEARCH("6pm-9pm",$AS$32))*ISNUMBER(SEARCH("6pm-9pm",'(B) Register of Participants'!$AC$28)))+(ISNUMBER(SEARCH("6am-9am",$AS$33))*ISNUMBER(SEARCH("6am-9am",'(B) Register of Participants'!$AD$28)))+(ISNUMBER(SEARCH("9am-12pm",$AS$33))*ISNUMBER(SEARCH("9am-12pm",'(B) Register of Participants'!$AD$28)))+(ISNUMBER(SEARCH("12pm-3pm",$AS$33))*ISNUMBER(SEARCH("12pm-3pm",'(B) Register of Participants'!$AD$28)))+(ISNUMBER(SEARCH("3pm-6pm",$AS$33))*ISNUMBER(SEARCH("3pm-6pm",'(B) Register of Participants'!$AD$28)))+(ISNUMBER(SEARCH("6pm-9pm",$AS$33))*ISNUMBER(SEARCH("6pm-9pm",'(B) Register of Participants'!$AD$28)))</f>
        <v/>
      </c>
      <c r="Q50" s="20">
        <f>IF(OR(AND($AS$17&lt;&gt;"",$AS$17&lt;&gt;"English",IF($AS$17="Persian",OR(ISNUMBER(SEARCH("Dari",'(B) Register of Participants'!$AR$28)),ISNUMBER(SEARCH("Farsi",'(B) Register of Participants'!$AR$28)),ISNUMBER(SEARCH("Persian",'(B) Register of Participants'!$AR$28)),ISNUMBER(SEARCH("Hazaragi",'(B) Register of Participants'!$AR$28))),ISNUMBER(SEARCH($AS$17,'(B) Register of Participants'!$AR$28)))),AND($AS$20&lt;&gt;"",$AS$20&lt;&gt;"English",IF($AS$20="Persian",OR(ISNUMBER(SEARCH("Dari",'(B) Register of Participants'!$AR$28)),ISNUMBER(SEARCH("Farsi",'(B) Register of Participants'!$AR$28)),ISNUMBER(SEARCH("Persian",'(B) Register of Participants'!$AR$28)),ISNUMBER(SEARCH("Hazaragi",'(B) Register of Participants'!$AR$28))),ISNUMBER(SEARCH($AS$20,'(B) Register of Participants'!$AR$28))))),1,0)</f>
        <v/>
      </c>
      <c r="R50" s="20">
        <f>IF(AND(AH50,AI50,NOT(AJ50),NOT($AS$25),AK50,$AS$26,AM50,AN50,NOT(AL50)),"Yes","No")</f>
        <v/>
      </c>
      <c r="S50" s="20">
        <f>IF(OR(COUNTIF('Engine Lists'!$A:$A,$AS$14&amp;"|"&amp;AO50)&gt;0,COUNTIF('Engine Lists'!$A:$A,$AS$14&amp;"|"&amp;AP50)&gt;0,COUNTIF('Engine Lists'!$A:$A,$AS$15&amp;"|"&amp;AO50)&gt;0,COUNTIF('Engine Lists'!$A:$A,$AS$15&amp;"|"&amp;AP50)&gt;0,COUNTIF('Engine Lists'!$A:$A,$AS$21&amp;"|"&amp;I50)&gt;0),-8,0)</f>
        <v/>
      </c>
      <c r="T50" s="20">
        <f>IF(Q50=1,IF(OR($AS$8="A2",$AS$8="B1"),7,IF(OR($AS$8="B2",$AS$8="C1",$AS$8="C2"),-5,0)),0)</f>
        <v/>
      </c>
      <c r="U50" s="20">
        <f>IF(AND($AS$6=G50,OR($AS$6="Male",$AS$6="Female")),5,0)</f>
        <v/>
      </c>
      <c r="V50" s="20">
        <f>IF(AND($AS$24,$AS$11&lt;&gt;"In-Person",K50&lt;&gt;"In-Person"),-5,0)</f>
        <v/>
      </c>
      <c r="W50" s="20">
        <f>IF(OR($AS$11=K50,$AS$11="Either",K50="Either"),3,0)</f>
        <v/>
      </c>
      <c r="X50" s="20">
        <f>IF(AND($AS$11&lt;&gt;"Online",K50&lt;&gt;"Online",ISNUMBER($AS$22),ISNUMBER(IFERROR(VALUE(M50),"x"))),IF(ABS($AS$22-VALUE(M50))&lt;=50,3,0),0)</f>
        <v/>
      </c>
      <c r="Y50" s="20">
        <f>IF(AND($AS$10&lt;&gt;"",$AS$10=J50),3,0)</f>
        <v/>
      </c>
      <c r="Z50" s="20">
        <f>IF(OR(N($AS$13)&gt;=150,N(O50)&gt;=150),3,0)</f>
        <v/>
      </c>
      <c r="AA50" s="20">
        <f>IF(AND($AS$21&lt;&gt;"",$AS$21&lt;&gt;"NA",$AS$21=I50),2,0)</f>
        <v/>
      </c>
      <c r="AB50" s="20">
        <f>IF(OR(AND($AS$14&lt;&gt;"",$AS$14&lt;&gt;"NA",OR($AS$14=AO50,$AS$14=AP50)),AND($AS$15&lt;&gt;"",OR($AS$15=AO50,$AS$15=AP50))),2,0)</f>
        <v/>
      </c>
      <c r="AC50" s="20">
        <f>IF(AND(ISNUMBER($AS$12),ISNUMBER(N50),ABS($AS$12-N50)&lt;=10),2,0)</f>
        <v/>
      </c>
      <c r="AD50" s="20">
        <f>IF(R50="Yes",SUM(S50:AC50),"")</f>
        <v/>
      </c>
      <c r="AE50" s="20">
        <f>IF(R50="Yes","Score "&amp;AD50&amp;": "&amp;TRIM(IF(S50&lt;&gt;0,"−8 acrimonious; ","")&amp;IF(T50=7,"+7 shared language; ","")&amp;IF(T50=-5,"−5 shared lang(adv); ","")&amp;IF(U50=5,"+5 same-sex; ","")&amp;IF(V50=-5,"−5 online no device; ","")&amp;IF(W50=3,"+3 mode; ","")&amp;IF(X50=3,"+3 proximity; ","")&amp;IF(Y50=3,"+3 category; ","")&amp;IF(Z50=3,"+3 long wait; ","")&amp;IF(AA50=2,"+2 religion; ","")&amp;IF(AB50=2,"+2 nationality; ","")&amp;IF(AC50=2,"+2 age; ","")),"Not eligible: "&amp;IF(NOT(AH50),"tutor not pending/with-capacity",IF(NOT(AI50),"no spare capacity",IF(AJ50,"tutor blacklisted",IF($AS$25,"student blacklisted",IF(NOT(AK50),"tutor vetting incomplete",IF(NOT($AS$26),"student vetting incomplete",IF(NOT(AM50),"no overlapping 3h AEST block",IF(NOT(AN50),"A1 student needs a shared language",IF(AL50,"'do not pair' note present",""))))))))))</f>
        <v/>
      </c>
      <c r="AF50">
        <f>TRIM(IFERROR(LEFT('(B) Register of Participants'!$AR$28,FIND(" (",'(B) Register of Participants'!$AR$28)-1),'(B) Register of Participants'!$AR$28))</f>
        <v/>
      </c>
      <c r="AG50">
        <f>IF(ISNUMBER(SEARCH("Mandarin",'(B) Register of Participants'!$AR$28)),"Mandarin",IF(ISNUMBER(SEARCH("Cantonese",'(B) Register of Participants'!$AR$28)),"Cantonese",IF(OR(AF50="Dari",AF50="Farsi",AF50="Persian",AF50="Hazaragi"),"Persian",AF50)))</f>
        <v/>
      </c>
      <c r="AH50">
        <f>OR(E50="ADM-ACT-UNMAT",E50="ADM-ACT-MAT-CNE")</f>
        <v/>
      </c>
      <c r="AI50">
        <f>F50&gt;0</f>
        <v/>
      </c>
      <c r="AJ50">
        <f>LEFT('(B) Register of Participants'!$L$28,3)="Yes"</f>
        <v/>
      </c>
      <c r="AK50">
        <f>AND(OR(LEFT('(B) Register of Participants'!$AY$28,3)="Yes",LEFT('(B) Register of Participants'!$AY$28,2)="NA"),OR(LEFT('(B) Register of Participants'!$AZ$28,3)="Yes",LEFT('(B) Register of Participants'!$AZ$28,2)="NA"))</f>
        <v/>
      </c>
      <c r="AL50">
        <f>OR(ISNUMBER(SEARCH("do not pair",'(B) Register of Participants'!$BL$28)),ISNUMBER(SEARCH("do not pair",'(B) Register of Participants'!$BM$28)))</f>
        <v/>
      </c>
      <c r="AM50">
        <f>P50&gt;0</f>
        <v/>
      </c>
      <c r="AN50">
        <f>IF($AS$8="A1",Q50=1,TRUE)</f>
        <v/>
      </c>
      <c r="AO50">
        <f>TRIM(IFERROR(LEFT('(B) Register of Participants'!$AP$28,FIND(";",'(B) Register of Participants'!$AP$28)-1),'(B) Register of Participants'!$AP$28))</f>
        <v/>
      </c>
      <c r="AP50">
        <f>IF(ISNUMBER(FIND(";",'(B) Register of Participants'!$AP$28)),TRIM(MID('(B) Register of Participants'!$AP$28,FIND(";",'(B) Register of Participants'!$AP$28)+1,80)),"")</f>
        <v/>
      </c>
    </row>
    <row r="51">
      <c r="B51" s="20">
        <f>IF(R51="Yes",RANK(AD51,$AD$25:$AD$124),"")</f>
        <v/>
      </c>
      <c r="C51" s="20">
        <f>'(B) Register of Participants'!$A$29</f>
        <v/>
      </c>
      <c r="D51" s="20">
        <f>'(B) Register of Participants'!$B$29</f>
        <v/>
      </c>
      <c r="E51" s="20">
        <f>'(B) Register of Participants'!$J$29</f>
        <v/>
      </c>
      <c r="F51" s="20">
        <f>IFERROR('(B) Register of Participants'!$O$29-'(B) Register of Participants'!$P$29,0)</f>
        <v/>
      </c>
      <c r="G51" s="20">
        <f>'(B) Register of Participants'!$AL$29</f>
        <v/>
      </c>
      <c r="H51" s="20">
        <f>'(B) Register of Participants'!$AP$29</f>
        <v/>
      </c>
      <c r="I51" s="20">
        <f>TRIM(IFERROR(LEFT('(B) Register of Participants'!$AS$29,FIND(" (",'(B) Register of Participants'!$AS$29)-1),'(B) Register of Participants'!$AS$29))</f>
        <v/>
      </c>
      <c r="J51" s="20">
        <f>'(B) Register of Participants'!$AT$29</f>
        <v/>
      </c>
      <c r="K51" s="20">
        <f>'(B) Register of Participants'!$AE$29</f>
        <v/>
      </c>
      <c r="L51" s="20">
        <f>'(B) Register of Participants'!$AF$29</f>
        <v/>
      </c>
      <c r="M51" s="20">
        <f>'(B) Register of Participants'!$AJ$29</f>
        <v/>
      </c>
      <c r="N51" s="20">
        <f>'(B) Register of Participants'!$CY$29</f>
        <v/>
      </c>
      <c r="O51" s="20">
        <f>'(B) Register of Participants'!$CW$29</f>
        <v/>
      </c>
      <c r="P51" s="20">
        <f>(ISNUMBER(SEARCH("6am-9am",$AS$27))*ISNUMBER(SEARCH("6am-9am",'(B) Register of Participants'!$X$29)))+(ISNUMBER(SEARCH("9am-12pm",$AS$27))*ISNUMBER(SEARCH("9am-12pm",'(B) Register of Participants'!$X$29)))+(ISNUMBER(SEARCH("12pm-3pm",$AS$27))*ISNUMBER(SEARCH("12pm-3pm",'(B) Register of Participants'!$X$29)))+(ISNUMBER(SEARCH("3pm-6pm",$AS$27))*ISNUMBER(SEARCH("3pm-6pm",'(B) Register of Participants'!$X$29)))+(ISNUMBER(SEARCH("6pm-9pm",$AS$27))*ISNUMBER(SEARCH("6pm-9pm",'(B) Register of Participants'!$X$29)))+(ISNUMBER(SEARCH("6am-9am",$AS$28))*ISNUMBER(SEARCH("6am-9am",'(B) Register of Participants'!$Y$29)))+(ISNUMBER(SEARCH("9am-12pm",$AS$28))*ISNUMBER(SEARCH("9am-12pm",'(B) Register of Participants'!$Y$29)))+(ISNUMBER(SEARCH("12pm-3pm",$AS$28))*ISNUMBER(SEARCH("12pm-3pm",'(B) Register of Participants'!$Y$29)))+(ISNUMBER(SEARCH("3pm-6pm",$AS$28))*ISNUMBER(SEARCH("3pm-6pm",'(B) Register of Participants'!$Y$29)))+(ISNUMBER(SEARCH("6pm-9pm",$AS$28))*ISNUMBER(SEARCH("6pm-9pm",'(B) Register of Participants'!$Y$29)))+(ISNUMBER(SEARCH("6am-9am",$AS$29))*ISNUMBER(SEARCH("6am-9am",'(B) Register of Participants'!$Z$29)))+(ISNUMBER(SEARCH("9am-12pm",$AS$29))*ISNUMBER(SEARCH("9am-12pm",'(B) Register of Participants'!$Z$29)))+(ISNUMBER(SEARCH("12pm-3pm",$AS$29))*ISNUMBER(SEARCH("12pm-3pm",'(B) Register of Participants'!$Z$29)))+(ISNUMBER(SEARCH("3pm-6pm",$AS$29))*ISNUMBER(SEARCH("3pm-6pm",'(B) Register of Participants'!$Z$29)))+(ISNUMBER(SEARCH("6pm-9pm",$AS$29))*ISNUMBER(SEARCH("6pm-9pm",'(B) Register of Participants'!$Z$29)))+(ISNUMBER(SEARCH("6am-9am",$AS$30))*ISNUMBER(SEARCH("6am-9am",'(B) Register of Participants'!$AA$29)))+(ISNUMBER(SEARCH("9am-12pm",$AS$30))*ISNUMBER(SEARCH("9am-12pm",'(B) Register of Participants'!$AA$29)))+(ISNUMBER(SEARCH("12pm-3pm",$AS$30))*ISNUMBER(SEARCH("12pm-3pm",'(B) Register of Participants'!$AA$29)))+(ISNUMBER(SEARCH("3pm-6pm",$AS$30))*ISNUMBER(SEARCH("3pm-6pm",'(B) Register of Participants'!$AA$29)))+(ISNUMBER(SEARCH("6pm-9pm",$AS$30))*ISNUMBER(SEARCH("6pm-9pm",'(B) Register of Participants'!$AA$29)))+(ISNUMBER(SEARCH("6am-9am",$AS$31))*ISNUMBER(SEARCH("6am-9am",'(B) Register of Participants'!$AB$29)))+(ISNUMBER(SEARCH("9am-12pm",$AS$31))*ISNUMBER(SEARCH("9am-12pm",'(B) Register of Participants'!$AB$29)))+(ISNUMBER(SEARCH("12pm-3pm",$AS$31))*ISNUMBER(SEARCH("12pm-3pm",'(B) Register of Participants'!$AB$29)))+(ISNUMBER(SEARCH("3pm-6pm",$AS$31))*ISNUMBER(SEARCH("3pm-6pm",'(B) Register of Participants'!$AB$29)))+(ISNUMBER(SEARCH("6pm-9pm",$AS$31))*ISNUMBER(SEARCH("6pm-9pm",'(B) Register of Participants'!$AB$29)))+(ISNUMBER(SEARCH("6am-9am",$AS$32))*ISNUMBER(SEARCH("6am-9am",'(B) Register of Participants'!$AC$29)))+(ISNUMBER(SEARCH("9am-12pm",$AS$32))*ISNUMBER(SEARCH("9am-12pm",'(B) Register of Participants'!$AC$29)))+(ISNUMBER(SEARCH("12pm-3pm",$AS$32))*ISNUMBER(SEARCH("12pm-3pm",'(B) Register of Participants'!$AC$29)))+(ISNUMBER(SEARCH("3pm-6pm",$AS$32))*ISNUMBER(SEARCH("3pm-6pm",'(B) Register of Participants'!$AC$29)))+(ISNUMBER(SEARCH("6pm-9pm",$AS$32))*ISNUMBER(SEARCH("6pm-9pm",'(B) Register of Participants'!$AC$29)))+(ISNUMBER(SEARCH("6am-9am",$AS$33))*ISNUMBER(SEARCH("6am-9am",'(B) Register of Participants'!$AD$29)))+(ISNUMBER(SEARCH("9am-12pm",$AS$33))*ISNUMBER(SEARCH("9am-12pm",'(B) Register of Participants'!$AD$29)))+(ISNUMBER(SEARCH("12pm-3pm",$AS$33))*ISNUMBER(SEARCH("12pm-3pm",'(B) Register of Participants'!$AD$29)))+(ISNUMBER(SEARCH("3pm-6pm",$AS$33))*ISNUMBER(SEARCH("3pm-6pm",'(B) Register of Participants'!$AD$29)))+(ISNUMBER(SEARCH("6pm-9pm",$AS$33))*ISNUMBER(SEARCH("6pm-9pm",'(B) Register of Participants'!$AD$29)))</f>
        <v/>
      </c>
      <c r="Q51" s="20">
        <f>IF(OR(AND($AS$17&lt;&gt;"",$AS$17&lt;&gt;"English",IF($AS$17="Persian",OR(ISNUMBER(SEARCH("Dari",'(B) Register of Participants'!$AR$29)),ISNUMBER(SEARCH("Farsi",'(B) Register of Participants'!$AR$29)),ISNUMBER(SEARCH("Persian",'(B) Register of Participants'!$AR$29)),ISNUMBER(SEARCH("Hazaragi",'(B) Register of Participants'!$AR$29))),ISNUMBER(SEARCH($AS$17,'(B) Register of Participants'!$AR$29)))),AND($AS$20&lt;&gt;"",$AS$20&lt;&gt;"English",IF($AS$20="Persian",OR(ISNUMBER(SEARCH("Dari",'(B) Register of Participants'!$AR$29)),ISNUMBER(SEARCH("Farsi",'(B) Register of Participants'!$AR$29)),ISNUMBER(SEARCH("Persian",'(B) Register of Participants'!$AR$29)),ISNUMBER(SEARCH("Hazaragi",'(B) Register of Participants'!$AR$29))),ISNUMBER(SEARCH($AS$20,'(B) Register of Participants'!$AR$29))))),1,0)</f>
        <v/>
      </c>
      <c r="R51" s="20">
        <f>IF(AND(AH51,AI51,NOT(AJ51),NOT($AS$25),AK51,$AS$26,AM51,AN51,NOT(AL51)),"Yes","No")</f>
        <v/>
      </c>
      <c r="S51" s="20">
        <f>IF(OR(COUNTIF('Engine Lists'!$A:$A,$AS$14&amp;"|"&amp;AO51)&gt;0,COUNTIF('Engine Lists'!$A:$A,$AS$14&amp;"|"&amp;AP51)&gt;0,COUNTIF('Engine Lists'!$A:$A,$AS$15&amp;"|"&amp;AO51)&gt;0,COUNTIF('Engine Lists'!$A:$A,$AS$15&amp;"|"&amp;AP51)&gt;0,COUNTIF('Engine Lists'!$A:$A,$AS$21&amp;"|"&amp;I51)&gt;0),-8,0)</f>
        <v/>
      </c>
      <c r="T51" s="20">
        <f>IF(Q51=1,IF(OR($AS$8="A2",$AS$8="B1"),7,IF(OR($AS$8="B2",$AS$8="C1",$AS$8="C2"),-5,0)),0)</f>
        <v/>
      </c>
      <c r="U51" s="20">
        <f>IF(AND($AS$6=G51,OR($AS$6="Male",$AS$6="Female")),5,0)</f>
        <v/>
      </c>
      <c r="V51" s="20">
        <f>IF(AND($AS$24,$AS$11&lt;&gt;"In-Person",K51&lt;&gt;"In-Person"),-5,0)</f>
        <v/>
      </c>
      <c r="W51" s="20">
        <f>IF(OR($AS$11=K51,$AS$11="Either",K51="Either"),3,0)</f>
        <v/>
      </c>
      <c r="X51" s="20">
        <f>IF(AND($AS$11&lt;&gt;"Online",K51&lt;&gt;"Online",ISNUMBER($AS$22),ISNUMBER(IFERROR(VALUE(M51),"x"))),IF(ABS($AS$22-VALUE(M51))&lt;=50,3,0),0)</f>
        <v/>
      </c>
      <c r="Y51" s="20">
        <f>IF(AND($AS$10&lt;&gt;"",$AS$10=J51),3,0)</f>
        <v/>
      </c>
      <c r="Z51" s="20">
        <f>IF(OR(N($AS$13)&gt;=150,N(O51)&gt;=150),3,0)</f>
        <v/>
      </c>
      <c r="AA51" s="20">
        <f>IF(AND($AS$21&lt;&gt;"",$AS$21&lt;&gt;"NA",$AS$21=I51),2,0)</f>
        <v/>
      </c>
      <c r="AB51" s="20">
        <f>IF(OR(AND($AS$14&lt;&gt;"",$AS$14&lt;&gt;"NA",OR($AS$14=AO51,$AS$14=AP51)),AND($AS$15&lt;&gt;"",OR($AS$15=AO51,$AS$15=AP51))),2,0)</f>
        <v/>
      </c>
      <c r="AC51" s="20">
        <f>IF(AND(ISNUMBER($AS$12),ISNUMBER(N51),ABS($AS$12-N51)&lt;=10),2,0)</f>
        <v/>
      </c>
      <c r="AD51" s="20">
        <f>IF(R51="Yes",SUM(S51:AC51),"")</f>
        <v/>
      </c>
      <c r="AE51" s="20">
        <f>IF(R51="Yes","Score "&amp;AD51&amp;": "&amp;TRIM(IF(S51&lt;&gt;0,"−8 acrimonious; ","")&amp;IF(T51=7,"+7 shared language; ","")&amp;IF(T51=-5,"−5 shared lang(adv); ","")&amp;IF(U51=5,"+5 same-sex; ","")&amp;IF(V51=-5,"−5 online no device; ","")&amp;IF(W51=3,"+3 mode; ","")&amp;IF(X51=3,"+3 proximity; ","")&amp;IF(Y51=3,"+3 category; ","")&amp;IF(Z51=3,"+3 long wait; ","")&amp;IF(AA51=2,"+2 religion; ","")&amp;IF(AB51=2,"+2 nationality; ","")&amp;IF(AC51=2,"+2 age; ","")),"Not eligible: "&amp;IF(NOT(AH51),"tutor not pending/with-capacity",IF(NOT(AI51),"no spare capacity",IF(AJ51,"tutor blacklisted",IF($AS$25,"student blacklisted",IF(NOT(AK51),"tutor vetting incomplete",IF(NOT($AS$26),"student vetting incomplete",IF(NOT(AM51),"no overlapping 3h AEST block",IF(NOT(AN51),"A1 student needs a shared language",IF(AL51,"'do not pair' note present",""))))))))))</f>
        <v/>
      </c>
      <c r="AF51">
        <f>TRIM(IFERROR(LEFT('(B) Register of Participants'!$AR$29,FIND(" (",'(B) Register of Participants'!$AR$29)-1),'(B) Register of Participants'!$AR$29))</f>
        <v/>
      </c>
      <c r="AG51">
        <f>IF(ISNUMBER(SEARCH("Mandarin",'(B) Register of Participants'!$AR$29)),"Mandarin",IF(ISNUMBER(SEARCH("Cantonese",'(B) Register of Participants'!$AR$29)),"Cantonese",IF(OR(AF51="Dari",AF51="Farsi",AF51="Persian",AF51="Hazaragi"),"Persian",AF51)))</f>
        <v/>
      </c>
      <c r="AH51">
        <f>OR(E51="ADM-ACT-UNMAT",E51="ADM-ACT-MAT-CNE")</f>
        <v/>
      </c>
      <c r="AI51">
        <f>F51&gt;0</f>
        <v/>
      </c>
      <c r="AJ51">
        <f>LEFT('(B) Register of Participants'!$L$29,3)="Yes"</f>
        <v/>
      </c>
      <c r="AK51">
        <f>AND(OR(LEFT('(B) Register of Participants'!$AY$29,3)="Yes",LEFT('(B) Register of Participants'!$AY$29,2)="NA"),OR(LEFT('(B) Register of Participants'!$AZ$29,3)="Yes",LEFT('(B) Register of Participants'!$AZ$29,2)="NA"))</f>
        <v/>
      </c>
      <c r="AL51">
        <f>OR(ISNUMBER(SEARCH("do not pair",'(B) Register of Participants'!$BL$29)),ISNUMBER(SEARCH("do not pair",'(B) Register of Participants'!$BM$29)))</f>
        <v/>
      </c>
      <c r="AM51">
        <f>P51&gt;0</f>
        <v/>
      </c>
      <c r="AN51">
        <f>IF($AS$8="A1",Q51=1,TRUE)</f>
        <v/>
      </c>
      <c r="AO51">
        <f>TRIM(IFERROR(LEFT('(B) Register of Participants'!$AP$29,FIND(";",'(B) Register of Participants'!$AP$29)-1),'(B) Register of Participants'!$AP$29))</f>
        <v/>
      </c>
      <c r="AP51">
        <f>IF(ISNUMBER(FIND(";",'(B) Register of Participants'!$AP$29)),TRIM(MID('(B) Register of Participants'!$AP$29,FIND(";",'(B) Register of Participants'!$AP$29)+1,80)),"")</f>
        <v/>
      </c>
    </row>
    <row r="52">
      <c r="B52" s="20">
        <f>IF(R52="Yes",RANK(AD52,$AD$25:$AD$124),"")</f>
        <v/>
      </c>
      <c r="C52" s="20">
        <f>'(B) Register of Participants'!$A$30</f>
        <v/>
      </c>
      <c r="D52" s="20">
        <f>'(B) Register of Participants'!$B$30</f>
        <v/>
      </c>
      <c r="E52" s="20">
        <f>'(B) Register of Participants'!$J$30</f>
        <v/>
      </c>
      <c r="F52" s="20">
        <f>IFERROR('(B) Register of Participants'!$O$30-'(B) Register of Participants'!$P$30,0)</f>
        <v/>
      </c>
      <c r="G52" s="20">
        <f>'(B) Register of Participants'!$AL$30</f>
        <v/>
      </c>
      <c r="H52" s="20">
        <f>'(B) Register of Participants'!$AP$30</f>
        <v/>
      </c>
      <c r="I52" s="20">
        <f>TRIM(IFERROR(LEFT('(B) Register of Participants'!$AS$30,FIND(" (",'(B) Register of Participants'!$AS$30)-1),'(B) Register of Participants'!$AS$30))</f>
        <v/>
      </c>
      <c r="J52" s="20">
        <f>'(B) Register of Participants'!$AT$30</f>
        <v/>
      </c>
      <c r="K52" s="20">
        <f>'(B) Register of Participants'!$AE$30</f>
        <v/>
      </c>
      <c r="L52" s="20">
        <f>'(B) Register of Participants'!$AF$30</f>
        <v/>
      </c>
      <c r="M52" s="20">
        <f>'(B) Register of Participants'!$AJ$30</f>
        <v/>
      </c>
      <c r="N52" s="20">
        <f>'(B) Register of Participants'!$CY$30</f>
        <v/>
      </c>
      <c r="O52" s="20">
        <f>'(B) Register of Participants'!$CW$30</f>
        <v/>
      </c>
      <c r="P52" s="20">
        <f>(ISNUMBER(SEARCH("6am-9am",$AS$27))*ISNUMBER(SEARCH("6am-9am",'(B) Register of Participants'!$X$30)))+(ISNUMBER(SEARCH("9am-12pm",$AS$27))*ISNUMBER(SEARCH("9am-12pm",'(B) Register of Participants'!$X$30)))+(ISNUMBER(SEARCH("12pm-3pm",$AS$27))*ISNUMBER(SEARCH("12pm-3pm",'(B) Register of Participants'!$X$30)))+(ISNUMBER(SEARCH("3pm-6pm",$AS$27))*ISNUMBER(SEARCH("3pm-6pm",'(B) Register of Participants'!$X$30)))+(ISNUMBER(SEARCH("6pm-9pm",$AS$27))*ISNUMBER(SEARCH("6pm-9pm",'(B) Register of Participants'!$X$30)))+(ISNUMBER(SEARCH("6am-9am",$AS$28))*ISNUMBER(SEARCH("6am-9am",'(B) Register of Participants'!$Y$30)))+(ISNUMBER(SEARCH("9am-12pm",$AS$28))*ISNUMBER(SEARCH("9am-12pm",'(B) Register of Participants'!$Y$30)))+(ISNUMBER(SEARCH("12pm-3pm",$AS$28))*ISNUMBER(SEARCH("12pm-3pm",'(B) Register of Participants'!$Y$30)))+(ISNUMBER(SEARCH("3pm-6pm",$AS$28))*ISNUMBER(SEARCH("3pm-6pm",'(B) Register of Participants'!$Y$30)))+(ISNUMBER(SEARCH("6pm-9pm",$AS$28))*ISNUMBER(SEARCH("6pm-9pm",'(B) Register of Participants'!$Y$30)))+(ISNUMBER(SEARCH("6am-9am",$AS$29))*ISNUMBER(SEARCH("6am-9am",'(B) Register of Participants'!$Z$30)))+(ISNUMBER(SEARCH("9am-12pm",$AS$29))*ISNUMBER(SEARCH("9am-12pm",'(B) Register of Participants'!$Z$30)))+(ISNUMBER(SEARCH("12pm-3pm",$AS$29))*ISNUMBER(SEARCH("12pm-3pm",'(B) Register of Participants'!$Z$30)))+(ISNUMBER(SEARCH("3pm-6pm",$AS$29))*ISNUMBER(SEARCH("3pm-6pm",'(B) Register of Participants'!$Z$30)))+(ISNUMBER(SEARCH("6pm-9pm",$AS$29))*ISNUMBER(SEARCH("6pm-9pm",'(B) Register of Participants'!$Z$30)))+(ISNUMBER(SEARCH("6am-9am",$AS$30))*ISNUMBER(SEARCH("6am-9am",'(B) Register of Participants'!$AA$30)))+(ISNUMBER(SEARCH("9am-12pm",$AS$30))*ISNUMBER(SEARCH("9am-12pm",'(B) Register of Participants'!$AA$30)))+(ISNUMBER(SEARCH("12pm-3pm",$AS$30))*ISNUMBER(SEARCH("12pm-3pm",'(B) Register of Participants'!$AA$30)))+(ISNUMBER(SEARCH("3pm-6pm",$AS$30))*ISNUMBER(SEARCH("3pm-6pm",'(B) Register of Participants'!$AA$30)))+(ISNUMBER(SEARCH("6pm-9pm",$AS$30))*ISNUMBER(SEARCH("6pm-9pm",'(B) Register of Participants'!$AA$30)))+(ISNUMBER(SEARCH("6am-9am",$AS$31))*ISNUMBER(SEARCH("6am-9am",'(B) Register of Participants'!$AB$30)))+(ISNUMBER(SEARCH("9am-12pm",$AS$31))*ISNUMBER(SEARCH("9am-12pm",'(B) Register of Participants'!$AB$30)))+(ISNUMBER(SEARCH("12pm-3pm",$AS$31))*ISNUMBER(SEARCH("12pm-3pm",'(B) Register of Participants'!$AB$30)))+(ISNUMBER(SEARCH("3pm-6pm",$AS$31))*ISNUMBER(SEARCH("3pm-6pm",'(B) Register of Participants'!$AB$30)))+(ISNUMBER(SEARCH("6pm-9pm",$AS$31))*ISNUMBER(SEARCH("6pm-9pm",'(B) Register of Participants'!$AB$30)))+(ISNUMBER(SEARCH("6am-9am",$AS$32))*ISNUMBER(SEARCH("6am-9am",'(B) Register of Participants'!$AC$30)))+(ISNUMBER(SEARCH("9am-12pm",$AS$32))*ISNUMBER(SEARCH("9am-12pm",'(B) Register of Participants'!$AC$30)))+(ISNUMBER(SEARCH("12pm-3pm",$AS$32))*ISNUMBER(SEARCH("12pm-3pm",'(B) Register of Participants'!$AC$30)))+(ISNUMBER(SEARCH("3pm-6pm",$AS$32))*ISNUMBER(SEARCH("3pm-6pm",'(B) Register of Participants'!$AC$30)))+(ISNUMBER(SEARCH("6pm-9pm",$AS$32))*ISNUMBER(SEARCH("6pm-9pm",'(B) Register of Participants'!$AC$30)))+(ISNUMBER(SEARCH("6am-9am",$AS$33))*ISNUMBER(SEARCH("6am-9am",'(B) Register of Participants'!$AD$30)))+(ISNUMBER(SEARCH("9am-12pm",$AS$33))*ISNUMBER(SEARCH("9am-12pm",'(B) Register of Participants'!$AD$30)))+(ISNUMBER(SEARCH("12pm-3pm",$AS$33))*ISNUMBER(SEARCH("12pm-3pm",'(B) Register of Participants'!$AD$30)))+(ISNUMBER(SEARCH("3pm-6pm",$AS$33))*ISNUMBER(SEARCH("3pm-6pm",'(B) Register of Participants'!$AD$30)))+(ISNUMBER(SEARCH("6pm-9pm",$AS$33))*ISNUMBER(SEARCH("6pm-9pm",'(B) Register of Participants'!$AD$30)))</f>
        <v/>
      </c>
      <c r="Q52" s="20">
        <f>IF(OR(AND($AS$17&lt;&gt;"",$AS$17&lt;&gt;"English",IF($AS$17="Persian",OR(ISNUMBER(SEARCH("Dari",'(B) Register of Participants'!$AR$30)),ISNUMBER(SEARCH("Farsi",'(B) Register of Participants'!$AR$30)),ISNUMBER(SEARCH("Persian",'(B) Register of Participants'!$AR$30)),ISNUMBER(SEARCH("Hazaragi",'(B) Register of Participants'!$AR$30))),ISNUMBER(SEARCH($AS$17,'(B) Register of Participants'!$AR$30)))),AND($AS$20&lt;&gt;"",$AS$20&lt;&gt;"English",IF($AS$20="Persian",OR(ISNUMBER(SEARCH("Dari",'(B) Register of Participants'!$AR$30)),ISNUMBER(SEARCH("Farsi",'(B) Register of Participants'!$AR$30)),ISNUMBER(SEARCH("Persian",'(B) Register of Participants'!$AR$30)),ISNUMBER(SEARCH("Hazaragi",'(B) Register of Participants'!$AR$30))),ISNUMBER(SEARCH($AS$20,'(B) Register of Participants'!$AR$30))))),1,0)</f>
        <v/>
      </c>
      <c r="R52" s="20">
        <f>IF(AND(AH52,AI52,NOT(AJ52),NOT($AS$25),AK52,$AS$26,AM52,AN52,NOT(AL52)),"Yes","No")</f>
        <v/>
      </c>
      <c r="S52" s="20">
        <f>IF(OR(COUNTIF('Engine Lists'!$A:$A,$AS$14&amp;"|"&amp;AO52)&gt;0,COUNTIF('Engine Lists'!$A:$A,$AS$14&amp;"|"&amp;AP52)&gt;0,COUNTIF('Engine Lists'!$A:$A,$AS$15&amp;"|"&amp;AO52)&gt;0,COUNTIF('Engine Lists'!$A:$A,$AS$15&amp;"|"&amp;AP52)&gt;0,COUNTIF('Engine Lists'!$A:$A,$AS$21&amp;"|"&amp;I52)&gt;0),-8,0)</f>
        <v/>
      </c>
      <c r="T52" s="20">
        <f>IF(Q52=1,IF(OR($AS$8="A2",$AS$8="B1"),7,IF(OR($AS$8="B2",$AS$8="C1",$AS$8="C2"),-5,0)),0)</f>
        <v/>
      </c>
      <c r="U52" s="20">
        <f>IF(AND($AS$6=G52,OR($AS$6="Male",$AS$6="Female")),5,0)</f>
        <v/>
      </c>
      <c r="V52" s="20">
        <f>IF(AND($AS$24,$AS$11&lt;&gt;"In-Person",K52&lt;&gt;"In-Person"),-5,0)</f>
        <v/>
      </c>
      <c r="W52" s="20">
        <f>IF(OR($AS$11=K52,$AS$11="Either",K52="Either"),3,0)</f>
        <v/>
      </c>
      <c r="X52" s="20">
        <f>IF(AND($AS$11&lt;&gt;"Online",K52&lt;&gt;"Online",ISNUMBER($AS$22),ISNUMBER(IFERROR(VALUE(M52),"x"))),IF(ABS($AS$22-VALUE(M52))&lt;=50,3,0),0)</f>
        <v/>
      </c>
      <c r="Y52" s="20">
        <f>IF(AND($AS$10&lt;&gt;"",$AS$10=J52),3,0)</f>
        <v/>
      </c>
      <c r="Z52" s="20">
        <f>IF(OR(N($AS$13)&gt;=150,N(O52)&gt;=150),3,0)</f>
        <v/>
      </c>
      <c r="AA52" s="20">
        <f>IF(AND($AS$21&lt;&gt;"",$AS$21&lt;&gt;"NA",$AS$21=I52),2,0)</f>
        <v/>
      </c>
      <c r="AB52" s="20">
        <f>IF(OR(AND($AS$14&lt;&gt;"",$AS$14&lt;&gt;"NA",OR($AS$14=AO52,$AS$14=AP52)),AND($AS$15&lt;&gt;"",OR($AS$15=AO52,$AS$15=AP52))),2,0)</f>
        <v/>
      </c>
      <c r="AC52" s="20">
        <f>IF(AND(ISNUMBER($AS$12),ISNUMBER(N52),ABS($AS$12-N52)&lt;=10),2,0)</f>
        <v/>
      </c>
      <c r="AD52" s="20">
        <f>IF(R52="Yes",SUM(S52:AC52),"")</f>
        <v/>
      </c>
      <c r="AE52" s="20">
        <f>IF(R52="Yes","Score "&amp;AD52&amp;": "&amp;TRIM(IF(S52&lt;&gt;0,"−8 acrimonious; ","")&amp;IF(T52=7,"+7 shared language; ","")&amp;IF(T52=-5,"−5 shared lang(adv); ","")&amp;IF(U52=5,"+5 same-sex; ","")&amp;IF(V52=-5,"−5 online no device; ","")&amp;IF(W52=3,"+3 mode; ","")&amp;IF(X52=3,"+3 proximity; ","")&amp;IF(Y52=3,"+3 category; ","")&amp;IF(Z52=3,"+3 long wait; ","")&amp;IF(AA52=2,"+2 religion; ","")&amp;IF(AB52=2,"+2 nationality; ","")&amp;IF(AC52=2,"+2 age; ","")),"Not eligible: "&amp;IF(NOT(AH52),"tutor not pending/with-capacity",IF(NOT(AI52),"no spare capacity",IF(AJ52,"tutor blacklisted",IF($AS$25,"student blacklisted",IF(NOT(AK52),"tutor vetting incomplete",IF(NOT($AS$26),"student vetting incomplete",IF(NOT(AM52),"no overlapping 3h AEST block",IF(NOT(AN52),"A1 student needs a shared language",IF(AL52,"'do not pair' note present",""))))))))))</f>
        <v/>
      </c>
      <c r="AF52">
        <f>TRIM(IFERROR(LEFT('(B) Register of Participants'!$AR$30,FIND(" (",'(B) Register of Participants'!$AR$30)-1),'(B) Register of Participants'!$AR$30))</f>
        <v/>
      </c>
      <c r="AG52">
        <f>IF(ISNUMBER(SEARCH("Mandarin",'(B) Register of Participants'!$AR$30)),"Mandarin",IF(ISNUMBER(SEARCH("Cantonese",'(B) Register of Participants'!$AR$30)),"Cantonese",IF(OR(AF52="Dari",AF52="Farsi",AF52="Persian",AF52="Hazaragi"),"Persian",AF52)))</f>
        <v/>
      </c>
      <c r="AH52">
        <f>OR(E52="ADM-ACT-UNMAT",E52="ADM-ACT-MAT-CNE")</f>
        <v/>
      </c>
      <c r="AI52">
        <f>F52&gt;0</f>
        <v/>
      </c>
      <c r="AJ52">
        <f>LEFT('(B) Register of Participants'!$L$30,3)="Yes"</f>
        <v/>
      </c>
      <c r="AK52">
        <f>AND(OR(LEFT('(B) Register of Participants'!$AY$30,3)="Yes",LEFT('(B) Register of Participants'!$AY$30,2)="NA"),OR(LEFT('(B) Register of Participants'!$AZ$30,3)="Yes",LEFT('(B) Register of Participants'!$AZ$30,2)="NA"))</f>
        <v/>
      </c>
      <c r="AL52">
        <f>OR(ISNUMBER(SEARCH("do not pair",'(B) Register of Participants'!$BL$30)),ISNUMBER(SEARCH("do not pair",'(B) Register of Participants'!$BM$30)))</f>
        <v/>
      </c>
      <c r="AM52">
        <f>P52&gt;0</f>
        <v/>
      </c>
      <c r="AN52">
        <f>IF($AS$8="A1",Q52=1,TRUE)</f>
        <v/>
      </c>
      <c r="AO52">
        <f>TRIM(IFERROR(LEFT('(B) Register of Participants'!$AP$30,FIND(";",'(B) Register of Participants'!$AP$30)-1),'(B) Register of Participants'!$AP$30))</f>
        <v/>
      </c>
      <c r="AP52">
        <f>IF(ISNUMBER(FIND(";",'(B) Register of Participants'!$AP$30)),TRIM(MID('(B) Register of Participants'!$AP$30,FIND(";",'(B) Register of Participants'!$AP$30)+1,80)),"")</f>
        <v/>
      </c>
    </row>
    <row r="53">
      <c r="B53" s="20">
        <f>IF(R53="Yes",RANK(AD53,$AD$25:$AD$124),"")</f>
        <v/>
      </c>
      <c r="C53" s="20">
        <f>'(B) Register of Participants'!$A$31</f>
        <v/>
      </c>
      <c r="D53" s="20">
        <f>'(B) Register of Participants'!$B$31</f>
        <v/>
      </c>
      <c r="E53" s="20">
        <f>'(B) Register of Participants'!$J$31</f>
        <v/>
      </c>
      <c r="F53" s="20">
        <f>IFERROR('(B) Register of Participants'!$O$31-'(B) Register of Participants'!$P$31,0)</f>
        <v/>
      </c>
      <c r="G53" s="20">
        <f>'(B) Register of Participants'!$AL$31</f>
        <v/>
      </c>
      <c r="H53" s="20">
        <f>'(B) Register of Participants'!$AP$31</f>
        <v/>
      </c>
      <c r="I53" s="20">
        <f>TRIM(IFERROR(LEFT('(B) Register of Participants'!$AS$31,FIND(" (",'(B) Register of Participants'!$AS$31)-1),'(B) Register of Participants'!$AS$31))</f>
        <v/>
      </c>
      <c r="J53" s="20">
        <f>'(B) Register of Participants'!$AT$31</f>
        <v/>
      </c>
      <c r="K53" s="20">
        <f>'(B) Register of Participants'!$AE$31</f>
        <v/>
      </c>
      <c r="L53" s="20">
        <f>'(B) Register of Participants'!$AF$31</f>
        <v/>
      </c>
      <c r="M53" s="20">
        <f>'(B) Register of Participants'!$AJ$31</f>
        <v/>
      </c>
      <c r="N53" s="20">
        <f>'(B) Register of Participants'!$CY$31</f>
        <v/>
      </c>
      <c r="O53" s="20">
        <f>'(B) Register of Participants'!$CW$31</f>
        <v/>
      </c>
      <c r="P53" s="20">
        <f>(ISNUMBER(SEARCH("6am-9am",$AS$27))*ISNUMBER(SEARCH("6am-9am",'(B) Register of Participants'!$X$31)))+(ISNUMBER(SEARCH("9am-12pm",$AS$27))*ISNUMBER(SEARCH("9am-12pm",'(B) Register of Participants'!$X$31)))+(ISNUMBER(SEARCH("12pm-3pm",$AS$27))*ISNUMBER(SEARCH("12pm-3pm",'(B) Register of Participants'!$X$31)))+(ISNUMBER(SEARCH("3pm-6pm",$AS$27))*ISNUMBER(SEARCH("3pm-6pm",'(B) Register of Participants'!$X$31)))+(ISNUMBER(SEARCH("6pm-9pm",$AS$27))*ISNUMBER(SEARCH("6pm-9pm",'(B) Register of Participants'!$X$31)))+(ISNUMBER(SEARCH("6am-9am",$AS$28))*ISNUMBER(SEARCH("6am-9am",'(B) Register of Participants'!$Y$31)))+(ISNUMBER(SEARCH("9am-12pm",$AS$28))*ISNUMBER(SEARCH("9am-12pm",'(B) Register of Participants'!$Y$31)))+(ISNUMBER(SEARCH("12pm-3pm",$AS$28))*ISNUMBER(SEARCH("12pm-3pm",'(B) Register of Participants'!$Y$31)))+(ISNUMBER(SEARCH("3pm-6pm",$AS$28))*ISNUMBER(SEARCH("3pm-6pm",'(B) Register of Participants'!$Y$31)))+(ISNUMBER(SEARCH("6pm-9pm",$AS$28))*ISNUMBER(SEARCH("6pm-9pm",'(B) Register of Participants'!$Y$31)))+(ISNUMBER(SEARCH("6am-9am",$AS$29))*ISNUMBER(SEARCH("6am-9am",'(B) Register of Participants'!$Z$31)))+(ISNUMBER(SEARCH("9am-12pm",$AS$29))*ISNUMBER(SEARCH("9am-12pm",'(B) Register of Participants'!$Z$31)))+(ISNUMBER(SEARCH("12pm-3pm",$AS$29))*ISNUMBER(SEARCH("12pm-3pm",'(B) Register of Participants'!$Z$31)))+(ISNUMBER(SEARCH("3pm-6pm",$AS$29))*ISNUMBER(SEARCH("3pm-6pm",'(B) Register of Participants'!$Z$31)))+(ISNUMBER(SEARCH("6pm-9pm",$AS$29))*ISNUMBER(SEARCH("6pm-9pm",'(B) Register of Participants'!$Z$31)))+(ISNUMBER(SEARCH("6am-9am",$AS$30))*ISNUMBER(SEARCH("6am-9am",'(B) Register of Participants'!$AA$31)))+(ISNUMBER(SEARCH("9am-12pm",$AS$30))*ISNUMBER(SEARCH("9am-12pm",'(B) Register of Participants'!$AA$31)))+(ISNUMBER(SEARCH("12pm-3pm",$AS$30))*ISNUMBER(SEARCH("12pm-3pm",'(B) Register of Participants'!$AA$31)))+(ISNUMBER(SEARCH("3pm-6pm",$AS$30))*ISNUMBER(SEARCH("3pm-6pm",'(B) Register of Participants'!$AA$31)))+(ISNUMBER(SEARCH("6pm-9pm",$AS$30))*ISNUMBER(SEARCH("6pm-9pm",'(B) Register of Participants'!$AA$31)))+(ISNUMBER(SEARCH("6am-9am",$AS$31))*ISNUMBER(SEARCH("6am-9am",'(B) Register of Participants'!$AB$31)))+(ISNUMBER(SEARCH("9am-12pm",$AS$31))*ISNUMBER(SEARCH("9am-12pm",'(B) Register of Participants'!$AB$31)))+(ISNUMBER(SEARCH("12pm-3pm",$AS$31))*ISNUMBER(SEARCH("12pm-3pm",'(B) Register of Participants'!$AB$31)))+(ISNUMBER(SEARCH("3pm-6pm",$AS$31))*ISNUMBER(SEARCH("3pm-6pm",'(B) Register of Participants'!$AB$31)))+(ISNUMBER(SEARCH("6pm-9pm",$AS$31))*ISNUMBER(SEARCH("6pm-9pm",'(B) Register of Participants'!$AB$31)))+(ISNUMBER(SEARCH("6am-9am",$AS$32))*ISNUMBER(SEARCH("6am-9am",'(B) Register of Participants'!$AC$31)))+(ISNUMBER(SEARCH("9am-12pm",$AS$32))*ISNUMBER(SEARCH("9am-12pm",'(B) Register of Participants'!$AC$31)))+(ISNUMBER(SEARCH("12pm-3pm",$AS$32))*ISNUMBER(SEARCH("12pm-3pm",'(B) Register of Participants'!$AC$31)))+(ISNUMBER(SEARCH("3pm-6pm",$AS$32))*ISNUMBER(SEARCH("3pm-6pm",'(B) Register of Participants'!$AC$31)))+(ISNUMBER(SEARCH("6pm-9pm",$AS$32))*ISNUMBER(SEARCH("6pm-9pm",'(B) Register of Participants'!$AC$31)))+(ISNUMBER(SEARCH("6am-9am",$AS$33))*ISNUMBER(SEARCH("6am-9am",'(B) Register of Participants'!$AD$31)))+(ISNUMBER(SEARCH("9am-12pm",$AS$33))*ISNUMBER(SEARCH("9am-12pm",'(B) Register of Participants'!$AD$31)))+(ISNUMBER(SEARCH("12pm-3pm",$AS$33))*ISNUMBER(SEARCH("12pm-3pm",'(B) Register of Participants'!$AD$31)))+(ISNUMBER(SEARCH("3pm-6pm",$AS$33))*ISNUMBER(SEARCH("3pm-6pm",'(B) Register of Participants'!$AD$31)))+(ISNUMBER(SEARCH("6pm-9pm",$AS$33))*ISNUMBER(SEARCH("6pm-9pm",'(B) Register of Participants'!$AD$31)))</f>
        <v/>
      </c>
      <c r="Q53" s="20">
        <f>IF(OR(AND($AS$17&lt;&gt;"",$AS$17&lt;&gt;"English",IF($AS$17="Persian",OR(ISNUMBER(SEARCH("Dari",'(B) Register of Participants'!$AR$31)),ISNUMBER(SEARCH("Farsi",'(B) Register of Participants'!$AR$31)),ISNUMBER(SEARCH("Persian",'(B) Register of Participants'!$AR$31)),ISNUMBER(SEARCH("Hazaragi",'(B) Register of Participants'!$AR$31))),ISNUMBER(SEARCH($AS$17,'(B) Register of Participants'!$AR$31)))),AND($AS$20&lt;&gt;"",$AS$20&lt;&gt;"English",IF($AS$20="Persian",OR(ISNUMBER(SEARCH("Dari",'(B) Register of Participants'!$AR$31)),ISNUMBER(SEARCH("Farsi",'(B) Register of Participants'!$AR$31)),ISNUMBER(SEARCH("Persian",'(B) Register of Participants'!$AR$31)),ISNUMBER(SEARCH("Hazaragi",'(B) Register of Participants'!$AR$31))),ISNUMBER(SEARCH($AS$20,'(B) Register of Participants'!$AR$31))))),1,0)</f>
        <v/>
      </c>
      <c r="R53" s="20">
        <f>IF(AND(AH53,AI53,NOT(AJ53),NOT($AS$25),AK53,$AS$26,AM53,AN53,NOT(AL53)),"Yes","No")</f>
        <v/>
      </c>
      <c r="S53" s="20">
        <f>IF(OR(COUNTIF('Engine Lists'!$A:$A,$AS$14&amp;"|"&amp;AO53)&gt;0,COUNTIF('Engine Lists'!$A:$A,$AS$14&amp;"|"&amp;AP53)&gt;0,COUNTIF('Engine Lists'!$A:$A,$AS$15&amp;"|"&amp;AO53)&gt;0,COUNTIF('Engine Lists'!$A:$A,$AS$15&amp;"|"&amp;AP53)&gt;0,COUNTIF('Engine Lists'!$A:$A,$AS$21&amp;"|"&amp;I53)&gt;0),-8,0)</f>
        <v/>
      </c>
      <c r="T53" s="20">
        <f>IF(Q53=1,IF(OR($AS$8="A2",$AS$8="B1"),7,IF(OR($AS$8="B2",$AS$8="C1",$AS$8="C2"),-5,0)),0)</f>
        <v/>
      </c>
      <c r="U53" s="20">
        <f>IF(AND($AS$6=G53,OR($AS$6="Male",$AS$6="Female")),5,0)</f>
        <v/>
      </c>
      <c r="V53" s="20">
        <f>IF(AND($AS$24,$AS$11&lt;&gt;"In-Person",K53&lt;&gt;"In-Person"),-5,0)</f>
        <v/>
      </c>
      <c r="W53" s="20">
        <f>IF(OR($AS$11=K53,$AS$11="Either",K53="Either"),3,0)</f>
        <v/>
      </c>
      <c r="X53" s="20">
        <f>IF(AND($AS$11&lt;&gt;"Online",K53&lt;&gt;"Online",ISNUMBER($AS$22),ISNUMBER(IFERROR(VALUE(M53),"x"))),IF(ABS($AS$22-VALUE(M53))&lt;=50,3,0),0)</f>
        <v/>
      </c>
      <c r="Y53" s="20">
        <f>IF(AND($AS$10&lt;&gt;"",$AS$10=J53),3,0)</f>
        <v/>
      </c>
      <c r="Z53" s="20">
        <f>IF(OR(N($AS$13)&gt;=150,N(O53)&gt;=150),3,0)</f>
        <v/>
      </c>
      <c r="AA53" s="20">
        <f>IF(AND($AS$21&lt;&gt;"",$AS$21&lt;&gt;"NA",$AS$21=I53),2,0)</f>
        <v/>
      </c>
      <c r="AB53" s="20">
        <f>IF(OR(AND($AS$14&lt;&gt;"",$AS$14&lt;&gt;"NA",OR($AS$14=AO53,$AS$14=AP53)),AND($AS$15&lt;&gt;"",OR($AS$15=AO53,$AS$15=AP53))),2,0)</f>
        <v/>
      </c>
      <c r="AC53" s="20">
        <f>IF(AND(ISNUMBER($AS$12),ISNUMBER(N53),ABS($AS$12-N53)&lt;=10),2,0)</f>
        <v/>
      </c>
      <c r="AD53" s="20">
        <f>IF(R53="Yes",SUM(S53:AC53),"")</f>
        <v/>
      </c>
      <c r="AE53" s="20">
        <f>IF(R53="Yes","Score "&amp;AD53&amp;": "&amp;TRIM(IF(S53&lt;&gt;0,"−8 acrimonious; ","")&amp;IF(T53=7,"+7 shared language; ","")&amp;IF(T53=-5,"−5 shared lang(adv); ","")&amp;IF(U53=5,"+5 same-sex; ","")&amp;IF(V53=-5,"−5 online no device; ","")&amp;IF(W53=3,"+3 mode; ","")&amp;IF(X53=3,"+3 proximity; ","")&amp;IF(Y53=3,"+3 category; ","")&amp;IF(Z53=3,"+3 long wait; ","")&amp;IF(AA53=2,"+2 religion; ","")&amp;IF(AB53=2,"+2 nationality; ","")&amp;IF(AC53=2,"+2 age; ","")),"Not eligible: "&amp;IF(NOT(AH53),"tutor not pending/with-capacity",IF(NOT(AI53),"no spare capacity",IF(AJ53,"tutor blacklisted",IF($AS$25,"student blacklisted",IF(NOT(AK53),"tutor vetting incomplete",IF(NOT($AS$26),"student vetting incomplete",IF(NOT(AM53),"no overlapping 3h AEST block",IF(NOT(AN53),"A1 student needs a shared language",IF(AL53,"'do not pair' note present",""))))))))))</f>
        <v/>
      </c>
      <c r="AF53">
        <f>TRIM(IFERROR(LEFT('(B) Register of Participants'!$AR$31,FIND(" (",'(B) Register of Participants'!$AR$31)-1),'(B) Register of Participants'!$AR$31))</f>
        <v/>
      </c>
      <c r="AG53">
        <f>IF(ISNUMBER(SEARCH("Mandarin",'(B) Register of Participants'!$AR$31)),"Mandarin",IF(ISNUMBER(SEARCH("Cantonese",'(B) Register of Participants'!$AR$31)),"Cantonese",IF(OR(AF53="Dari",AF53="Farsi",AF53="Persian",AF53="Hazaragi"),"Persian",AF53)))</f>
        <v/>
      </c>
      <c r="AH53">
        <f>OR(E53="ADM-ACT-UNMAT",E53="ADM-ACT-MAT-CNE")</f>
        <v/>
      </c>
      <c r="AI53">
        <f>F53&gt;0</f>
        <v/>
      </c>
      <c r="AJ53">
        <f>LEFT('(B) Register of Participants'!$L$31,3)="Yes"</f>
        <v/>
      </c>
      <c r="AK53">
        <f>AND(OR(LEFT('(B) Register of Participants'!$AY$31,3)="Yes",LEFT('(B) Register of Participants'!$AY$31,2)="NA"),OR(LEFT('(B) Register of Participants'!$AZ$31,3)="Yes",LEFT('(B) Register of Participants'!$AZ$31,2)="NA"))</f>
        <v/>
      </c>
      <c r="AL53">
        <f>OR(ISNUMBER(SEARCH("do not pair",'(B) Register of Participants'!$BL$31)),ISNUMBER(SEARCH("do not pair",'(B) Register of Participants'!$BM$31)))</f>
        <v/>
      </c>
      <c r="AM53">
        <f>P53&gt;0</f>
        <v/>
      </c>
      <c r="AN53">
        <f>IF($AS$8="A1",Q53=1,TRUE)</f>
        <v/>
      </c>
      <c r="AO53">
        <f>TRIM(IFERROR(LEFT('(B) Register of Participants'!$AP$31,FIND(";",'(B) Register of Participants'!$AP$31)-1),'(B) Register of Participants'!$AP$31))</f>
        <v/>
      </c>
      <c r="AP53">
        <f>IF(ISNUMBER(FIND(";",'(B) Register of Participants'!$AP$31)),TRIM(MID('(B) Register of Participants'!$AP$31,FIND(";",'(B) Register of Participants'!$AP$31)+1,80)),"")</f>
        <v/>
      </c>
    </row>
    <row r="54">
      <c r="B54" s="20">
        <f>IF(R54="Yes",RANK(AD54,$AD$25:$AD$124),"")</f>
        <v/>
      </c>
      <c r="C54" s="20">
        <f>'(B) Register of Participants'!$A$32</f>
        <v/>
      </c>
      <c r="D54" s="20">
        <f>'(B) Register of Participants'!$B$32</f>
        <v/>
      </c>
      <c r="E54" s="20">
        <f>'(B) Register of Participants'!$J$32</f>
        <v/>
      </c>
      <c r="F54" s="20">
        <f>IFERROR('(B) Register of Participants'!$O$32-'(B) Register of Participants'!$P$32,0)</f>
        <v/>
      </c>
      <c r="G54" s="20">
        <f>'(B) Register of Participants'!$AL$32</f>
        <v/>
      </c>
      <c r="H54" s="20">
        <f>'(B) Register of Participants'!$AP$32</f>
        <v/>
      </c>
      <c r="I54" s="20">
        <f>TRIM(IFERROR(LEFT('(B) Register of Participants'!$AS$32,FIND(" (",'(B) Register of Participants'!$AS$32)-1),'(B) Register of Participants'!$AS$32))</f>
        <v/>
      </c>
      <c r="J54" s="20">
        <f>'(B) Register of Participants'!$AT$32</f>
        <v/>
      </c>
      <c r="K54" s="20">
        <f>'(B) Register of Participants'!$AE$32</f>
        <v/>
      </c>
      <c r="L54" s="20">
        <f>'(B) Register of Participants'!$AF$32</f>
        <v/>
      </c>
      <c r="M54" s="20">
        <f>'(B) Register of Participants'!$AJ$32</f>
        <v/>
      </c>
      <c r="N54" s="20">
        <f>'(B) Register of Participants'!$CY$32</f>
        <v/>
      </c>
      <c r="O54" s="20">
        <f>'(B) Register of Participants'!$CW$32</f>
        <v/>
      </c>
      <c r="P54" s="20">
        <f>(ISNUMBER(SEARCH("6am-9am",$AS$27))*ISNUMBER(SEARCH("6am-9am",'(B) Register of Participants'!$X$32)))+(ISNUMBER(SEARCH("9am-12pm",$AS$27))*ISNUMBER(SEARCH("9am-12pm",'(B) Register of Participants'!$X$32)))+(ISNUMBER(SEARCH("12pm-3pm",$AS$27))*ISNUMBER(SEARCH("12pm-3pm",'(B) Register of Participants'!$X$32)))+(ISNUMBER(SEARCH("3pm-6pm",$AS$27))*ISNUMBER(SEARCH("3pm-6pm",'(B) Register of Participants'!$X$32)))+(ISNUMBER(SEARCH("6pm-9pm",$AS$27))*ISNUMBER(SEARCH("6pm-9pm",'(B) Register of Participants'!$X$32)))+(ISNUMBER(SEARCH("6am-9am",$AS$28))*ISNUMBER(SEARCH("6am-9am",'(B) Register of Participants'!$Y$32)))+(ISNUMBER(SEARCH("9am-12pm",$AS$28))*ISNUMBER(SEARCH("9am-12pm",'(B) Register of Participants'!$Y$32)))+(ISNUMBER(SEARCH("12pm-3pm",$AS$28))*ISNUMBER(SEARCH("12pm-3pm",'(B) Register of Participants'!$Y$32)))+(ISNUMBER(SEARCH("3pm-6pm",$AS$28))*ISNUMBER(SEARCH("3pm-6pm",'(B) Register of Participants'!$Y$32)))+(ISNUMBER(SEARCH("6pm-9pm",$AS$28))*ISNUMBER(SEARCH("6pm-9pm",'(B) Register of Participants'!$Y$32)))+(ISNUMBER(SEARCH("6am-9am",$AS$29))*ISNUMBER(SEARCH("6am-9am",'(B) Register of Participants'!$Z$32)))+(ISNUMBER(SEARCH("9am-12pm",$AS$29))*ISNUMBER(SEARCH("9am-12pm",'(B) Register of Participants'!$Z$32)))+(ISNUMBER(SEARCH("12pm-3pm",$AS$29))*ISNUMBER(SEARCH("12pm-3pm",'(B) Register of Participants'!$Z$32)))+(ISNUMBER(SEARCH("3pm-6pm",$AS$29))*ISNUMBER(SEARCH("3pm-6pm",'(B) Register of Participants'!$Z$32)))+(ISNUMBER(SEARCH("6pm-9pm",$AS$29))*ISNUMBER(SEARCH("6pm-9pm",'(B) Register of Participants'!$Z$32)))+(ISNUMBER(SEARCH("6am-9am",$AS$30))*ISNUMBER(SEARCH("6am-9am",'(B) Register of Participants'!$AA$32)))+(ISNUMBER(SEARCH("9am-12pm",$AS$30))*ISNUMBER(SEARCH("9am-12pm",'(B) Register of Participants'!$AA$32)))+(ISNUMBER(SEARCH("12pm-3pm",$AS$30))*ISNUMBER(SEARCH("12pm-3pm",'(B) Register of Participants'!$AA$32)))+(ISNUMBER(SEARCH("3pm-6pm",$AS$30))*ISNUMBER(SEARCH("3pm-6pm",'(B) Register of Participants'!$AA$32)))+(ISNUMBER(SEARCH("6pm-9pm",$AS$30))*ISNUMBER(SEARCH("6pm-9pm",'(B) Register of Participants'!$AA$32)))+(ISNUMBER(SEARCH("6am-9am",$AS$31))*ISNUMBER(SEARCH("6am-9am",'(B) Register of Participants'!$AB$32)))+(ISNUMBER(SEARCH("9am-12pm",$AS$31))*ISNUMBER(SEARCH("9am-12pm",'(B) Register of Participants'!$AB$32)))+(ISNUMBER(SEARCH("12pm-3pm",$AS$31))*ISNUMBER(SEARCH("12pm-3pm",'(B) Register of Participants'!$AB$32)))+(ISNUMBER(SEARCH("3pm-6pm",$AS$31))*ISNUMBER(SEARCH("3pm-6pm",'(B) Register of Participants'!$AB$32)))+(ISNUMBER(SEARCH("6pm-9pm",$AS$31))*ISNUMBER(SEARCH("6pm-9pm",'(B) Register of Participants'!$AB$32)))+(ISNUMBER(SEARCH("6am-9am",$AS$32))*ISNUMBER(SEARCH("6am-9am",'(B) Register of Participants'!$AC$32)))+(ISNUMBER(SEARCH("9am-12pm",$AS$32))*ISNUMBER(SEARCH("9am-12pm",'(B) Register of Participants'!$AC$32)))+(ISNUMBER(SEARCH("12pm-3pm",$AS$32))*ISNUMBER(SEARCH("12pm-3pm",'(B) Register of Participants'!$AC$32)))+(ISNUMBER(SEARCH("3pm-6pm",$AS$32))*ISNUMBER(SEARCH("3pm-6pm",'(B) Register of Participants'!$AC$32)))+(ISNUMBER(SEARCH("6pm-9pm",$AS$32))*ISNUMBER(SEARCH("6pm-9pm",'(B) Register of Participants'!$AC$32)))+(ISNUMBER(SEARCH("6am-9am",$AS$33))*ISNUMBER(SEARCH("6am-9am",'(B) Register of Participants'!$AD$32)))+(ISNUMBER(SEARCH("9am-12pm",$AS$33))*ISNUMBER(SEARCH("9am-12pm",'(B) Register of Participants'!$AD$32)))+(ISNUMBER(SEARCH("12pm-3pm",$AS$33))*ISNUMBER(SEARCH("12pm-3pm",'(B) Register of Participants'!$AD$32)))+(ISNUMBER(SEARCH("3pm-6pm",$AS$33))*ISNUMBER(SEARCH("3pm-6pm",'(B) Register of Participants'!$AD$32)))+(ISNUMBER(SEARCH("6pm-9pm",$AS$33))*ISNUMBER(SEARCH("6pm-9pm",'(B) Register of Participants'!$AD$32)))</f>
        <v/>
      </c>
      <c r="Q54" s="20">
        <f>IF(OR(AND($AS$17&lt;&gt;"",$AS$17&lt;&gt;"English",IF($AS$17="Persian",OR(ISNUMBER(SEARCH("Dari",'(B) Register of Participants'!$AR$32)),ISNUMBER(SEARCH("Farsi",'(B) Register of Participants'!$AR$32)),ISNUMBER(SEARCH("Persian",'(B) Register of Participants'!$AR$32)),ISNUMBER(SEARCH("Hazaragi",'(B) Register of Participants'!$AR$32))),ISNUMBER(SEARCH($AS$17,'(B) Register of Participants'!$AR$32)))),AND($AS$20&lt;&gt;"",$AS$20&lt;&gt;"English",IF($AS$20="Persian",OR(ISNUMBER(SEARCH("Dari",'(B) Register of Participants'!$AR$32)),ISNUMBER(SEARCH("Farsi",'(B) Register of Participants'!$AR$32)),ISNUMBER(SEARCH("Persian",'(B) Register of Participants'!$AR$32)),ISNUMBER(SEARCH("Hazaragi",'(B) Register of Participants'!$AR$32))),ISNUMBER(SEARCH($AS$20,'(B) Register of Participants'!$AR$32))))),1,0)</f>
        <v/>
      </c>
      <c r="R54" s="20">
        <f>IF(AND(AH54,AI54,NOT(AJ54),NOT($AS$25),AK54,$AS$26,AM54,AN54,NOT(AL54)),"Yes","No")</f>
        <v/>
      </c>
      <c r="S54" s="20">
        <f>IF(OR(COUNTIF('Engine Lists'!$A:$A,$AS$14&amp;"|"&amp;AO54)&gt;0,COUNTIF('Engine Lists'!$A:$A,$AS$14&amp;"|"&amp;AP54)&gt;0,COUNTIF('Engine Lists'!$A:$A,$AS$15&amp;"|"&amp;AO54)&gt;0,COUNTIF('Engine Lists'!$A:$A,$AS$15&amp;"|"&amp;AP54)&gt;0,COUNTIF('Engine Lists'!$A:$A,$AS$21&amp;"|"&amp;I54)&gt;0),-8,0)</f>
        <v/>
      </c>
      <c r="T54" s="20">
        <f>IF(Q54=1,IF(OR($AS$8="A2",$AS$8="B1"),7,IF(OR($AS$8="B2",$AS$8="C1",$AS$8="C2"),-5,0)),0)</f>
        <v/>
      </c>
      <c r="U54" s="20">
        <f>IF(AND($AS$6=G54,OR($AS$6="Male",$AS$6="Female")),5,0)</f>
        <v/>
      </c>
      <c r="V54" s="20">
        <f>IF(AND($AS$24,$AS$11&lt;&gt;"In-Person",K54&lt;&gt;"In-Person"),-5,0)</f>
        <v/>
      </c>
      <c r="W54" s="20">
        <f>IF(OR($AS$11=K54,$AS$11="Either",K54="Either"),3,0)</f>
        <v/>
      </c>
      <c r="X54" s="20">
        <f>IF(AND($AS$11&lt;&gt;"Online",K54&lt;&gt;"Online",ISNUMBER($AS$22),ISNUMBER(IFERROR(VALUE(M54),"x"))),IF(ABS($AS$22-VALUE(M54))&lt;=50,3,0),0)</f>
        <v/>
      </c>
      <c r="Y54" s="20">
        <f>IF(AND($AS$10&lt;&gt;"",$AS$10=J54),3,0)</f>
        <v/>
      </c>
      <c r="Z54" s="20">
        <f>IF(OR(N($AS$13)&gt;=150,N(O54)&gt;=150),3,0)</f>
        <v/>
      </c>
      <c r="AA54" s="20">
        <f>IF(AND($AS$21&lt;&gt;"",$AS$21&lt;&gt;"NA",$AS$21=I54),2,0)</f>
        <v/>
      </c>
      <c r="AB54" s="20">
        <f>IF(OR(AND($AS$14&lt;&gt;"",$AS$14&lt;&gt;"NA",OR($AS$14=AO54,$AS$14=AP54)),AND($AS$15&lt;&gt;"",OR($AS$15=AO54,$AS$15=AP54))),2,0)</f>
        <v/>
      </c>
      <c r="AC54" s="20">
        <f>IF(AND(ISNUMBER($AS$12),ISNUMBER(N54),ABS($AS$12-N54)&lt;=10),2,0)</f>
        <v/>
      </c>
      <c r="AD54" s="20">
        <f>IF(R54="Yes",SUM(S54:AC54),"")</f>
        <v/>
      </c>
      <c r="AE54" s="20">
        <f>IF(R54="Yes","Score "&amp;AD54&amp;": "&amp;TRIM(IF(S54&lt;&gt;0,"−8 acrimonious; ","")&amp;IF(T54=7,"+7 shared language; ","")&amp;IF(T54=-5,"−5 shared lang(adv); ","")&amp;IF(U54=5,"+5 same-sex; ","")&amp;IF(V54=-5,"−5 online no device; ","")&amp;IF(W54=3,"+3 mode; ","")&amp;IF(X54=3,"+3 proximity; ","")&amp;IF(Y54=3,"+3 category; ","")&amp;IF(Z54=3,"+3 long wait; ","")&amp;IF(AA54=2,"+2 religion; ","")&amp;IF(AB54=2,"+2 nationality; ","")&amp;IF(AC54=2,"+2 age; ","")),"Not eligible: "&amp;IF(NOT(AH54),"tutor not pending/with-capacity",IF(NOT(AI54),"no spare capacity",IF(AJ54,"tutor blacklisted",IF($AS$25,"student blacklisted",IF(NOT(AK54),"tutor vetting incomplete",IF(NOT($AS$26),"student vetting incomplete",IF(NOT(AM54),"no overlapping 3h AEST block",IF(NOT(AN54),"A1 student needs a shared language",IF(AL54,"'do not pair' note present",""))))))))))</f>
        <v/>
      </c>
      <c r="AF54">
        <f>TRIM(IFERROR(LEFT('(B) Register of Participants'!$AR$32,FIND(" (",'(B) Register of Participants'!$AR$32)-1),'(B) Register of Participants'!$AR$32))</f>
        <v/>
      </c>
      <c r="AG54">
        <f>IF(ISNUMBER(SEARCH("Mandarin",'(B) Register of Participants'!$AR$32)),"Mandarin",IF(ISNUMBER(SEARCH("Cantonese",'(B) Register of Participants'!$AR$32)),"Cantonese",IF(OR(AF54="Dari",AF54="Farsi",AF54="Persian",AF54="Hazaragi"),"Persian",AF54)))</f>
        <v/>
      </c>
      <c r="AH54">
        <f>OR(E54="ADM-ACT-UNMAT",E54="ADM-ACT-MAT-CNE")</f>
        <v/>
      </c>
      <c r="AI54">
        <f>F54&gt;0</f>
        <v/>
      </c>
      <c r="AJ54">
        <f>LEFT('(B) Register of Participants'!$L$32,3)="Yes"</f>
        <v/>
      </c>
      <c r="AK54">
        <f>AND(OR(LEFT('(B) Register of Participants'!$AY$32,3)="Yes",LEFT('(B) Register of Participants'!$AY$32,2)="NA"),OR(LEFT('(B) Register of Participants'!$AZ$32,3)="Yes",LEFT('(B) Register of Participants'!$AZ$32,2)="NA"))</f>
        <v/>
      </c>
      <c r="AL54">
        <f>OR(ISNUMBER(SEARCH("do not pair",'(B) Register of Participants'!$BL$32)),ISNUMBER(SEARCH("do not pair",'(B) Register of Participants'!$BM$32)))</f>
        <v/>
      </c>
      <c r="AM54">
        <f>P54&gt;0</f>
        <v/>
      </c>
      <c r="AN54">
        <f>IF($AS$8="A1",Q54=1,TRUE)</f>
        <v/>
      </c>
      <c r="AO54">
        <f>TRIM(IFERROR(LEFT('(B) Register of Participants'!$AP$32,FIND(";",'(B) Register of Participants'!$AP$32)-1),'(B) Register of Participants'!$AP$32))</f>
        <v/>
      </c>
      <c r="AP54">
        <f>IF(ISNUMBER(FIND(";",'(B) Register of Participants'!$AP$32)),TRIM(MID('(B) Register of Participants'!$AP$32,FIND(";",'(B) Register of Participants'!$AP$32)+1,80)),"")</f>
        <v/>
      </c>
    </row>
    <row r="55">
      <c r="B55" s="20">
        <f>IF(R55="Yes",RANK(AD55,$AD$25:$AD$124),"")</f>
        <v/>
      </c>
      <c r="C55" s="20">
        <f>'(B) Register of Participants'!$A$33</f>
        <v/>
      </c>
      <c r="D55" s="20">
        <f>'(B) Register of Participants'!$B$33</f>
        <v/>
      </c>
      <c r="E55" s="20">
        <f>'(B) Register of Participants'!$J$33</f>
        <v/>
      </c>
      <c r="F55" s="20">
        <f>IFERROR('(B) Register of Participants'!$O$33-'(B) Register of Participants'!$P$33,0)</f>
        <v/>
      </c>
      <c r="G55" s="20">
        <f>'(B) Register of Participants'!$AL$33</f>
        <v/>
      </c>
      <c r="H55" s="20">
        <f>'(B) Register of Participants'!$AP$33</f>
        <v/>
      </c>
      <c r="I55" s="20">
        <f>TRIM(IFERROR(LEFT('(B) Register of Participants'!$AS$33,FIND(" (",'(B) Register of Participants'!$AS$33)-1),'(B) Register of Participants'!$AS$33))</f>
        <v/>
      </c>
      <c r="J55" s="20">
        <f>'(B) Register of Participants'!$AT$33</f>
        <v/>
      </c>
      <c r="K55" s="20">
        <f>'(B) Register of Participants'!$AE$33</f>
        <v/>
      </c>
      <c r="L55" s="20">
        <f>'(B) Register of Participants'!$AF$33</f>
        <v/>
      </c>
      <c r="M55" s="20">
        <f>'(B) Register of Participants'!$AJ$33</f>
        <v/>
      </c>
      <c r="N55" s="20">
        <f>'(B) Register of Participants'!$CY$33</f>
        <v/>
      </c>
      <c r="O55" s="20">
        <f>'(B) Register of Participants'!$CW$33</f>
        <v/>
      </c>
      <c r="P55" s="20">
        <f>(ISNUMBER(SEARCH("6am-9am",$AS$27))*ISNUMBER(SEARCH("6am-9am",'(B) Register of Participants'!$X$33)))+(ISNUMBER(SEARCH("9am-12pm",$AS$27))*ISNUMBER(SEARCH("9am-12pm",'(B) Register of Participants'!$X$33)))+(ISNUMBER(SEARCH("12pm-3pm",$AS$27))*ISNUMBER(SEARCH("12pm-3pm",'(B) Register of Participants'!$X$33)))+(ISNUMBER(SEARCH("3pm-6pm",$AS$27))*ISNUMBER(SEARCH("3pm-6pm",'(B) Register of Participants'!$X$33)))+(ISNUMBER(SEARCH("6pm-9pm",$AS$27))*ISNUMBER(SEARCH("6pm-9pm",'(B) Register of Participants'!$X$33)))+(ISNUMBER(SEARCH("6am-9am",$AS$28))*ISNUMBER(SEARCH("6am-9am",'(B) Register of Participants'!$Y$33)))+(ISNUMBER(SEARCH("9am-12pm",$AS$28))*ISNUMBER(SEARCH("9am-12pm",'(B) Register of Participants'!$Y$33)))+(ISNUMBER(SEARCH("12pm-3pm",$AS$28))*ISNUMBER(SEARCH("12pm-3pm",'(B) Register of Participants'!$Y$33)))+(ISNUMBER(SEARCH("3pm-6pm",$AS$28))*ISNUMBER(SEARCH("3pm-6pm",'(B) Register of Participants'!$Y$33)))+(ISNUMBER(SEARCH("6pm-9pm",$AS$28))*ISNUMBER(SEARCH("6pm-9pm",'(B) Register of Participants'!$Y$33)))+(ISNUMBER(SEARCH("6am-9am",$AS$29))*ISNUMBER(SEARCH("6am-9am",'(B) Register of Participants'!$Z$33)))+(ISNUMBER(SEARCH("9am-12pm",$AS$29))*ISNUMBER(SEARCH("9am-12pm",'(B) Register of Participants'!$Z$33)))+(ISNUMBER(SEARCH("12pm-3pm",$AS$29))*ISNUMBER(SEARCH("12pm-3pm",'(B) Register of Participants'!$Z$33)))+(ISNUMBER(SEARCH("3pm-6pm",$AS$29))*ISNUMBER(SEARCH("3pm-6pm",'(B) Register of Participants'!$Z$33)))+(ISNUMBER(SEARCH("6pm-9pm",$AS$29))*ISNUMBER(SEARCH("6pm-9pm",'(B) Register of Participants'!$Z$33)))+(ISNUMBER(SEARCH("6am-9am",$AS$30))*ISNUMBER(SEARCH("6am-9am",'(B) Register of Participants'!$AA$33)))+(ISNUMBER(SEARCH("9am-12pm",$AS$30))*ISNUMBER(SEARCH("9am-12pm",'(B) Register of Participants'!$AA$33)))+(ISNUMBER(SEARCH("12pm-3pm",$AS$30))*ISNUMBER(SEARCH("12pm-3pm",'(B) Register of Participants'!$AA$33)))+(ISNUMBER(SEARCH("3pm-6pm",$AS$30))*ISNUMBER(SEARCH("3pm-6pm",'(B) Register of Participants'!$AA$33)))+(ISNUMBER(SEARCH("6pm-9pm",$AS$30))*ISNUMBER(SEARCH("6pm-9pm",'(B) Register of Participants'!$AA$33)))+(ISNUMBER(SEARCH("6am-9am",$AS$31))*ISNUMBER(SEARCH("6am-9am",'(B) Register of Participants'!$AB$33)))+(ISNUMBER(SEARCH("9am-12pm",$AS$31))*ISNUMBER(SEARCH("9am-12pm",'(B) Register of Participants'!$AB$33)))+(ISNUMBER(SEARCH("12pm-3pm",$AS$31))*ISNUMBER(SEARCH("12pm-3pm",'(B) Register of Participants'!$AB$33)))+(ISNUMBER(SEARCH("3pm-6pm",$AS$31))*ISNUMBER(SEARCH("3pm-6pm",'(B) Register of Participants'!$AB$33)))+(ISNUMBER(SEARCH("6pm-9pm",$AS$31))*ISNUMBER(SEARCH("6pm-9pm",'(B) Register of Participants'!$AB$33)))+(ISNUMBER(SEARCH("6am-9am",$AS$32))*ISNUMBER(SEARCH("6am-9am",'(B) Register of Participants'!$AC$33)))+(ISNUMBER(SEARCH("9am-12pm",$AS$32))*ISNUMBER(SEARCH("9am-12pm",'(B) Register of Participants'!$AC$33)))+(ISNUMBER(SEARCH("12pm-3pm",$AS$32))*ISNUMBER(SEARCH("12pm-3pm",'(B) Register of Participants'!$AC$33)))+(ISNUMBER(SEARCH("3pm-6pm",$AS$32))*ISNUMBER(SEARCH("3pm-6pm",'(B) Register of Participants'!$AC$33)))+(ISNUMBER(SEARCH("6pm-9pm",$AS$32))*ISNUMBER(SEARCH("6pm-9pm",'(B) Register of Participants'!$AC$33)))+(ISNUMBER(SEARCH("6am-9am",$AS$33))*ISNUMBER(SEARCH("6am-9am",'(B) Register of Participants'!$AD$33)))+(ISNUMBER(SEARCH("9am-12pm",$AS$33))*ISNUMBER(SEARCH("9am-12pm",'(B) Register of Participants'!$AD$33)))+(ISNUMBER(SEARCH("12pm-3pm",$AS$33))*ISNUMBER(SEARCH("12pm-3pm",'(B) Register of Participants'!$AD$33)))+(ISNUMBER(SEARCH("3pm-6pm",$AS$33))*ISNUMBER(SEARCH("3pm-6pm",'(B) Register of Participants'!$AD$33)))+(ISNUMBER(SEARCH("6pm-9pm",$AS$33))*ISNUMBER(SEARCH("6pm-9pm",'(B) Register of Participants'!$AD$33)))</f>
        <v/>
      </c>
      <c r="Q55" s="20">
        <f>IF(OR(AND($AS$17&lt;&gt;"",$AS$17&lt;&gt;"English",IF($AS$17="Persian",OR(ISNUMBER(SEARCH("Dari",'(B) Register of Participants'!$AR$33)),ISNUMBER(SEARCH("Farsi",'(B) Register of Participants'!$AR$33)),ISNUMBER(SEARCH("Persian",'(B) Register of Participants'!$AR$33)),ISNUMBER(SEARCH("Hazaragi",'(B) Register of Participants'!$AR$33))),ISNUMBER(SEARCH($AS$17,'(B) Register of Participants'!$AR$33)))),AND($AS$20&lt;&gt;"",$AS$20&lt;&gt;"English",IF($AS$20="Persian",OR(ISNUMBER(SEARCH("Dari",'(B) Register of Participants'!$AR$33)),ISNUMBER(SEARCH("Farsi",'(B) Register of Participants'!$AR$33)),ISNUMBER(SEARCH("Persian",'(B) Register of Participants'!$AR$33)),ISNUMBER(SEARCH("Hazaragi",'(B) Register of Participants'!$AR$33))),ISNUMBER(SEARCH($AS$20,'(B) Register of Participants'!$AR$33))))),1,0)</f>
        <v/>
      </c>
      <c r="R55" s="20">
        <f>IF(AND(AH55,AI55,NOT(AJ55),NOT($AS$25),AK55,$AS$26,AM55,AN55,NOT(AL55)),"Yes","No")</f>
        <v/>
      </c>
      <c r="S55" s="20">
        <f>IF(OR(COUNTIF('Engine Lists'!$A:$A,$AS$14&amp;"|"&amp;AO55)&gt;0,COUNTIF('Engine Lists'!$A:$A,$AS$14&amp;"|"&amp;AP55)&gt;0,COUNTIF('Engine Lists'!$A:$A,$AS$15&amp;"|"&amp;AO55)&gt;0,COUNTIF('Engine Lists'!$A:$A,$AS$15&amp;"|"&amp;AP55)&gt;0,COUNTIF('Engine Lists'!$A:$A,$AS$21&amp;"|"&amp;I55)&gt;0),-8,0)</f>
        <v/>
      </c>
      <c r="T55" s="20">
        <f>IF(Q55=1,IF(OR($AS$8="A2",$AS$8="B1"),7,IF(OR($AS$8="B2",$AS$8="C1",$AS$8="C2"),-5,0)),0)</f>
        <v/>
      </c>
      <c r="U55" s="20">
        <f>IF(AND($AS$6=G55,OR($AS$6="Male",$AS$6="Female")),5,0)</f>
        <v/>
      </c>
      <c r="V55" s="20">
        <f>IF(AND($AS$24,$AS$11&lt;&gt;"In-Person",K55&lt;&gt;"In-Person"),-5,0)</f>
        <v/>
      </c>
      <c r="W55" s="20">
        <f>IF(OR($AS$11=K55,$AS$11="Either",K55="Either"),3,0)</f>
        <v/>
      </c>
      <c r="X55" s="20">
        <f>IF(AND($AS$11&lt;&gt;"Online",K55&lt;&gt;"Online",ISNUMBER($AS$22),ISNUMBER(IFERROR(VALUE(M55),"x"))),IF(ABS($AS$22-VALUE(M55))&lt;=50,3,0),0)</f>
        <v/>
      </c>
      <c r="Y55" s="20">
        <f>IF(AND($AS$10&lt;&gt;"",$AS$10=J55),3,0)</f>
        <v/>
      </c>
      <c r="Z55" s="20">
        <f>IF(OR(N($AS$13)&gt;=150,N(O55)&gt;=150),3,0)</f>
        <v/>
      </c>
      <c r="AA55" s="20">
        <f>IF(AND($AS$21&lt;&gt;"",$AS$21&lt;&gt;"NA",$AS$21=I55),2,0)</f>
        <v/>
      </c>
      <c r="AB55" s="20">
        <f>IF(OR(AND($AS$14&lt;&gt;"",$AS$14&lt;&gt;"NA",OR($AS$14=AO55,$AS$14=AP55)),AND($AS$15&lt;&gt;"",OR($AS$15=AO55,$AS$15=AP55))),2,0)</f>
        <v/>
      </c>
      <c r="AC55" s="20">
        <f>IF(AND(ISNUMBER($AS$12),ISNUMBER(N55),ABS($AS$12-N55)&lt;=10),2,0)</f>
        <v/>
      </c>
      <c r="AD55" s="20">
        <f>IF(R55="Yes",SUM(S55:AC55),"")</f>
        <v/>
      </c>
      <c r="AE55" s="20">
        <f>IF(R55="Yes","Score "&amp;AD55&amp;": "&amp;TRIM(IF(S55&lt;&gt;0,"−8 acrimonious; ","")&amp;IF(T55=7,"+7 shared language; ","")&amp;IF(T55=-5,"−5 shared lang(adv); ","")&amp;IF(U55=5,"+5 same-sex; ","")&amp;IF(V55=-5,"−5 online no device; ","")&amp;IF(W55=3,"+3 mode; ","")&amp;IF(X55=3,"+3 proximity; ","")&amp;IF(Y55=3,"+3 category; ","")&amp;IF(Z55=3,"+3 long wait; ","")&amp;IF(AA55=2,"+2 religion; ","")&amp;IF(AB55=2,"+2 nationality; ","")&amp;IF(AC55=2,"+2 age; ","")),"Not eligible: "&amp;IF(NOT(AH55),"tutor not pending/with-capacity",IF(NOT(AI55),"no spare capacity",IF(AJ55,"tutor blacklisted",IF($AS$25,"student blacklisted",IF(NOT(AK55),"tutor vetting incomplete",IF(NOT($AS$26),"student vetting incomplete",IF(NOT(AM55),"no overlapping 3h AEST block",IF(NOT(AN55),"A1 student needs a shared language",IF(AL55,"'do not pair' note present",""))))))))))</f>
        <v/>
      </c>
      <c r="AF55">
        <f>TRIM(IFERROR(LEFT('(B) Register of Participants'!$AR$33,FIND(" (",'(B) Register of Participants'!$AR$33)-1),'(B) Register of Participants'!$AR$33))</f>
        <v/>
      </c>
      <c r="AG55">
        <f>IF(ISNUMBER(SEARCH("Mandarin",'(B) Register of Participants'!$AR$33)),"Mandarin",IF(ISNUMBER(SEARCH("Cantonese",'(B) Register of Participants'!$AR$33)),"Cantonese",IF(OR(AF55="Dari",AF55="Farsi",AF55="Persian",AF55="Hazaragi"),"Persian",AF55)))</f>
        <v/>
      </c>
      <c r="AH55">
        <f>OR(E55="ADM-ACT-UNMAT",E55="ADM-ACT-MAT-CNE")</f>
        <v/>
      </c>
      <c r="AI55">
        <f>F55&gt;0</f>
        <v/>
      </c>
      <c r="AJ55">
        <f>LEFT('(B) Register of Participants'!$L$33,3)="Yes"</f>
        <v/>
      </c>
      <c r="AK55">
        <f>AND(OR(LEFT('(B) Register of Participants'!$AY$33,3)="Yes",LEFT('(B) Register of Participants'!$AY$33,2)="NA"),OR(LEFT('(B) Register of Participants'!$AZ$33,3)="Yes",LEFT('(B) Register of Participants'!$AZ$33,2)="NA"))</f>
        <v/>
      </c>
      <c r="AL55">
        <f>OR(ISNUMBER(SEARCH("do not pair",'(B) Register of Participants'!$BL$33)),ISNUMBER(SEARCH("do not pair",'(B) Register of Participants'!$BM$33)))</f>
        <v/>
      </c>
      <c r="AM55">
        <f>P55&gt;0</f>
        <v/>
      </c>
      <c r="AN55">
        <f>IF($AS$8="A1",Q55=1,TRUE)</f>
        <v/>
      </c>
      <c r="AO55">
        <f>TRIM(IFERROR(LEFT('(B) Register of Participants'!$AP$33,FIND(";",'(B) Register of Participants'!$AP$33)-1),'(B) Register of Participants'!$AP$33))</f>
        <v/>
      </c>
      <c r="AP55">
        <f>IF(ISNUMBER(FIND(";",'(B) Register of Participants'!$AP$33)),TRIM(MID('(B) Register of Participants'!$AP$33,FIND(";",'(B) Register of Participants'!$AP$33)+1,80)),"")</f>
        <v/>
      </c>
    </row>
    <row r="56">
      <c r="B56" s="20">
        <f>IF(R56="Yes",RANK(AD56,$AD$25:$AD$124),"")</f>
        <v/>
      </c>
      <c r="C56" s="20">
        <f>'(B) Register of Participants'!$A$34</f>
        <v/>
      </c>
      <c r="D56" s="20">
        <f>'(B) Register of Participants'!$B$34</f>
        <v/>
      </c>
      <c r="E56" s="20">
        <f>'(B) Register of Participants'!$J$34</f>
        <v/>
      </c>
      <c r="F56" s="20">
        <f>IFERROR('(B) Register of Participants'!$O$34-'(B) Register of Participants'!$P$34,0)</f>
        <v/>
      </c>
      <c r="G56" s="20">
        <f>'(B) Register of Participants'!$AL$34</f>
        <v/>
      </c>
      <c r="H56" s="20">
        <f>'(B) Register of Participants'!$AP$34</f>
        <v/>
      </c>
      <c r="I56" s="20">
        <f>TRIM(IFERROR(LEFT('(B) Register of Participants'!$AS$34,FIND(" (",'(B) Register of Participants'!$AS$34)-1),'(B) Register of Participants'!$AS$34))</f>
        <v/>
      </c>
      <c r="J56" s="20">
        <f>'(B) Register of Participants'!$AT$34</f>
        <v/>
      </c>
      <c r="K56" s="20">
        <f>'(B) Register of Participants'!$AE$34</f>
        <v/>
      </c>
      <c r="L56" s="20">
        <f>'(B) Register of Participants'!$AF$34</f>
        <v/>
      </c>
      <c r="M56" s="20">
        <f>'(B) Register of Participants'!$AJ$34</f>
        <v/>
      </c>
      <c r="N56" s="20">
        <f>'(B) Register of Participants'!$CY$34</f>
        <v/>
      </c>
      <c r="O56" s="20">
        <f>'(B) Register of Participants'!$CW$34</f>
        <v/>
      </c>
      <c r="P56" s="20">
        <f>(ISNUMBER(SEARCH("6am-9am",$AS$27))*ISNUMBER(SEARCH("6am-9am",'(B) Register of Participants'!$X$34)))+(ISNUMBER(SEARCH("9am-12pm",$AS$27))*ISNUMBER(SEARCH("9am-12pm",'(B) Register of Participants'!$X$34)))+(ISNUMBER(SEARCH("12pm-3pm",$AS$27))*ISNUMBER(SEARCH("12pm-3pm",'(B) Register of Participants'!$X$34)))+(ISNUMBER(SEARCH("3pm-6pm",$AS$27))*ISNUMBER(SEARCH("3pm-6pm",'(B) Register of Participants'!$X$34)))+(ISNUMBER(SEARCH("6pm-9pm",$AS$27))*ISNUMBER(SEARCH("6pm-9pm",'(B) Register of Participants'!$X$34)))+(ISNUMBER(SEARCH("6am-9am",$AS$28))*ISNUMBER(SEARCH("6am-9am",'(B) Register of Participants'!$Y$34)))+(ISNUMBER(SEARCH("9am-12pm",$AS$28))*ISNUMBER(SEARCH("9am-12pm",'(B) Register of Participants'!$Y$34)))+(ISNUMBER(SEARCH("12pm-3pm",$AS$28))*ISNUMBER(SEARCH("12pm-3pm",'(B) Register of Participants'!$Y$34)))+(ISNUMBER(SEARCH("3pm-6pm",$AS$28))*ISNUMBER(SEARCH("3pm-6pm",'(B) Register of Participants'!$Y$34)))+(ISNUMBER(SEARCH("6pm-9pm",$AS$28))*ISNUMBER(SEARCH("6pm-9pm",'(B) Register of Participants'!$Y$34)))+(ISNUMBER(SEARCH("6am-9am",$AS$29))*ISNUMBER(SEARCH("6am-9am",'(B) Register of Participants'!$Z$34)))+(ISNUMBER(SEARCH("9am-12pm",$AS$29))*ISNUMBER(SEARCH("9am-12pm",'(B) Register of Participants'!$Z$34)))+(ISNUMBER(SEARCH("12pm-3pm",$AS$29))*ISNUMBER(SEARCH("12pm-3pm",'(B) Register of Participants'!$Z$34)))+(ISNUMBER(SEARCH("3pm-6pm",$AS$29))*ISNUMBER(SEARCH("3pm-6pm",'(B) Register of Participants'!$Z$34)))+(ISNUMBER(SEARCH("6pm-9pm",$AS$29))*ISNUMBER(SEARCH("6pm-9pm",'(B) Register of Participants'!$Z$34)))+(ISNUMBER(SEARCH("6am-9am",$AS$30))*ISNUMBER(SEARCH("6am-9am",'(B) Register of Participants'!$AA$34)))+(ISNUMBER(SEARCH("9am-12pm",$AS$30))*ISNUMBER(SEARCH("9am-12pm",'(B) Register of Participants'!$AA$34)))+(ISNUMBER(SEARCH("12pm-3pm",$AS$30))*ISNUMBER(SEARCH("12pm-3pm",'(B) Register of Participants'!$AA$34)))+(ISNUMBER(SEARCH("3pm-6pm",$AS$30))*ISNUMBER(SEARCH("3pm-6pm",'(B) Register of Participants'!$AA$34)))+(ISNUMBER(SEARCH("6pm-9pm",$AS$30))*ISNUMBER(SEARCH("6pm-9pm",'(B) Register of Participants'!$AA$34)))+(ISNUMBER(SEARCH("6am-9am",$AS$31))*ISNUMBER(SEARCH("6am-9am",'(B) Register of Participants'!$AB$34)))+(ISNUMBER(SEARCH("9am-12pm",$AS$31))*ISNUMBER(SEARCH("9am-12pm",'(B) Register of Participants'!$AB$34)))+(ISNUMBER(SEARCH("12pm-3pm",$AS$31))*ISNUMBER(SEARCH("12pm-3pm",'(B) Register of Participants'!$AB$34)))+(ISNUMBER(SEARCH("3pm-6pm",$AS$31))*ISNUMBER(SEARCH("3pm-6pm",'(B) Register of Participants'!$AB$34)))+(ISNUMBER(SEARCH("6pm-9pm",$AS$31))*ISNUMBER(SEARCH("6pm-9pm",'(B) Register of Participants'!$AB$34)))+(ISNUMBER(SEARCH("6am-9am",$AS$32))*ISNUMBER(SEARCH("6am-9am",'(B) Register of Participants'!$AC$34)))+(ISNUMBER(SEARCH("9am-12pm",$AS$32))*ISNUMBER(SEARCH("9am-12pm",'(B) Register of Participants'!$AC$34)))+(ISNUMBER(SEARCH("12pm-3pm",$AS$32))*ISNUMBER(SEARCH("12pm-3pm",'(B) Register of Participants'!$AC$34)))+(ISNUMBER(SEARCH("3pm-6pm",$AS$32))*ISNUMBER(SEARCH("3pm-6pm",'(B) Register of Participants'!$AC$34)))+(ISNUMBER(SEARCH("6pm-9pm",$AS$32))*ISNUMBER(SEARCH("6pm-9pm",'(B) Register of Participants'!$AC$34)))+(ISNUMBER(SEARCH("6am-9am",$AS$33))*ISNUMBER(SEARCH("6am-9am",'(B) Register of Participants'!$AD$34)))+(ISNUMBER(SEARCH("9am-12pm",$AS$33))*ISNUMBER(SEARCH("9am-12pm",'(B) Register of Participants'!$AD$34)))+(ISNUMBER(SEARCH("12pm-3pm",$AS$33))*ISNUMBER(SEARCH("12pm-3pm",'(B) Register of Participants'!$AD$34)))+(ISNUMBER(SEARCH("3pm-6pm",$AS$33))*ISNUMBER(SEARCH("3pm-6pm",'(B) Register of Participants'!$AD$34)))+(ISNUMBER(SEARCH("6pm-9pm",$AS$33))*ISNUMBER(SEARCH("6pm-9pm",'(B) Register of Participants'!$AD$34)))</f>
        <v/>
      </c>
      <c r="Q56" s="20">
        <f>IF(OR(AND($AS$17&lt;&gt;"",$AS$17&lt;&gt;"English",IF($AS$17="Persian",OR(ISNUMBER(SEARCH("Dari",'(B) Register of Participants'!$AR$34)),ISNUMBER(SEARCH("Farsi",'(B) Register of Participants'!$AR$34)),ISNUMBER(SEARCH("Persian",'(B) Register of Participants'!$AR$34)),ISNUMBER(SEARCH("Hazaragi",'(B) Register of Participants'!$AR$34))),ISNUMBER(SEARCH($AS$17,'(B) Register of Participants'!$AR$34)))),AND($AS$20&lt;&gt;"",$AS$20&lt;&gt;"English",IF($AS$20="Persian",OR(ISNUMBER(SEARCH("Dari",'(B) Register of Participants'!$AR$34)),ISNUMBER(SEARCH("Farsi",'(B) Register of Participants'!$AR$34)),ISNUMBER(SEARCH("Persian",'(B) Register of Participants'!$AR$34)),ISNUMBER(SEARCH("Hazaragi",'(B) Register of Participants'!$AR$34))),ISNUMBER(SEARCH($AS$20,'(B) Register of Participants'!$AR$34))))),1,0)</f>
        <v/>
      </c>
      <c r="R56" s="20">
        <f>IF(AND(AH56,AI56,NOT(AJ56),NOT($AS$25),AK56,$AS$26,AM56,AN56,NOT(AL56)),"Yes","No")</f>
        <v/>
      </c>
      <c r="S56" s="20">
        <f>IF(OR(COUNTIF('Engine Lists'!$A:$A,$AS$14&amp;"|"&amp;AO56)&gt;0,COUNTIF('Engine Lists'!$A:$A,$AS$14&amp;"|"&amp;AP56)&gt;0,COUNTIF('Engine Lists'!$A:$A,$AS$15&amp;"|"&amp;AO56)&gt;0,COUNTIF('Engine Lists'!$A:$A,$AS$15&amp;"|"&amp;AP56)&gt;0,COUNTIF('Engine Lists'!$A:$A,$AS$21&amp;"|"&amp;I56)&gt;0),-8,0)</f>
        <v/>
      </c>
      <c r="T56" s="20">
        <f>IF(Q56=1,IF(OR($AS$8="A2",$AS$8="B1"),7,IF(OR($AS$8="B2",$AS$8="C1",$AS$8="C2"),-5,0)),0)</f>
        <v/>
      </c>
      <c r="U56" s="20">
        <f>IF(AND($AS$6=G56,OR($AS$6="Male",$AS$6="Female")),5,0)</f>
        <v/>
      </c>
      <c r="V56" s="20">
        <f>IF(AND($AS$24,$AS$11&lt;&gt;"In-Person",K56&lt;&gt;"In-Person"),-5,0)</f>
        <v/>
      </c>
      <c r="W56" s="20">
        <f>IF(OR($AS$11=K56,$AS$11="Either",K56="Either"),3,0)</f>
        <v/>
      </c>
      <c r="X56" s="20">
        <f>IF(AND($AS$11&lt;&gt;"Online",K56&lt;&gt;"Online",ISNUMBER($AS$22),ISNUMBER(IFERROR(VALUE(M56),"x"))),IF(ABS($AS$22-VALUE(M56))&lt;=50,3,0),0)</f>
        <v/>
      </c>
      <c r="Y56" s="20">
        <f>IF(AND($AS$10&lt;&gt;"",$AS$10=J56),3,0)</f>
        <v/>
      </c>
      <c r="Z56" s="20">
        <f>IF(OR(N($AS$13)&gt;=150,N(O56)&gt;=150),3,0)</f>
        <v/>
      </c>
      <c r="AA56" s="20">
        <f>IF(AND($AS$21&lt;&gt;"",$AS$21&lt;&gt;"NA",$AS$21=I56),2,0)</f>
        <v/>
      </c>
      <c r="AB56" s="20">
        <f>IF(OR(AND($AS$14&lt;&gt;"",$AS$14&lt;&gt;"NA",OR($AS$14=AO56,$AS$14=AP56)),AND($AS$15&lt;&gt;"",OR($AS$15=AO56,$AS$15=AP56))),2,0)</f>
        <v/>
      </c>
      <c r="AC56" s="20">
        <f>IF(AND(ISNUMBER($AS$12),ISNUMBER(N56),ABS($AS$12-N56)&lt;=10),2,0)</f>
        <v/>
      </c>
      <c r="AD56" s="20">
        <f>IF(R56="Yes",SUM(S56:AC56),"")</f>
        <v/>
      </c>
      <c r="AE56" s="20">
        <f>IF(R56="Yes","Score "&amp;AD56&amp;": "&amp;TRIM(IF(S56&lt;&gt;0,"−8 acrimonious; ","")&amp;IF(T56=7,"+7 shared language; ","")&amp;IF(T56=-5,"−5 shared lang(adv); ","")&amp;IF(U56=5,"+5 same-sex; ","")&amp;IF(V56=-5,"−5 online no device; ","")&amp;IF(W56=3,"+3 mode; ","")&amp;IF(X56=3,"+3 proximity; ","")&amp;IF(Y56=3,"+3 category; ","")&amp;IF(Z56=3,"+3 long wait; ","")&amp;IF(AA56=2,"+2 religion; ","")&amp;IF(AB56=2,"+2 nationality; ","")&amp;IF(AC56=2,"+2 age; ","")),"Not eligible: "&amp;IF(NOT(AH56),"tutor not pending/with-capacity",IF(NOT(AI56),"no spare capacity",IF(AJ56,"tutor blacklisted",IF($AS$25,"student blacklisted",IF(NOT(AK56),"tutor vetting incomplete",IF(NOT($AS$26),"student vetting incomplete",IF(NOT(AM56),"no overlapping 3h AEST block",IF(NOT(AN56),"A1 student needs a shared language",IF(AL56,"'do not pair' note present",""))))))))))</f>
        <v/>
      </c>
      <c r="AF56">
        <f>TRIM(IFERROR(LEFT('(B) Register of Participants'!$AR$34,FIND(" (",'(B) Register of Participants'!$AR$34)-1),'(B) Register of Participants'!$AR$34))</f>
        <v/>
      </c>
      <c r="AG56">
        <f>IF(ISNUMBER(SEARCH("Mandarin",'(B) Register of Participants'!$AR$34)),"Mandarin",IF(ISNUMBER(SEARCH("Cantonese",'(B) Register of Participants'!$AR$34)),"Cantonese",IF(OR(AF56="Dari",AF56="Farsi",AF56="Persian",AF56="Hazaragi"),"Persian",AF56)))</f>
        <v/>
      </c>
      <c r="AH56">
        <f>OR(E56="ADM-ACT-UNMAT",E56="ADM-ACT-MAT-CNE")</f>
        <v/>
      </c>
      <c r="AI56">
        <f>F56&gt;0</f>
        <v/>
      </c>
      <c r="AJ56">
        <f>LEFT('(B) Register of Participants'!$L$34,3)="Yes"</f>
        <v/>
      </c>
      <c r="AK56">
        <f>AND(OR(LEFT('(B) Register of Participants'!$AY$34,3)="Yes",LEFT('(B) Register of Participants'!$AY$34,2)="NA"),OR(LEFT('(B) Register of Participants'!$AZ$34,3)="Yes",LEFT('(B) Register of Participants'!$AZ$34,2)="NA"))</f>
        <v/>
      </c>
      <c r="AL56">
        <f>OR(ISNUMBER(SEARCH("do not pair",'(B) Register of Participants'!$BL$34)),ISNUMBER(SEARCH("do not pair",'(B) Register of Participants'!$BM$34)))</f>
        <v/>
      </c>
      <c r="AM56">
        <f>P56&gt;0</f>
        <v/>
      </c>
      <c r="AN56">
        <f>IF($AS$8="A1",Q56=1,TRUE)</f>
        <v/>
      </c>
      <c r="AO56">
        <f>TRIM(IFERROR(LEFT('(B) Register of Participants'!$AP$34,FIND(";",'(B) Register of Participants'!$AP$34)-1),'(B) Register of Participants'!$AP$34))</f>
        <v/>
      </c>
      <c r="AP56">
        <f>IF(ISNUMBER(FIND(";",'(B) Register of Participants'!$AP$34)),TRIM(MID('(B) Register of Participants'!$AP$34,FIND(";",'(B) Register of Participants'!$AP$34)+1,80)),"")</f>
        <v/>
      </c>
    </row>
    <row r="57">
      <c r="B57" s="20">
        <f>IF(R57="Yes",RANK(AD57,$AD$25:$AD$124),"")</f>
        <v/>
      </c>
      <c r="C57" s="20">
        <f>'(B) Register of Participants'!$A$35</f>
        <v/>
      </c>
      <c r="D57" s="20">
        <f>'(B) Register of Participants'!$B$35</f>
        <v/>
      </c>
      <c r="E57" s="20">
        <f>'(B) Register of Participants'!$J$35</f>
        <v/>
      </c>
      <c r="F57" s="20">
        <f>IFERROR('(B) Register of Participants'!$O$35-'(B) Register of Participants'!$P$35,0)</f>
        <v/>
      </c>
      <c r="G57" s="20">
        <f>'(B) Register of Participants'!$AL$35</f>
        <v/>
      </c>
      <c r="H57" s="20">
        <f>'(B) Register of Participants'!$AP$35</f>
        <v/>
      </c>
      <c r="I57" s="20">
        <f>TRIM(IFERROR(LEFT('(B) Register of Participants'!$AS$35,FIND(" (",'(B) Register of Participants'!$AS$35)-1),'(B) Register of Participants'!$AS$35))</f>
        <v/>
      </c>
      <c r="J57" s="20">
        <f>'(B) Register of Participants'!$AT$35</f>
        <v/>
      </c>
      <c r="K57" s="20">
        <f>'(B) Register of Participants'!$AE$35</f>
        <v/>
      </c>
      <c r="L57" s="20">
        <f>'(B) Register of Participants'!$AF$35</f>
        <v/>
      </c>
      <c r="M57" s="20">
        <f>'(B) Register of Participants'!$AJ$35</f>
        <v/>
      </c>
      <c r="N57" s="20">
        <f>'(B) Register of Participants'!$CY$35</f>
        <v/>
      </c>
      <c r="O57" s="20">
        <f>'(B) Register of Participants'!$CW$35</f>
        <v/>
      </c>
      <c r="P57" s="20">
        <f>(ISNUMBER(SEARCH("6am-9am",$AS$27))*ISNUMBER(SEARCH("6am-9am",'(B) Register of Participants'!$X$35)))+(ISNUMBER(SEARCH("9am-12pm",$AS$27))*ISNUMBER(SEARCH("9am-12pm",'(B) Register of Participants'!$X$35)))+(ISNUMBER(SEARCH("12pm-3pm",$AS$27))*ISNUMBER(SEARCH("12pm-3pm",'(B) Register of Participants'!$X$35)))+(ISNUMBER(SEARCH("3pm-6pm",$AS$27))*ISNUMBER(SEARCH("3pm-6pm",'(B) Register of Participants'!$X$35)))+(ISNUMBER(SEARCH("6pm-9pm",$AS$27))*ISNUMBER(SEARCH("6pm-9pm",'(B) Register of Participants'!$X$35)))+(ISNUMBER(SEARCH("6am-9am",$AS$28))*ISNUMBER(SEARCH("6am-9am",'(B) Register of Participants'!$Y$35)))+(ISNUMBER(SEARCH("9am-12pm",$AS$28))*ISNUMBER(SEARCH("9am-12pm",'(B) Register of Participants'!$Y$35)))+(ISNUMBER(SEARCH("12pm-3pm",$AS$28))*ISNUMBER(SEARCH("12pm-3pm",'(B) Register of Participants'!$Y$35)))+(ISNUMBER(SEARCH("3pm-6pm",$AS$28))*ISNUMBER(SEARCH("3pm-6pm",'(B) Register of Participants'!$Y$35)))+(ISNUMBER(SEARCH("6pm-9pm",$AS$28))*ISNUMBER(SEARCH("6pm-9pm",'(B) Register of Participants'!$Y$35)))+(ISNUMBER(SEARCH("6am-9am",$AS$29))*ISNUMBER(SEARCH("6am-9am",'(B) Register of Participants'!$Z$35)))+(ISNUMBER(SEARCH("9am-12pm",$AS$29))*ISNUMBER(SEARCH("9am-12pm",'(B) Register of Participants'!$Z$35)))+(ISNUMBER(SEARCH("12pm-3pm",$AS$29))*ISNUMBER(SEARCH("12pm-3pm",'(B) Register of Participants'!$Z$35)))+(ISNUMBER(SEARCH("3pm-6pm",$AS$29))*ISNUMBER(SEARCH("3pm-6pm",'(B) Register of Participants'!$Z$35)))+(ISNUMBER(SEARCH("6pm-9pm",$AS$29))*ISNUMBER(SEARCH("6pm-9pm",'(B) Register of Participants'!$Z$35)))+(ISNUMBER(SEARCH("6am-9am",$AS$30))*ISNUMBER(SEARCH("6am-9am",'(B) Register of Participants'!$AA$35)))+(ISNUMBER(SEARCH("9am-12pm",$AS$30))*ISNUMBER(SEARCH("9am-12pm",'(B) Register of Participants'!$AA$35)))+(ISNUMBER(SEARCH("12pm-3pm",$AS$30))*ISNUMBER(SEARCH("12pm-3pm",'(B) Register of Participants'!$AA$35)))+(ISNUMBER(SEARCH("3pm-6pm",$AS$30))*ISNUMBER(SEARCH("3pm-6pm",'(B) Register of Participants'!$AA$35)))+(ISNUMBER(SEARCH("6pm-9pm",$AS$30))*ISNUMBER(SEARCH("6pm-9pm",'(B) Register of Participants'!$AA$35)))+(ISNUMBER(SEARCH("6am-9am",$AS$31))*ISNUMBER(SEARCH("6am-9am",'(B) Register of Participants'!$AB$35)))+(ISNUMBER(SEARCH("9am-12pm",$AS$31))*ISNUMBER(SEARCH("9am-12pm",'(B) Register of Participants'!$AB$35)))+(ISNUMBER(SEARCH("12pm-3pm",$AS$31))*ISNUMBER(SEARCH("12pm-3pm",'(B) Register of Participants'!$AB$35)))+(ISNUMBER(SEARCH("3pm-6pm",$AS$31))*ISNUMBER(SEARCH("3pm-6pm",'(B) Register of Participants'!$AB$35)))+(ISNUMBER(SEARCH("6pm-9pm",$AS$31))*ISNUMBER(SEARCH("6pm-9pm",'(B) Register of Participants'!$AB$35)))+(ISNUMBER(SEARCH("6am-9am",$AS$32))*ISNUMBER(SEARCH("6am-9am",'(B) Register of Participants'!$AC$35)))+(ISNUMBER(SEARCH("9am-12pm",$AS$32))*ISNUMBER(SEARCH("9am-12pm",'(B) Register of Participants'!$AC$35)))+(ISNUMBER(SEARCH("12pm-3pm",$AS$32))*ISNUMBER(SEARCH("12pm-3pm",'(B) Register of Participants'!$AC$35)))+(ISNUMBER(SEARCH("3pm-6pm",$AS$32))*ISNUMBER(SEARCH("3pm-6pm",'(B) Register of Participants'!$AC$35)))+(ISNUMBER(SEARCH("6pm-9pm",$AS$32))*ISNUMBER(SEARCH("6pm-9pm",'(B) Register of Participants'!$AC$35)))+(ISNUMBER(SEARCH("6am-9am",$AS$33))*ISNUMBER(SEARCH("6am-9am",'(B) Register of Participants'!$AD$35)))+(ISNUMBER(SEARCH("9am-12pm",$AS$33))*ISNUMBER(SEARCH("9am-12pm",'(B) Register of Participants'!$AD$35)))+(ISNUMBER(SEARCH("12pm-3pm",$AS$33))*ISNUMBER(SEARCH("12pm-3pm",'(B) Register of Participants'!$AD$35)))+(ISNUMBER(SEARCH("3pm-6pm",$AS$33))*ISNUMBER(SEARCH("3pm-6pm",'(B) Register of Participants'!$AD$35)))+(ISNUMBER(SEARCH("6pm-9pm",$AS$33))*ISNUMBER(SEARCH("6pm-9pm",'(B) Register of Participants'!$AD$35)))</f>
        <v/>
      </c>
      <c r="Q57" s="20">
        <f>IF(OR(AND($AS$17&lt;&gt;"",$AS$17&lt;&gt;"English",IF($AS$17="Persian",OR(ISNUMBER(SEARCH("Dari",'(B) Register of Participants'!$AR$35)),ISNUMBER(SEARCH("Farsi",'(B) Register of Participants'!$AR$35)),ISNUMBER(SEARCH("Persian",'(B) Register of Participants'!$AR$35)),ISNUMBER(SEARCH("Hazaragi",'(B) Register of Participants'!$AR$35))),ISNUMBER(SEARCH($AS$17,'(B) Register of Participants'!$AR$35)))),AND($AS$20&lt;&gt;"",$AS$20&lt;&gt;"English",IF($AS$20="Persian",OR(ISNUMBER(SEARCH("Dari",'(B) Register of Participants'!$AR$35)),ISNUMBER(SEARCH("Farsi",'(B) Register of Participants'!$AR$35)),ISNUMBER(SEARCH("Persian",'(B) Register of Participants'!$AR$35)),ISNUMBER(SEARCH("Hazaragi",'(B) Register of Participants'!$AR$35))),ISNUMBER(SEARCH($AS$20,'(B) Register of Participants'!$AR$35))))),1,0)</f>
        <v/>
      </c>
      <c r="R57" s="20">
        <f>IF(AND(AH57,AI57,NOT(AJ57),NOT($AS$25),AK57,$AS$26,AM57,AN57,NOT(AL57)),"Yes","No")</f>
        <v/>
      </c>
      <c r="S57" s="20">
        <f>IF(OR(COUNTIF('Engine Lists'!$A:$A,$AS$14&amp;"|"&amp;AO57)&gt;0,COUNTIF('Engine Lists'!$A:$A,$AS$14&amp;"|"&amp;AP57)&gt;0,COUNTIF('Engine Lists'!$A:$A,$AS$15&amp;"|"&amp;AO57)&gt;0,COUNTIF('Engine Lists'!$A:$A,$AS$15&amp;"|"&amp;AP57)&gt;0,COUNTIF('Engine Lists'!$A:$A,$AS$21&amp;"|"&amp;I57)&gt;0),-8,0)</f>
        <v/>
      </c>
      <c r="T57" s="20">
        <f>IF(Q57=1,IF(OR($AS$8="A2",$AS$8="B1"),7,IF(OR($AS$8="B2",$AS$8="C1",$AS$8="C2"),-5,0)),0)</f>
        <v/>
      </c>
      <c r="U57" s="20">
        <f>IF(AND($AS$6=G57,OR($AS$6="Male",$AS$6="Female")),5,0)</f>
        <v/>
      </c>
      <c r="V57" s="20">
        <f>IF(AND($AS$24,$AS$11&lt;&gt;"In-Person",K57&lt;&gt;"In-Person"),-5,0)</f>
        <v/>
      </c>
      <c r="W57" s="20">
        <f>IF(OR($AS$11=K57,$AS$11="Either",K57="Either"),3,0)</f>
        <v/>
      </c>
      <c r="X57" s="20">
        <f>IF(AND($AS$11&lt;&gt;"Online",K57&lt;&gt;"Online",ISNUMBER($AS$22),ISNUMBER(IFERROR(VALUE(M57),"x"))),IF(ABS($AS$22-VALUE(M57))&lt;=50,3,0),0)</f>
        <v/>
      </c>
      <c r="Y57" s="20">
        <f>IF(AND($AS$10&lt;&gt;"",$AS$10=J57),3,0)</f>
        <v/>
      </c>
      <c r="Z57" s="20">
        <f>IF(OR(N($AS$13)&gt;=150,N(O57)&gt;=150),3,0)</f>
        <v/>
      </c>
      <c r="AA57" s="20">
        <f>IF(AND($AS$21&lt;&gt;"",$AS$21&lt;&gt;"NA",$AS$21=I57),2,0)</f>
        <v/>
      </c>
      <c r="AB57" s="20">
        <f>IF(OR(AND($AS$14&lt;&gt;"",$AS$14&lt;&gt;"NA",OR($AS$14=AO57,$AS$14=AP57)),AND($AS$15&lt;&gt;"",OR($AS$15=AO57,$AS$15=AP57))),2,0)</f>
        <v/>
      </c>
      <c r="AC57" s="20">
        <f>IF(AND(ISNUMBER($AS$12),ISNUMBER(N57),ABS($AS$12-N57)&lt;=10),2,0)</f>
        <v/>
      </c>
      <c r="AD57" s="20">
        <f>IF(R57="Yes",SUM(S57:AC57),"")</f>
        <v/>
      </c>
      <c r="AE57" s="20">
        <f>IF(R57="Yes","Score "&amp;AD57&amp;": "&amp;TRIM(IF(S57&lt;&gt;0,"−8 acrimonious; ","")&amp;IF(T57=7,"+7 shared language; ","")&amp;IF(T57=-5,"−5 shared lang(adv); ","")&amp;IF(U57=5,"+5 same-sex; ","")&amp;IF(V57=-5,"−5 online no device; ","")&amp;IF(W57=3,"+3 mode; ","")&amp;IF(X57=3,"+3 proximity; ","")&amp;IF(Y57=3,"+3 category; ","")&amp;IF(Z57=3,"+3 long wait; ","")&amp;IF(AA57=2,"+2 religion; ","")&amp;IF(AB57=2,"+2 nationality; ","")&amp;IF(AC57=2,"+2 age; ","")),"Not eligible: "&amp;IF(NOT(AH57),"tutor not pending/with-capacity",IF(NOT(AI57),"no spare capacity",IF(AJ57,"tutor blacklisted",IF($AS$25,"student blacklisted",IF(NOT(AK57),"tutor vetting incomplete",IF(NOT($AS$26),"student vetting incomplete",IF(NOT(AM57),"no overlapping 3h AEST block",IF(NOT(AN57),"A1 student needs a shared language",IF(AL57,"'do not pair' note present",""))))))))))</f>
        <v/>
      </c>
      <c r="AF57">
        <f>TRIM(IFERROR(LEFT('(B) Register of Participants'!$AR$35,FIND(" (",'(B) Register of Participants'!$AR$35)-1),'(B) Register of Participants'!$AR$35))</f>
        <v/>
      </c>
      <c r="AG57">
        <f>IF(ISNUMBER(SEARCH("Mandarin",'(B) Register of Participants'!$AR$35)),"Mandarin",IF(ISNUMBER(SEARCH("Cantonese",'(B) Register of Participants'!$AR$35)),"Cantonese",IF(OR(AF57="Dari",AF57="Farsi",AF57="Persian",AF57="Hazaragi"),"Persian",AF57)))</f>
        <v/>
      </c>
      <c r="AH57">
        <f>OR(E57="ADM-ACT-UNMAT",E57="ADM-ACT-MAT-CNE")</f>
        <v/>
      </c>
      <c r="AI57">
        <f>F57&gt;0</f>
        <v/>
      </c>
      <c r="AJ57">
        <f>LEFT('(B) Register of Participants'!$L$35,3)="Yes"</f>
        <v/>
      </c>
      <c r="AK57">
        <f>AND(OR(LEFT('(B) Register of Participants'!$AY$35,3)="Yes",LEFT('(B) Register of Participants'!$AY$35,2)="NA"),OR(LEFT('(B) Register of Participants'!$AZ$35,3)="Yes",LEFT('(B) Register of Participants'!$AZ$35,2)="NA"))</f>
        <v/>
      </c>
      <c r="AL57">
        <f>OR(ISNUMBER(SEARCH("do not pair",'(B) Register of Participants'!$BL$35)),ISNUMBER(SEARCH("do not pair",'(B) Register of Participants'!$BM$35)))</f>
        <v/>
      </c>
      <c r="AM57">
        <f>P57&gt;0</f>
        <v/>
      </c>
      <c r="AN57">
        <f>IF($AS$8="A1",Q57=1,TRUE)</f>
        <v/>
      </c>
      <c r="AO57">
        <f>TRIM(IFERROR(LEFT('(B) Register of Participants'!$AP$35,FIND(";",'(B) Register of Participants'!$AP$35)-1),'(B) Register of Participants'!$AP$35))</f>
        <v/>
      </c>
      <c r="AP57">
        <f>IF(ISNUMBER(FIND(";",'(B) Register of Participants'!$AP$35)),TRIM(MID('(B) Register of Participants'!$AP$35,FIND(";",'(B) Register of Participants'!$AP$35)+1,80)),"")</f>
        <v/>
      </c>
    </row>
    <row r="58">
      <c r="B58" s="20">
        <f>IF(R58="Yes",RANK(AD58,$AD$25:$AD$124),"")</f>
        <v/>
      </c>
      <c r="C58" s="20">
        <f>'(B) Register of Participants'!$A$36</f>
        <v/>
      </c>
      <c r="D58" s="20">
        <f>'(B) Register of Participants'!$B$36</f>
        <v/>
      </c>
      <c r="E58" s="20">
        <f>'(B) Register of Participants'!$J$36</f>
        <v/>
      </c>
      <c r="F58" s="20">
        <f>IFERROR('(B) Register of Participants'!$O$36-'(B) Register of Participants'!$P$36,0)</f>
        <v/>
      </c>
      <c r="G58" s="20">
        <f>'(B) Register of Participants'!$AL$36</f>
        <v/>
      </c>
      <c r="H58" s="20">
        <f>'(B) Register of Participants'!$AP$36</f>
        <v/>
      </c>
      <c r="I58" s="20">
        <f>TRIM(IFERROR(LEFT('(B) Register of Participants'!$AS$36,FIND(" (",'(B) Register of Participants'!$AS$36)-1),'(B) Register of Participants'!$AS$36))</f>
        <v/>
      </c>
      <c r="J58" s="20">
        <f>'(B) Register of Participants'!$AT$36</f>
        <v/>
      </c>
      <c r="K58" s="20">
        <f>'(B) Register of Participants'!$AE$36</f>
        <v/>
      </c>
      <c r="L58" s="20">
        <f>'(B) Register of Participants'!$AF$36</f>
        <v/>
      </c>
      <c r="M58" s="20">
        <f>'(B) Register of Participants'!$AJ$36</f>
        <v/>
      </c>
      <c r="N58" s="20">
        <f>'(B) Register of Participants'!$CY$36</f>
        <v/>
      </c>
      <c r="O58" s="20">
        <f>'(B) Register of Participants'!$CW$36</f>
        <v/>
      </c>
      <c r="P58" s="20">
        <f>(ISNUMBER(SEARCH("6am-9am",$AS$27))*ISNUMBER(SEARCH("6am-9am",'(B) Register of Participants'!$X$36)))+(ISNUMBER(SEARCH("9am-12pm",$AS$27))*ISNUMBER(SEARCH("9am-12pm",'(B) Register of Participants'!$X$36)))+(ISNUMBER(SEARCH("12pm-3pm",$AS$27))*ISNUMBER(SEARCH("12pm-3pm",'(B) Register of Participants'!$X$36)))+(ISNUMBER(SEARCH("3pm-6pm",$AS$27))*ISNUMBER(SEARCH("3pm-6pm",'(B) Register of Participants'!$X$36)))+(ISNUMBER(SEARCH("6pm-9pm",$AS$27))*ISNUMBER(SEARCH("6pm-9pm",'(B) Register of Participants'!$X$36)))+(ISNUMBER(SEARCH("6am-9am",$AS$28))*ISNUMBER(SEARCH("6am-9am",'(B) Register of Participants'!$Y$36)))+(ISNUMBER(SEARCH("9am-12pm",$AS$28))*ISNUMBER(SEARCH("9am-12pm",'(B) Register of Participants'!$Y$36)))+(ISNUMBER(SEARCH("12pm-3pm",$AS$28))*ISNUMBER(SEARCH("12pm-3pm",'(B) Register of Participants'!$Y$36)))+(ISNUMBER(SEARCH("3pm-6pm",$AS$28))*ISNUMBER(SEARCH("3pm-6pm",'(B) Register of Participants'!$Y$36)))+(ISNUMBER(SEARCH("6pm-9pm",$AS$28))*ISNUMBER(SEARCH("6pm-9pm",'(B) Register of Participants'!$Y$36)))+(ISNUMBER(SEARCH("6am-9am",$AS$29))*ISNUMBER(SEARCH("6am-9am",'(B) Register of Participants'!$Z$36)))+(ISNUMBER(SEARCH("9am-12pm",$AS$29))*ISNUMBER(SEARCH("9am-12pm",'(B) Register of Participants'!$Z$36)))+(ISNUMBER(SEARCH("12pm-3pm",$AS$29))*ISNUMBER(SEARCH("12pm-3pm",'(B) Register of Participants'!$Z$36)))+(ISNUMBER(SEARCH("3pm-6pm",$AS$29))*ISNUMBER(SEARCH("3pm-6pm",'(B) Register of Participants'!$Z$36)))+(ISNUMBER(SEARCH("6pm-9pm",$AS$29))*ISNUMBER(SEARCH("6pm-9pm",'(B) Register of Participants'!$Z$36)))+(ISNUMBER(SEARCH("6am-9am",$AS$30))*ISNUMBER(SEARCH("6am-9am",'(B) Register of Participants'!$AA$36)))+(ISNUMBER(SEARCH("9am-12pm",$AS$30))*ISNUMBER(SEARCH("9am-12pm",'(B) Register of Participants'!$AA$36)))+(ISNUMBER(SEARCH("12pm-3pm",$AS$30))*ISNUMBER(SEARCH("12pm-3pm",'(B) Register of Participants'!$AA$36)))+(ISNUMBER(SEARCH("3pm-6pm",$AS$30))*ISNUMBER(SEARCH("3pm-6pm",'(B) Register of Participants'!$AA$36)))+(ISNUMBER(SEARCH("6pm-9pm",$AS$30))*ISNUMBER(SEARCH("6pm-9pm",'(B) Register of Participants'!$AA$36)))+(ISNUMBER(SEARCH("6am-9am",$AS$31))*ISNUMBER(SEARCH("6am-9am",'(B) Register of Participants'!$AB$36)))+(ISNUMBER(SEARCH("9am-12pm",$AS$31))*ISNUMBER(SEARCH("9am-12pm",'(B) Register of Participants'!$AB$36)))+(ISNUMBER(SEARCH("12pm-3pm",$AS$31))*ISNUMBER(SEARCH("12pm-3pm",'(B) Register of Participants'!$AB$36)))+(ISNUMBER(SEARCH("3pm-6pm",$AS$31))*ISNUMBER(SEARCH("3pm-6pm",'(B) Register of Participants'!$AB$36)))+(ISNUMBER(SEARCH("6pm-9pm",$AS$31))*ISNUMBER(SEARCH("6pm-9pm",'(B) Register of Participants'!$AB$36)))+(ISNUMBER(SEARCH("6am-9am",$AS$32))*ISNUMBER(SEARCH("6am-9am",'(B) Register of Participants'!$AC$36)))+(ISNUMBER(SEARCH("9am-12pm",$AS$32))*ISNUMBER(SEARCH("9am-12pm",'(B) Register of Participants'!$AC$36)))+(ISNUMBER(SEARCH("12pm-3pm",$AS$32))*ISNUMBER(SEARCH("12pm-3pm",'(B) Register of Participants'!$AC$36)))+(ISNUMBER(SEARCH("3pm-6pm",$AS$32))*ISNUMBER(SEARCH("3pm-6pm",'(B) Register of Participants'!$AC$36)))+(ISNUMBER(SEARCH("6pm-9pm",$AS$32))*ISNUMBER(SEARCH("6pm-9pm",'(B) Register of Participants'!$AC$36)))+(ISNUMBER(SEARCH("6am-9am",$AS$33))*ISNUMBER(SEARCH("6am-9am",'(B) Register of Participants'!$AD$36)))+(ISNUMBER(SEARCH("9am-12pm",$AS$33))*ISNUMBER(SEARCH("9am-12pm",'(B) Register of Participants'!$AD$36)))+(ISNUMBER(SEARCH("12pm-3pm",$AS$33))*ISNUMBER(SEARCH("12pm-3pm",'(B) Register of Participants'!$AD$36)))+(ISNUMBER(SEARCH("3pm-6pm",$AS$33))*ISNUMBER(SEARCH("3pm-6pm",'(B) Register of Participants'!$AD$36)))+(ISNUMBER(SEARCH("6pm-9pm",$AS$33))*ISNUMBER(SEARCH("6pm-9pm",'(B) Register of Participants'!$AD$36)))</f>
        <v/>
      </c>
      <c r="Q58" s="20">
        <f>IF(OR(AND($AS$17&lt;&gt;"",$AS$17&lt;&gt;"English",IF($AS$17="Persian",OR(ISNUMBER(SEARCH("Dari",'(B) Register of Participants'!$AR$36)),ISNUMBER(SEARCH("Farsi",'(B) Register of Participants'!$AR$36)),ISNUMBER(SEARCH("Persian",'(B) Register of Participants'!$AR$36)),ISNUMBER(SEARCH("Hazaragi",'(B) Register of Participants'!$AR$36))),ISNUMBER(SEARCH($AS$17,'(B) Register of Participants'!$AR$36)))),AND($AS$20&lt;&gt;"",$AS$20&lt;&gt;"English",IF($AS$20="Persian",OR(ISNUMBER(SEARCH("Dari",'(B) Register of Participants'!$AR$36)),ISNUMBER(SEARCH("Farsi",'(B) Register of Participants'!$AR$36)),ISNUMBER(SEARCH("Persian",'(B) Register of Participants'!$AR$36)),ISNUMBER(SEARCH("Hazaragi",'(B) Register of Participants'!$AR$36))),ISNUMBER(SEARCH($AS$20,'(B) Register of Participants'!$AR$36))))),1,0)</f>
        <v/>
      </c>
      <c r="R58" s="20">
        <f>IF(AND(AH58,AI58,NOT(AJ58),NOT($AS$25),AK58,$AS$26,AM58,AN58,NOT(AL58)),"Yes","No")</f>
        <v/>
      </c>
      <c r="S58" s="20">
        <f>IF(OR(COUNTIF('Engine Lists'!$A:$A,$AS$14&amp;"|"&amp;AO58)&gt;0,COUNTIF('Engine Lists'!$A:$A,$AS$14&amp;"|"&amp;AP58)&gt;0,COUNTIF('Engine Lists'!$A:$A,$AS$15&amp;"|"&amp;AO58)&gt;0,COUNTIF('Engine Lists'!$A:$A,$AS$15&amp;"|"&amp;AP58)&gt;0,COUNTIF('Engine Lists'!$A:$A,$AS$21&amp;"|"&amp;I58)&gt;0),-8,0)</f>
        <v/>
      </c>
      <c r="T58" s="20">
        <f>IF(Q58=1,IF(OR($AS$8="A2",$AS$8="B1"),7,IF(OR($AS$8="B2",$AS$8="C1",$AS$8="C2"),-5,0)),0)</f>
        <v/>
      </c>
      <c r="U58" s="20">
        <f>IF(AND($AS$6=G58,OR($AS$6="Male",$AS$6="Female")),5,0)</f>
        <v/>
      </c>
      <c r="V58" s="20">
        <f>IF(AND($AS$24,$AS$11&lt;&gt;"In-Person",K58&lt;&gt;"In-Person"),-5,0)</f>
        <v/>
      </c>
      <c r="W58" s="20">
        <f>IF(OR($AS$11=K58,$AS$11="Either",K58="Either"),3,0)</f>
        <v/>
      </c>
      <c r="X58" s="20">
        <f>IF(AND($AS$11&lt;&gt;"Online",K58&lt;&gt;"Online",ISNUMBER($AS$22),ISNUMBER(IFERROR(VALUE(M58),"x"))),IF(ABS($AS$22-VALUE(M58))&lt;=50,3,0),0)</f>
        <v/>
      </c>
      <c r="Y58" s="20">
        <f>IF(AND($AS$10&lt;&gt;"",$AS$10=J58),3,0)</f>
        <v/>
      </c>
      <c r="Z58" s="20">
        <f>IF(OR(N($AS$13)&gt;=150,N(O58)&gt;=150),3,0)</f>
        <v/>
      </c>
      <c r="AA58" s="20">
        <f>IF(AND($AS$21&lt;&gt;"",$AS$21&lt;&gt;"NA",$AS$21=I58),2,0)</f>
        <v/>
      </c>
      <c r="AB58" s="20">
        <f>IF(OR(AND($AS$14&lt;&gt;"",$AS$14&lt;&gt;"NA",OR($AS$14=AO58,$AS$14=AP58)),AND($AS$15&lt;&gt;"",OR($AS$15=AO58,$AS$15=AP58))),2,0)</f>
        <v/>
      </c>
      <c r="AC58" s="20">
        <f>IF(AND(ISNUMBER($AS$12),ISNUMBER(N58),ABS($AS$12-N58)&lt;=10),2,0)</f>
        <v/>
      </c>
      <c r="AD58" s="20">
        <f>IF(R58="Yes",SUM(S58:AC58),"")</f>
        <v/>
      </c>
      <c r="AE58" s="20">
        <f>IF(R58="Yes","Score "&amp;AD58&amp;": "&amp;TRIM(IF(S58&lt;&gt;0,"−8 acrimonious; ","")&amp;IF(T58=7,"+7 shared language; ","")&amp;IF(T58=-5,"−5 shared lang(adv); ","")&amp;IF(U58=5,"+5 same-sex; ","")&amp;IF(V58=-5,"−5 online no device; ","")&amp;IF(W58=3,"+3 mode; ","")&amp;IF(X58=3,"+3 proximity; ","")&amp;IF(Y58=3,"+3 category; ","")&amp;IF(Z58=3,"+3 long wait; ","")&amp;IF(AA58=2,"+2 religion; ","")&amp;IF(AB58=2,"+2 nationality; ","")&amp;IF(AC58=2,"+2 age; ","")),"Not eligible: "&amp;IF(NOT(AH58),"tutor not pending/with-capacity",IF(NOT(AI58),"no spare capacity",IF(AJ58,"tutor blacklisted",IF($AS$25,"student blacklisted",IF(NOT(AK58),"tutor vetting incomplete",IF(NOT($AS$26),"student vetting incomplete",IF(NOT(AM58),"no overlapping 3h AEST block",IF(NOT(AN58),"A1 student needs a shared language",IF(AL58,"'do not pair' note present",""))))))))))</f>
        <v/>
      </c>
      <c r="AF58">
        <f>TRIM(IFERROR(LEFT('(B) Register of Participants'!$AR$36,FIND(" (",'(B) Register of Participants'!$AR$36)-1),'(B) Register of Participants'!$AR$36))</f>
        <v/>
      </c>
      <c r="AG58">
        <f>IF(ISNUMBER(SEARCH("Mandarin",'(B) Register of Participants'!$AR$36)),"Mandarin",IF(ISNUMBER(SEARCH("Cantonese",'(B) Register of Participants'!$AR$36)),"Cantonese",IF(OR(AF58="Dari",AF58="Farsi",AF58="Persian",AF58="Hazaragi"),"Persian",AF58)))</f>
        <v/>
      </c>
      <c r="AH58">
        <f>OR(E58="ADM-ACT-UNMAT",E58="ADM-ACT-MAT-CNE")</f>
        <v/>
      </c>
      <c r="AI58">
        <f>F58&gt;0</f>
        <v/>
      </c>
      <c r="AJ58">
        <f>LEFT('(B) Register of Participants'!$L$36,3)="Yes"</f>
        <v/>
      </c>
      <c r="AK58">
        <f>AND(OR(LEFT('(B) Register of Participants'!$AY$36,3)="Yes",LEFT('(B) Register of Participants'!$AY$36,2)="NA"),OR(LEFT('(B) Register of Participants'!$AZ$36,3)="Yes",LEFT('(B) Register of Participants'!$AZ$36,2)="NA"))</f>
        <v/>
      </c>
      <c r="AL58">
        <f>OR(ISNUMBER(SEARCH("do not pair",'(B) Register of Participants'!$BL$36)),ISNUMBER(SEARCH("do not pair",'(B) Register of Participants'!$BM$36)))</f>
        <v/>
      </c>
      <c r="AM58">
        <f>P58&gt;0</f>
        <v/>
      </c>
      <c r="AN58">
        <f>IF($AS$8="A1",Q58=1,TRUE)</f>
        <v/>
      </c>
      <c r="AO58">
        <f>TRIM(IFERROR(LEFT('(B) Register of Participants'!$AP$36,FIND(";",'(B) Register of Participants'!$AP$36)-1),'(B) Register of Participants'!$AP$36))</f>
        <v/>
      </c>
      <c r="AP58">
        <f>IF(ISNUMBER(FIND(";",'(B) Register of Participants'!$AP$36)),TRIM(MID('(B) Register of Participants'!$AP$36,FIND(";",'(B) Register of Participants'!$AP$36)+1,80)),"")</f>
        <v/>
      </c>
    </row>
    <row r="59">
      <c r="B59" s="20">
        <f>IF(R59="Yes",RANK(AD59,$AD$25:$AD$124),"")</f>
        <v/>
      </c>
      <c r="C59" s="20">
        <f>'(B) Register of Participants'!$A$37</f>
        <v/>
      </c>
      <c r="D59" s="20">
        <f>'(B) Register of Participants'!$B$37</f>
        <v/>
      </c>
      <c r="E59" s="20">
        <f>'(B) Register of Participants'!$J$37</f>
        <v/>
      </c>
      <c r="F59" s="20">
        <f>IFERROR('(B) Register of Participants'!$O$37-'(B) Register of Participants'!$P$37,0)</f>
        <v/>
      </c>
      <c r="G59" s="20">
        <f>'(B) Register of Participants'!$AL$37</f>
        <v/>
      </c>
      <c r="H59" s="20">
        <f>'(B) Register of Participants'!$AP$37</f>
        <v/>
      </c>
      <c r="I59" s="20">
        <f>TRIM(IFERROR(LEFT('(B) Register of Participants'!$AS$37,FIND(" (",'(B) Register of Participants'!$AS$37)-1),'(B) Register of Participants'!$AS$37))</f>
        <v/>
      </c>
      <c r="J59" s="20">
        <f>'(B) Register of Participants'!$AT$37</f>
        <v/>
      </c>
      <c r="K59" s="20">
        <f>'(B) Register of Participants'!$AE$37</f>
        <v/>
      </c>
      <c r="L59" s="20">
        <f>'(B) Register of Participants'!$AF$37</f>
        <v/>
      </c>
      <c r="M59" s="20">
        <f>'(B) Register of Participants'!$AJ$37</f>
        <v/>
      </c>
      <c r="N59" s="20">
        <f>'(B) Register of Participants'!$CY$37</f>
        <v/>
      </c>
      <c r="O59" s="20">
        <f>'(B) Register of Participants'!$CW$37</f>
        <v/>
      </c>
      <c r="P59" s="20">
        <f>(ISNUMBER(SEARCH("6am-9am",$AS$27))*ISNUMBER(SEARCH("6am-9am",'(B) Register of Participants'!$X$37)))+(ISNUMBER(SEARCH("9am-12pm",$AS$27))*ISNUMBER(SEARCH("9am-12pm",'(B) Register of Participants'!$X$37)))+(ISNUMBER(SEARCH("12pm-3pm",$AS$27))*ISNUMBER(SEARCH("12pm-3pm",'(B) Register of Participants'!$X$37)))+(ISNUMBER(SEARCH("3pm-6pm",$AS$27))*ISNUMBER(SEARCH("3pm-6pm",'(B) Register of Participants'!$X$37)))+(ISNUMBER(SEARCH("6pm-9pm",$AS$27))*ISNUMBER(SEARCH("6pm-9pm",'(B) Register of Participants'!$X$37)))+(ISNUMBER(SEARCH("6am-9am",$AS$28))*ISNUMBER(SEARCH("6am-9am",'(B) Register of Participants'!$Y$37)))+(ISNUMBER(SEARCH("9am-12pm",$AS$28))*ISNUMBER(SEARCH("9am-12pm",'(B) Register of Participants'!$Y$37)))+(ISNUMBER(SEARCH("12pm-3pm",$AS$28))*ISNUMBER(SEARCH("12pm-3pm",'(B) Register of Participants'!$Y$37)))+(ISNUMBER(SEARCH("3pm-6pm",$AS$28))*ISNUMBER(SEARCH("3pm-6pm",'(B) Register of Participants'!$Y$37)))+(ISNUMBER(SEARCH("6pm-9pm",$AS$28))*ISNUMBER(SEARCH("6pm-9pm",'(B) Register of Participants'!$Y$37)))+(ISNUMBER(SEARCH("6am-9am",$AS$29))*ISNUMBER(SEARCH("6am-9am",'(B) Register of Participants'!$Z$37)))+(ISNUMBER(SEARCH("9am-12pm",$AS$29))*ISNUMBER(SEARCH("9am-12pm",'(B) Register of Participants'!$Z$37)))+(ISNUMBER(SEARCH("12pm-3pm",$AS$29))*ISNUMBER(SEARCH("12pm-3pm",'(B) Register of Participants'!$Z$37)))+(ISNUMBER(SEARCH("3pm-6pm",$AS$29))*ISNUMBER(SEARCH("3pm-6pm",'(B) Register of Participants'!$Z$37)))+(ISNUMBER(SEARCH("6pm-9pm",$AS$29))*ISNUMBER(SEARCH("6pm-9pm",'(B) Register of Participants'!$Z$37)))+(ISNUMBER(SEARCH("6am-9am",$AS$30))*ISNUMBER(SEARCH("6am-9am",'(B) Register of Participants'!$AA$37)))+(ISNUMBER(SEARCH("9am-12pm",$AS$30))*ISNUMBER(SEARCH("9am-12pm",'(B) Register of Participants'!$AA$37)))+(ISNUMBER(SEARCH("12pm-3pm",$AS$30))*ISNUMBER(SEARCH("12pm-3pm",'(B) Register of Participants'!$AA$37)))+(ISNUMBER(SEARCH("3pm-6pm",$AS$30))*ISNUMBER(SEARCH("3pm-6pm",'(B) Register of Participants'!$AA$37)))+(ISNUMBER(SEARCH("6pm-9pm",$AS$30))*ISNUMBER(SEARCH("6pm-9pm",'(B) Register of Participants'!$AA$37)))+(ISNUMBER(SEARCH("6am-9am",$AS$31))*ISNUMBER(SEARCH("6am-9am",'(B) Register of Participants'!$AB$37)))+(ISNUMBER(SEARCH("9am-12pm",$AS$31))*ISNUMBER(SEARCH("9am-12pm",'(B) Register of Participants'!$AB$37)))+(ISNUMBER(SEARCH("12pm-3pm",$AS$31))*ISNUMBER(SEARCH("12pm-3pm",'(B) Register of Participants'!$AB$37)))+(ISNUMBER(SEARCH("3pm-6pm",$AS$31))*ISNUMBER(SEARCH("3pm-6pm",'(B) Register of Participants'!$AB$37)))+(ISNUMBER(SEARCH("6pm-9pm",$AS$31))*ISNUMBER(SEARCH("6pm-9pm",'(B) Register of Participants'!$AB$37)))+(ISNUMBER(SEARCH("6am-9am",$AS$32))*ISNUMBER(SEARCH("6am-9am",'(B) Register of Participants'!$AC$37)))+(ISNUMBER(SEARCH("9am-12pm",$AS$32))*ISNUMBER(SEARCH("9am-12pm",'(B) Register of Participants'!$AC$37)))+(ISNUMBER(SEARCH("12pm-3pm",$AS$32))*ISNUMBER(SEARCH("12pm-3pm",'(B) Register of Participants'!$AC$37)))+(ISNUMBER(SEARCH("3pm-6pm",$AS$32))*ISNUMBER(SEARCH("3pm-6pm",'(B) Register of Participants'!$AC$37)))+(ISNUMBER(SEARCH("6pm-9pm",$AS$32))*ISNUMBER(SEARCH("6pm-9pm",'(B) Register of Participants'!$AC$37)))+(ISNUMBER(SEARCH("6am-9am",$AS$33))*ISNUMBER(SEARCH("6am-9am",'(B) Register of Participants'!$AD$37)))+(ISNUMBER(SEARCH("9am-12pm",$AS$33))*ISNUMBER(SEARCH("9am-12pm",'(B) Register of Participants'!$AD$37)))+(ISNUMBER(SEARCH("12pm-3pm",$AS$33))*ISNUMBER(SEARCH("12pm-3pm",'(B) Register of Participants'!$AD$37)))+(ISNUMBER(SEARCH("3pm-6pm",$AS$33))*ISNUMBER(SEARCH("3pm-6pm",'(B) Register of Participants'!$AD$37)))+(ISNUMBER(SEARCH("6pm-9pm",$AS$33))*ISNUMBER(SEARCH("6pm-9pm",'(B) Register of Participants'!$AD$37)))</f>
        <v/>
      </c>
      <c r="Q59" s="20">
        <f>IF(OR(AND($AS$17&lt;&gt;"",$AS$17&lt;&gt;"English",IF($AS$17="Persian",OR(ISNUMBER(SEARCH("Dari",'(B) Register of Participants'!$AR$37)),ISNUMBER(SEARCH("Farsi",'(B) Register of Participants'!$AR$37)),ISNUMBER(SEARCH("Persian",'(B) Register of Participants'!$AR$37)),ISNUMBER(SEARCH("Hazaragi",'(B) Register of Participants'!$AR$37))),ISNUMBER(SEARCH($AS$17,'(B) Register of Participants'!$AR$37)))),AND($AS$20&lt;&gt;"",$AS$20&lt;&gt;"English",IF($AS$20="Persian",OR(ISNUMBER(SEARCH("Dari",'(B) Register of Participants'!$AR$37)),ISNUMBER(SEARCH("Farsi",'(B) Register of Participants'!$AR$37)),ISNUMBER(SEARCH("Persian",'(B) Register of Participants'!$AR$37)),ISNUMBER(SEARCH("Hazaragi",'(B) Register of Participants'!$AR$37))),ISNUMBER(SEARCH($AS$20,'(B) Register of Participants'!$AR$37))))),1,0)</f>
        <v/>
      </c>
      <c r="R59" s="20">
        <f>IF(AND(AH59,AI59,NOT(AJ59),NOT($AS$25),AK59,$AS$26,AM59,AN59,NOT(AL59)),"Yes","No")</f>
        <v/>
      </c>
      <c r="S59" s="20">
        <f>IF(OR(COUNTIF('Engine Lists'!$A:$A,$AS$14&amp;"|"&amp;AO59)&gt;0,COUNTIF('Engine Lists'!$A:$A,$AS$14&amp;"|"&amp;AP59)&gt;0,COUNTIF('Engine Lists'!$A:$A,$AS$15&amp;"|"&amp;AO59)&gt;0,COUNTIF('Engine Lists'!$A:$A,$AS$15&amp;"|"&amp;AP59)&gt;0,COUNTIF('Engine Lists'!$A:$A,$AS$21&amp;"|"&amp;I59)&gt;0),-8,0)</f>
        <v/>
      </c>
      <c r="T59" s="20">
        <f>IF(Q59=1,IF(OR($AS$8="A2",$AS$8="B1"),7,IF(OR($AS$8="B2",$AS$8="C1",$AS$8="C2"),-5,0)),0)</f>
        <v/>
      </c>
      <c r="U59" s="20">
        <f>IF(AND($AS$6=G59,OR($AS$6="Male",$AS$6="Female")),5,0)</f>
        <v/>
      </c>
      <c r="V59" s="20">
        <f>IF(AND($AS$24,$AS$11&lt;&gt;"In-Person",K59&lt;&gt;"In-Person"),-5,0)</f>
        <v/>
      </c>
      <c r="W59" s="20">
        <f>IF(OR($AS$11=K59,$AS$11="Either",K59="Either"),3,0)</f>
        <v/>
      </c>
      <c r="X59" s="20">
        <f>IF(AND($AS$11&lt;&gt;"Online",K59&lt;&gt;"Online",ISNUMBER($AS$22),ISNUMBER(IFERROR(VALUE(M59),"x"))),IF(ABS($AS$22-VALUE(M59))&lt;=50,3,0),0)</f>
        <v/>
      </c>
      <c r="Y59" s="20">
        <f>IF(AND($AS$10&lt;&gt;"",$AS$10=J59),3,0)</f>
        <v/>
      </c>
      <c r="Z59" s="20">
        <f>IF(OR(N($AS$13)&gt;=150,N(O59)&gt;=150),3,0)</f>
        <v/>
      </c>
      <c r="AA59" s="20">
        <f>IF(AND($AS$21&lt;&gt;"",$AS$21&lt;&gt;"NA",$AS$21=I59),2,0)</f>
        <v/>
      </c>
      <c r="AB59" s="20">
        <f>IF(OR(AND($AS$14&lt;&gt;"",$AS$14&lt;&gt;"NA",OR($AS$14=AO59,$AS$14=AP59)),AND($AS$15&lt;&gt;"",OR($AS$15=AO59,$AS$15=AP59))),2,0)</f>
        <v/>
      </c>
      <c r="AC59" s="20">
        <f>IF(AND(ISNUMBER($AS$12),ISNUMBER(N59),ABS($AS$12-N59)&lt;=10),2,0)</f>
        <v/>
      </c>
      <c r="AD59" s="20">
        <f>IF(R59="Yes",SUM(S59:AC59),"")</f>
        <v/>
      </c>
      <c r="AE59" s="20">
        <f>IF(R59="Yes","Score "&amp;AD59&amp;": "&amp;TRIM(IF(S59&lt;&gt;0,"−8 acrimonious; ","")&amp;IF(T59=7,"+7 shared language; ","")&amp;IF(T59=-5,"−5 shared lang(adv); ","")&amp;IF(U59=5,"+5 same-sex; ","")&amp;IF(V59=-5,"−5 online no device; ","")&amp;IF(W59=3,"+3 mode; ","")&amp;IF(X59=3,"+3 proximity; ","")&amp;IF(Y59=3,"+3 category; ","")&amp;IF(Z59=3,"+3 long wait; ","")&amp;IF(AA59=2,"+2 religion; ","")&amp;IF(AB59=2,"+2 nationality; ","")&amp;IF(AC59=2,"+2 age; ","")),"Not eligible: "&amp;IF(NOT(AH59),"tutor not pending/with-capacity",IF(NOT(AI59),"no spare capacity",IF(AJ59,"tutor blacklisted",IF($AS$25,"student blacklisted",IF(NOT(AK59),"tutor vetting incomplete",IF(NOT($AS$26),"student vetting incomplete",IF(NOT(AM59),"no overlapping 3h AEST block",IF(NOT(AN59),"A1 student needs a shared language",IF(AL59,"'do not pair' note present",""))))))))))</f>
        <v/>
      </c>
      <c r="AF59">
        <f>TRIM(IFERROR(LEFT('(B) Register of Participants'!$AR$37,FIND(" (",'(B) Register of Participants'!$AR$37)-1),'(B) Register of Participants'!$AR$37))</f>
        <v/>
      </c>
      <c r="AG59">
        <f>IF(ISNUMBER(SEARCH("Mandarin",'(B) Register of Participants'!$AR$37)),"Mandarin",IF(ISNUMBER(SEARCH("Cantonese",'(B) Register of Participants'!$AR$37)),"Cantonese",IF(OR(AF59="Dari",AF59="Farsi",AF59="Persian",AF59="Hazaragi"),"Persian",AF59)))</f>
        <v/>
      </c>
      <c r="AH59">
        <f>OR(E59="ADM-ACT-UNMAT",E59="ADM-ACT-MAT-CNE")</f>
        <v/>
      </c>
      <c r="AI59">
        <f>F59&gt;0</f>
        <v/>
      </c>
      <c r="AJ59">
        <f>LEFT('(B) Register of Participants'!$L$37,3)="Yes"</f>
        <v/>
      </c>
      <c r="AK59">
        <f>AND(OR(LEFT('(B) Register of Participants'!$AY$37,3)="Yes",LEFT('(B) Register of Participants'!$AY$37,2)="NA"),OR(LEFT('(B) Register of Participants'!$AZ$37,3)="Yes",LEFT('(B) Register of Participants'!$AZ$37,2)="NA"))</f>
        <v/>
      </c>
      <c r="AL59">
        <f>OR(ISNUMBER(SEARCH("do not pair",'(B) Register of Participants'!$BL$37)),ISNUMBER(SEARCH("do not pair",'(B) Register of Participants'!$BM$37)))</f>
        <v/>
      </c>
      <c r="AM59">
        <f>P59&gt;0</f>
        <v/>
      </c>
      <c r="AN59">
        <f>IF($AS$8="A1",Q59=1,TRUE)</f>
        <v/>
      </c>
      <c r="AO59">
        <f>TRIM(IFERROR(LEFT('(B) Register of Participants'!$AP$37,FIND(";",'(B) Register of Participants'!$AP$37)-1),'(B) Register of Participants'!$AP$37))</f>
        <v/>
      </c>
      <c r="AP59">
        <f>IF(ISNUMBER(FIND(";",'(B) Register of Participants'!$AP$37)),TRIM(MID('(B) Register of Participants'!$AP$37,FIND(";",'(B) Register of Participants'!$AP$37)+1,80)),"")</f>
        <v/>
      </c>
    </row>
    <row r="60">
      <c r="B60" s="20">
        <f>IF(R60="Yes",RANK(AD60,$AD$25:$AD$124),"")</f>
        <v/>
      </c>
      <c r="C60" s="20">
        <f>'(B) Register of Participants'!$A$38</f>
        <v/>
      </c>
      <c r="D60" s="20">
        <f>'(B) Register of Participants'!$B$38</f>
        <v/>
      </c>
      <c r="E60" s="20">
        <f>'(B) Register of Participants'!$J$38</f>
        <v/>
      </c>
      <c r="F60" s="20">
        <f>IFERROR('(B) Register of Participants'!$O$38-'(B) Register of Participants'!$P$38,0)</f>
        <v/>
      </c>
      <c r="G60" s="20">
        <f>'(B) Register of Participants'!$AL$38</f>
        <v/>
      </c>
      <c r="H60" s="20">
        <f>'(B) Register of Participants'!$AP$38</f>
        <v/>
      </c>
      <c r="I60" s="20">
        <f>TRIM(IFERROR(LEFT('(B) Register of Participants'!$AS$38,FIND(" (",'(B) Register of Participants'!$AS$38)-1),'(B) Register of Participants'!$AS$38))</f>
        <v/>
      </c>
      <c r="J60" s="20">
        <f>'(B) Register of Participants'!$AT$38</f>
        <v/>
      </c>
      <c r="K60" s="20">
        <f>'(B) Register of Participants'!$AE$38</f>
        <v/>
      </c>
      <c r="L60" s="20">
        <f>'(B) Register of Participants'!$AF$38</f>
        <v/>
      </c>
      <c r="M60" s="20">
        <f>'(B) Register of Participants'!$AJ$38</f>
        <v/>
      </c>
      <c r="N60" s="20">
        <f>'(B) Register of Participants'!$CY$38</f>
        <v/>
      </c>
      <c r="O60" s="20">
        <f>'(B) Register of Participants'!$CW$38</f>
        <v/>
      </c>
      <c r="P60" s="20">
        <f>(ISNUMBER(SEARCH("6am-9am",$AS$27))*ISNUMBER(SEARCH("6am-9am",'(B) Register of Participants'!$X$38)))+(ISNUMBER(SEARCH("9am-12pm",$AS$27))*ISNUMBER(SEARCH("9am-12pm",'(B) Register of Participants'!$X$38)))+(ISNUMBER(SEARCH("12pm-3pm",$AS$27))*ISNUMBER(SEARCH("12pm-3pm",'(B) Register of Participants'!$X$38)))+(ISNUMBER(SEARCH("3pm-6pm",$AS$27))*ISNUMBER(SEARCH("3pm-6pm",'(B) Register of Participants'!$X$38)))+(ISNUMBER(SEARCH("6pm-9pm",$AS$27))*ISNUMBER(SEARCH("6pm-9pm",'(B) Register of Participants'!$X$38)))+(ISNUMBER(SEARCH("6am-9am",$AS$28))*ISNUMBER(SEARCH("6am-9am",'(B) Register of Participants'!$Y$38)))+(ISNUMBER(SEARCH("9am-12pm",$AS$28))*ISNUMBER(SEARCH("9am-12pm",'(B) Register of Participants'!$Y$38)))+(ISNUMBER(SEARCH("12pm-3pm",$AS$28))*ISNUMBER(SEARCH("12pm-3pm",'(B) Register of Participants'!$Y$38)))+(ISNUMBER(SEARCH("3pm-6pm",$AS$28))*ISNUMBER(SEARCH("3pm-6pm",'(B) Register of Participants'!$Y$38)))+(ISNUMBER(SEARCH("6pm-9pm",$AS$28))*ISNUMBER(SEARCH("6pm-9pm",'(B) Register of Participants'!$Y$38)))+(ISNUMBER(SEARCH("6am-9am",$AS$29))*ISNUMBER(SEARCH("6am-9am",'(B) Register of Participants'!$Z$38)))+(ISNUMBER(SEARCH("9am-12pm",$AS$29))*ISNUMBER(SEARCH("9am-12pm",'(B) Register of Participants'!$Z$38)))+(ISNUMBER(SEARCH("12pm-3pm",$AS$29))*ISNUMBER(SEARCH("12pm-3pm",'(B) Register of Participants'!$Z$38)))+(ISNUMBER(SEARCH("3pm-6pm",$AS$29))*ISNUMBER(SEARCH("3pm-6pm",'(B) Register of Participants'!$Z$38)))+(ISNUMBER(SEARCH("6pm-9pm",$AS$29))*ISNUMBER(SEARCH("6pm-9pm",'(B) Register of Participants'!$Z$38)))+(ISNUMBER(SEARCH("6am-9am",$AS$30))*ISNUMBER(SEARCH("6am-9am",'(B) Register of Participants'!$AA$38)))+(ISNUMBER(SEARCH("9am-12pm",$AS$30))*ISNUMBER(SEARCH("9am-12pm",'(B) Register of Participants'!$AA$38)))+(ISNUMBER(SEARCH("12pm-3pm",$AS$30))*ISNUMBER(SEARCH("12pm-3pm",'(B) Register of Participants'!$AA$38)))+(ISNUMBER(SEARCH("3pm-6pm",$AS$30))*ISNUMBER(SEARCH("3pm-6pm",'(B) Register of Participants'!$AA$38)))+(ISNUMBER(SEARCH("6pm-9pm",$AS$30))*ISNUMBER(SEARCH("6pm-9pm",'(B) Register of Participants'!$AA$38)))+(ISNUMBER(SEARCH("6am-9am",$AS$31))*ISNUMBER(SEARCH("6am-9am",'(B) Register of Participants'!$AB$38)))+(ISNUMBER(SEARCH("9am-12pm",$AS$31))*ISNUMBER(SEARCH("9am-12pm",'(B) Register of Participants'!$AB$38)))+(ISNUMBER(SEARCH("12pm-3pm",$AS$31))*ISNUMBER(SEARCH("12pm-3pm",'(B) Register of Participants'!$AB$38)))+(ISNUMBER(SEARCH("3pm-6pm",$AS$31))*ISNUMBER(SEARCH("3pm-6pm",'(B) Register of Participants'!$AB$38)))+(ISNUMBER(SEARCH("6pm-9pm",$AS$31))*ISNUMBER(SEARCH("6pm-9pm",'(B) Register of Participants'!$AB$38)))+(ISNUMBER(SEARCH("6am-9am",$AS$32))*ISNUMBER(SEARCH("6am-9am",'(B) Register of Participants'!$AC$38)))+(ISNUMBER(SEARCH("9am-12pm",$AS$32))*ISNUMBER(SEARCH("9am-12pm",'(B) Register of Participants'!$AC$38)))+(ISNUMBER(SEARCH("12pm-3pm",$AS$32))*ISNUMBER(SEARCH("12pm-3pm",'(B) Register of Participants'!$AC$38)))+(ISNUMBER(SEARCH("3pm-6pm",$AS$32))*ISNUMBER(SEARCH("3pm-6pm",'(B) Register of Participants'!$AC$38)))+(ISNUMBER(SEARCH("6pm-9pm",$AS$32))*ISNUMBER(SEARCH("6pm-9pm",'(B) Register of Participants'!$AC$38)))+(ISNUMBER(SEARCH("6am-9am",$AS$33))*ISNUMBER(SEARCH("6am-9am",'(B) Register of Participants'!$AD$38)))+(ISNUMBER(SEARCH("9am-12pm",$AS$33))*ISNUMBER(SEARCH("9am-12pm",'(B) Register of Participants'!$AD$38)))+(ISNUMBER(SEARCH("12pm-3pm",$AS$33))*ISNUMBER(SEARCH("12pm-3pm",'(B) Register of Participants'!$AD$38)))+(ISNUMBER(SEARCH("3pm-6pm",$AS$33))*ISNUMBER(SEARCH("3pm-6pm",'(B) Register of Participants'!$AD$38)))+(ISNUMBER(SEARCH("6pm-9pm",$AS$33))*ISNUMBER(SEARCH("6pm-9pm",'(B) Register of Participants'!$AD$38)))</f>
        <v/>
      </c>
      <c r="Q60" s="20">
        <f>IF(OR(AND($AS$17&lt;&gt;"",$AS$17&lt;&gt;"English",IF($AS$17="Persian",OR(ISNUMBER(SEARCH("Dari",'(B) Register of Participants'!$AR$38)),ISNUMBER(SEARCH("Farsi",'(B) Register of Participants'!$AR$38)),ISNUMBER(SEARCH("Persian",'(B) Register of Participants'!$AR$38)),ISNUMBER(SEARCH("Hazaragi",'(B) Register of Participants'!$AR$38))),ISNUMBER(SEARCH($AS$17,'(B) Register of Participants'!$AR$38)))),AND($AS$20&lt;&gt;"",$AS$20&lt;&gt;"English",IF($AS$20="Persian",OR(ISNUMBER(SEARCH("Dari",'(B) Register of Participants'!$AR$38)),ISNUMBER(SEARCH("Farsi",'(B) Register of Participants'!$AR$38)),ISNUMBER(SEARCH("Persian",'(B) Register of Participants'!$AR$38)),ISNUMBER(SEARCH("Hazaragi",'(B) Register of Participants'!$AR$38))),ISNUMBER(SEARCH($AS$20,'(B) Register of Participants'!$AR$38))))),1,0)</f>
        <v/>
      </c>
      <c r="R60" s="20">
        <f>IF(AND(AH60,AI60,NOT(AJ60),NOT($AS$25),AK60,$AS$26,AM60,AN60,NOT(AL60)),"Yes","No")</f>
        <v/>
      </c>
      <c r="S60" s="20">
        <f>IF(OR(COUNTIF('Engine Lists'!$A:$A,$AS$14&amp;"|"&amp;AO60)&gt;0,COUNTIF('Engine Lists'!$A:$A,$AS$14&amp;"|"&amp;AP60)&gt;0,COUNTIF('Engine Lists'!$A:$A,$AS$15&amp;"|"&amp;AO60)&gt;0,COUNTIF('Engine Lists'!$A:$A,$AS$15&amp;"|"&amp;AP60)&gt;0,COUNTIF('Engine Lists'!$A:$A,$AS$21&amp;"|"&amp;I60)&gt;0),-8,0)</f>
        <v/>
      </c>
      <c r="T60" s="20">
        <f>IF(Q60=1,IF(OR($AS$8="A2",$AS$8="B1"),7,IF(OR($AS$8="B2",$AS$8="C1",$AS$8="C2"),-5,0)),0)</f>
        <v/>
      </c>
      <c r="U60" s="20">
        <f>IF(AND($AS$6=G60,OR($AS$6="Male",$AS$6="Female")),5,0)</f>
        <v/>
      </c>
      <c r="V60" s="20">
        <f>IF(AND($AS$24,$AS$11&lt;&gt;"In-Person",K60&lt;&gt;"In-Person"),-5,0)</f>
        <v/>
      </c>
      <c r="W60" s="20">
        <f>IF(OR($AS$11=K60,$AS$11="Either",K60="Either"),3,0)</f>
        <v/>
      </c>
      <c r="X60" s="20">
        <f>IF(AND($AS$11&lt;&gt;"Online",K60&lt;&gt;"Online",ISNUMBER($AS$22),ISNUMBER(IFERROR(VALUE(M60),"x"))),IF(ABS($AS$22-VALUE(M60))&lt;=50,3,0),0)</f>
        <v/>
      </c>
      <c r="Y60" s="20">
        <f>IF(AND($AS$10&lt;&gt;"",$AS$10=J60),3,0)</f>
        <v/>
      </c>
      <c r="Z60" s="20">
        <f>IF(OR(N($AS$13)&gt;=150,N(O60)&gt;=150),3,0)</f>
        <v/>
      </c>
      <c r="AA60" s="20">
        <f>IF(AND($AS$21&lt;&gt;"",$AS$21&lt;&gt;"NA",$AS$21=I60),2,0)</f>
        <v/>
      </c>
      <c r="AB60" s="20">
        <f>IF(OR(AND($AS$14&lt;&gt;"",$AS$14&lt;&gt;"NA",OR($AS$14=AO60,$AS$14=AP60)),AND($AS$15&lt;&gt;"",OR($AS$15=AO60,$AS$15=AP60))),2,0)</f>
        <v/>
      </c>
      <c r="AC60" s="20">
        <f>IF(AND(ISNUMBER($AS$12),ISNUMBER(N60),ABS($AS$12-N60)&lt;=10),2,0)</f>
        <v/>
      </c>
      <c r="AD60" s="20">
        <f>IF(R60="Yes",SUM(S60:AC60),"")</f>
        <v/>
      </c>
      <c r="AE60" s="20">
        <f>IF(R60="Yes","Score "&amp;AD60&amp;": "&amp;TRIM(IF(S60&lt;&gt;0,"−8 acrimonious; ","")&amp;IF(T60=7,"+7 shared language; ","")&amp;IF(T60=-5,"−5 shared lang(adv); ","")&amp;IF(U60=5,"+5 same-sex; ","")&amp;IF(V60=-5,"−5 online no device; ","")&amp;IF(W60=3,"+3 mode; ","")&amp;IF(X60=3,"+3 proximity; ","")&amp;IF(Y60=3,"+3 category; ","")&amp;IF(Z60=3,"+3 long wait; ","")&amp;IF(AA60=2,"+2 religion; ","")&amp;IF(AB60=2,"+2 nationality; ","")&amp;IF(AC60=2,"+2 age; ","")),"Not eligible: "&amp;IF(NOT(AH60),"tutor not pending/with-capacity",IF(NOT(AI60),"no spare capacity",IF(AJ60,"tutor blacklisted",IF($AS$25,"student blacklisted",IF(NOT(AK60),"tutor vetting incomplete",IF(NOT($AS$26),"student vetting incomplete",IF(NOT(AM60),"no overlapping 3h AEST block",IF(NOT(AN60),"A1 student needs a shared language",IF(AL60,"'do not pair' note present",""))))))))))</f>
        <v/>
      </c>
      <c r="AF60">
        <f>TRIM(IFERROR(LEFT('(B) Register of Participants'!$AR$38,FIND(" (",'(B) Register of Participants'!$AR$38)-1),'(B) Register of Participants'!$AR$38))</f>
        <v/>
      </c>
      <c r="AG60">
        <f>IF(ISNUMBER(SEARCH("Mandarin",'(B) Register of Participants'!$AR$38)),"Mandarin",IF(ISNUMBER(SEARCH("Cantonese",'(B) Register of Participants'!$AR$38)),"Cantonese",IF(OR(AF60="Dari",AF60="Farsi",AF60="Persian",AF60="Hazaragi"),"Persian",AF60)))</f>
        <v/>
      </c>
      <c r="AH60">
        <f>OR(E60="ADM-ACT-UNMAT",E60="ADM-ACT-MAT-CNE")</f>
        <v/>
      </c>
      <c r="AI60">
        <f>F60&gt;0</f>
        <v/>
      </c>
      <c r="AJ60">
        <f>LEFT('(B) Register of Participants'!$L$38,3)="Yes"</f>
        <v/>
      </c>
      <c r="AK60">
        <f>AND(OR(LEFT('(B) Register of Participants'!$AY$38,3)="Yes",LEFT('(B) Register of Participants'!$AY$38,2)="NA"),OR(LEFT('(B) Register of Participants'!$AZ$38,3)="Yes",LEFT('(B) Register of Participants'!$AZ$38,2)="NA"))</f>
        <v/>
      </c>
      <c r="AL60">
        <f>OR(ISNUMBER(SEARCH("do not pair",'(B) Register of Participants'!$BL$38)),ISNUMBER(SEARCH("do not pair",'(B) Register of Participants'!$BM$38)))</f>
        <v/>
      </c>
      <c r="AM60">
        <f>P60&gt;0</f>
        <v/>
      </c>
      <c r="AN60">
        <f>IF($AS$8="A1",Q60=1,TRUE)</f>
        <v/>
      </c>
      <c r="AO60">
        <f>TRIM(IFERROR(LEFT('(B) Register of Participants'!$AP$38,FIND(";",'(B) Register of Participants'!$AP$38)-1),'(B) Register of Participants'!$AP$38))</f>
        <v/>
      </c>
      <c r="AP60">
        <f>IF(ISNUMBER(FIND(";",'(B) Register of Participants'!$AP$38)),TRIM(MID('(B) Register of Participants'!$AP$38,FIND(";",'(B) Register of Participants'!$AP$38)+1,80)),"")</f>
        <v/>
      </c>
    </row>
    <row r="61">
      <c r="B61" s="20">
        <f>IF(R61="Yes",RANK(AD61,$AD$25:$AD$124),"")</f>
        <v/>
      </c>
      <c r="C61" s="20">
        <f>'(B) Register of Participants'!$A$39</f>
        <v/>
      </c>
      <c r="D61" s="20">
        <f>'(B) Register of Participants'!$B$39</f>
        <v/>
      </c>
      <c r="E61" s="20">
        <f>'(B) Register of Participants'!$J$39</f>
        <v/>
      </c>
      <c r="F61" s="20">
        <f>IFERROR('(B) Register of Participants'!$O$39-'(B) Register of Participants'!$P$39,0)</f>
        <v/>
      </c>
      <c r="G61" s="20">
        <f>'(B) Register of Participants'!$AL$39</f>
        <v/>
      </c>
      <c r="H61" s="20">
        <f>'(B) Register of Participants'!$AP$39</f>
        <v/>
      </c>
      <c r="I61" s="20">
        <f>TRIM(IFERROR(LEFT('(B) Register of Participants'!$AS$39,FIND(" (",'(B) Register of Participants'!$AS$39)-1),'(B) Register of Participants'!$AS$39))</f>
        <v/>
      </c>
      <c r="J61" s="20">
        <f>'(B) Register of Participants'!$AT$39</f>
        <v/>
      </c>
      <c r="K61" s="20">
        <f>'(B) Register of Participants'!$AE$39</f>
        <v/>
      </c>
      <c r="L61" s="20">
        <f>'(B) Register of Participants'!$AF$39</f>
        <v/>
      </c>
      <c r="M61" s="20">
        <f>'(B) Register of Participants'!$AJ$39</f>
        <v/>
      </c>
      <c r="N61" s="20">
        <f>'(B) Register of Participants'!$CY$39</f>
        <v/>
      </c>
      <c r="O61" s="20">
        <f>'(B) Register of Participants'!$CW$39</f>
        <v/>
      </c>
      <c r="P61" s="20">
        <f>(ISNUMBER(SEARCH("6am-9am",$AS$27))*ISNUMBER(SEARCH("6am-9am",'(B) Register of Participants'!$X$39)))+(ISNUMBER(SEARCH("9am-12pm",$AS$27))*ISNUMBER(SEARCH("9am-12pm",'(B) Register of Participants'!$X$39)))+(ISNUMBER(SEARCH("12pm-3pm",$AS$27))*ISNUMBER(SEARCH("12pm-3pm",'(B) Register of Participants'!$X$39)))+(ISNUMBER(SEARCH("3pm-6pm",$AS$27))*ISNUMBER(SEARCH("3pm-6pm",'(B) Register of Participants'!$X$39)))+(ISNUMBER(SEARCH("6pm-9pm",$AS$27))*ISNUMBER(SEARCH("6pm-9pm",'(B) Register of Participants'!$X$39)))+(ISNUMBER(SEARCH("6am-9am",$AS$28))*ISNUMBER(SEARCH("6am-9am",'(B) Register of Participants'!$Y$39)))+(ISNUMBER(SEARCH("9am-12pm",$AS$28))*ISNUMBER(SEARCH("9am-12pm",'(B) Register of Participants'!$Y$39)))+(ISNUMBER(SEARCH("12pm-3pm",$AS$28))*ISNUMBER(SEARCH("12pm-3pm",'(B) Register of Participants'!$Y$39)))+(ISNUMBER(SEARCH("3pm-6pm",$AS$28))*ISNUMBER(SEARCH("3pm-6pm",'(B) Register of Participants'!$Y$39)))+(ISNUMBER(SEARCH("6pm-9pm",$AS$28))*ISNUMBER(SEARCH("6pm-9pm",'(B) Register of Participants'!$Y$39)))+(ISNUMBER(SEARCH("6am-9am",$AS$29))*ISNUMBER(SEARCH("6am-9am",'(B) Register of Participants'!$Z$39)))+(ISNUMBER(SEARCH("9am-12pm",$AS$29))*ISNUMBER(SEARCH("9am-12pm",'(B) Register of Participants'!$Z$39)))+(ISNUMBER(SEARCH("12pm-3pm",$AS$29))*ISNUMBER(SEARCH("12pm-3pm",'(B) Register of Participants'!$Z$39)))+(ISNUMBER(SEARCH("3pm-6pm",$AS$29))*ISNUMBER(SEARCH("3pm-6pm",'(B) Register of Participants'!$Z$39)))+(ISNUMBER(SEARCH("6pm-9pm",$AS$29))*ISNUMBER(SEARCH("6pm-9pm",'(B) Register of Participants'!$Z$39)))+(ISNUMBER(SEARCH("6am-9am",$AS$30))*ISNUMBER(SEARCH("6am-9am",'(B) Register of Participants'!$AA$39)))+(ISNUMBER(SEARCH("9am-12pm",$AS$30))*ISNUMBER(SEARCH("9am-12pm",'(B) Register of Participants'!$AA$39)))+(ISNUMBER(SEARCH("12pm-3pm",$AS$30))*ISNUMBER(SEARCH("12pm-3pm",'(B) Register of Participants'!$AA$39)))+(ISNUMBER(SEARCH("3pm-6pm",$AS$30))*ISNUMBER(SEARCH("3pm-6pm",'(B) Register of Participants'!$AA$39)))+(ISNUMBER(SEARCH("6pm-9pm",$AS$30))*ISNUMBER(SEARCH("6pm-9pm",'(B) Register of Participants'!$AA$39)))+(ISNUMBER(SEARCH("6am-9am",$AS$31))*ISNUMBER(SEARCH("6am-9am",'(B) Register of Participants'!$AB$39)))+(ISNUMBER(SEARCH("9am-12pm",$AS$31))*ISNUMBER(SEARCH("9am-12pm",'(B) Register of Participants'!$AB$39)))+(ISNUMBER(SEARCH("12pm-3pm",$AS$31))*ISNUMBER(SEARCH("12pm-3pm",'(B) Register of Participants'!$AB$39)))+(ISNUMBER(SEARCH("3pm-6pm",$AS$31))*ISNUMBER(SEARCH("3pm-6pm",'(B) Register of Participants'!$AB$39)))+(ISNUMBER(SEARCH("6pm-9pm",$AS$31))*ISNUMBER(SEARCH("6pm-9pm",'(B) Register of Participants'!$AB$39)))+(ISNUMBER(SEARCH("6am-9am",$AS$32))*ISNUMBER(SEARCH("6am-9am",'(B) Register of Participants'!$AC$39)))+(ISNUMBER(SEARCH("9am-12pm",$AS$32))*ISNUMBER(SEARCH("9am-12pm",'(B) Register of Participants'!$AC$39)))+(ISNUMBER(SEARCH("12pm-3pm",$AS$32))*ISNUMBER(SEARCH("12pm-3pm",'(B) Register of Participants'!$AC$39)))+(ISNUMBER(SEARCH("3pm-6pm",$AS$32))*ISNUMBER(SEARCH("3pm-6pm",'(B) Register of Participants'!$AC$39)))+(ISNUMBER(SEARCH("6pm-9pm",$AS$32))*ISNUMBER(SEARCH("6pm-9pm",'(B) Register of Participants'!$AC$39)))+(ISNUMBER(SEARCH("6am-9am",$AS$33))*ISNUMBER(SEARCH("6am-9am",'(B) Register of Participants'!$AD$39)))+(ISNUMBER(SEARCH("9am-12pm",$AS$33))*ISNUMBER(SEARCH("9am-12pm",'(B) Register of Participants'!$AD$39)))+(ISNUMBER(SEARCH("12pm-3pm",$AS$33))*ISNUMBER(SEARCH("12pm-3pm",'(B) Register of Participants'!$AD$39)))+(ISNUMBER(SEARCH("3pm-6pm",$AS$33))*ISNUMBER(SEARCH("3pm-6pm",'(B) Register of Participants'!$AD$39)))+(ISNUMBER(SEARCH("6pm-9pm",$AS$33))*ISNUMBER(SEARCH("6pm-9pm",'(B) Register of Participants'!$AD$39)))</f>
        <v/>
      </c>
      <c r="Q61" s="20">
        <f>IF(OR(AND($AS$17&lt;&gt;"",$AS$17&lt;&gt;"English",IF($AS$17="Persian",OR(ISNUMBER(SEARCH("Dari",'(B) Register of Participants'!$AR$39)),ISNUMBER(SEARCH("Farsi",'(B) Register of Participants'!$AR$39)),ISNUMBER(SEARCH("Persian",'(B) Register of Participants'!$AR$39)),ISNUMBER(SEARCH("Hazaragi",'(B) Register of Participants'!$AR$39))),ISNUMBER(SEARCH($AS$17,'(B) Register of Participants'!$AR$39)))),AND($AS$20&lt;&gt;"",$AS$20&lt;&gt;"English",IF($AS$20="Persian",OR(ISNUMBER(SEARCH("Dari",'(B) Register of Participants'!$AR$39)),ISNUMBER(SEARCH("Farsi",'(B) Register of Participants'!$AR$39)),ISNUMBER(SEARCH("Persian",'(B) Register of Participants'!$AR$39)),ISNUMBER(SEARCH("Hazaragi",'(B) Register of Participants'!$AR$39))),ISNUMBER(SEARCH($AS$20,'(B) Register of Participants'!$AR$39))))),1,0)</f>
        <v/>
      </c>
      <c r="R61" s="20">
        <f>IF(AND(AH61,AI61,NOT(AJ61),NOT($AS$25),AK61,$AS$26,AM61,AN61,NOT(AL61)),"Yes","No")</f>
        <v/>
      </c>
      <c r="S61" s="20">
        <f>IF(OR(COUNTIF('Engine Lists'!$A:$A,$AS$14&amp;"|"&amp;AO61)&gt;0,COUNTIF('Engine Lists'!$A:$A,$AS$14&amp;"|"&amp;AP61)&gt;0,COUNTIF('Engine Lists'!$A:$A,$AS$15&amp;"|"&amp;AO61)&gt;0,COUNTIF('Engine Lists'!$A:$A,$AS$15&amp;"|"&amp;AP61)&gt;0,COUNTIF('Engine Lists'!$A:$A,$AS$21&amp;"|"&amp;I61)&gt;0),-8,0)</f>
        <v/>
      </c>
      <c r="T61" s="20">
        <f>IF(Q61=1,IF(OR($AS$8="A2",$AS$8="B1"),7,IF(OR($AS$8="B2",$AS$8="C1",$AS$8="C2"),-5,0)),0)</f>
        <v/>
      </c>
      <c r="U61" s="20">
        <f>IF(AND($AS$6=G61,OR($AS$6="Male",$AS$6="Female")),5,0)</f>
        <v/>
      </c>
      <c r="V61" s="20">
        <f>IF(AND($AS$24,$AS$11&lt;&gt;"In-Person",K61&lt;&gt;"In-Person"),-5,0)</f>
        <v/>
      </c>
      <c r="W61" s="20">
        <f>IF(OR($AS$11=K61,$AS$11="Either",K61="Either"),3,0)</f>
        <v/>
      </c>
      <c r="X61" s="20">
        <f>IF(AND($AS$11&lt;&gt;"Online",K61&lt;&gt;"Online",ISNUMBER($AS$22),ISNUMBER(IFERROR(VALUE(M61),"x"))),IF(ABS($AS$22-VALUE(M61))&lt;=50,3,0),0)</f>
        <v/>
      </c>
      <c r="Y61" s="20">
        <f>IF(AND($AS$10&lt;&gt;"",$AS$10=J61),3,0)</f>
        <v/>
      </c>
      <c r="Z61" s="20">
        <f>IF(OR(N($AS$13)&gt;=150,N(O61)&gt;=150),3,0)</f>
        <v/>
      </c>
      <c r="AA61" s="20">
        <f>IF(AND($AS$21&lt;&gt;"",$AS$21&lt;&gt;"NA",$AS$21=I61),2,0)</f>
        <v/>
      </c>
      <c r="AB61" s="20">
        <f>IF(OR(AND($AS$14&lt;&gt;"",$AS$14&lt;&gt;"NA",OR($AS$14=AO61,$AS$14=AP61)),AND($AS$15&lt;&gt;"",OR($AS$15=AO61,$AS$15=AP61))),2,0)</f>
        <v/>
      </c>
      <c r="AC61" s="20">
        <f>IF(AND(ISNUMBER($AS$12),ISNUMBER(N61),ABS($AS$12-N61)&lt;=10),2,0)</f>
        <v/>
      </c>
      <c r="AD61" s="20">
        <f>IF(R61="Yes",SUM(S61:AC61),"")</f>
        <v/>
      </c>
      <c r="AE61" s="20">
        <f>IF(R61="Yes","Score "&amp;AD61&amp;": "&amp;TRIM(IF(S61&lt;&gt;0,"−8 acrimonious; ","")&amp;IF(T61=7,"+7 shared language; ","")&amp;IF(T61=-5,"−5 shared lang(adv); ","")&amp;IF(U61=5,"+5 same-sex; ","")&amp;IF(V61=-5,"−5 online no device; ","")&amp;IF(W61=3,"+3 mode; ","")&amp;IF(X61=3,"+3 proximity; ","")&amp;IF(Y61=3,"+3 category; ","")&amp;IF(Z61=3,"+3 long wait; ","")&amp;IF(AA61=2,"+2 religion; ","")&amp;IF(AB61=2,"+2 nationality; ","")&amp;IF(AC61=2,"+2 age; ","")),"Not eligible: "&amp;IF(NOT(AH61),"tutor not pending/with-capacity",IF(NOT(AI61),"no spare capacity",IF(AJ61,"tutor blacklisted",IF($AS$25,"student blacklisted",IF(NOT(AK61),"tutor vetting incomplete",IF(NOT($AS$26),"student vetting incomplete",IF(NOT(AM61),"no overlapping 3h AEST block",IF(NOT(AN61),"A1 student needs a shared language",IF(AL61,"'do not pair' note present",""))))))))))</f>
        <v/>
      </c>
      <c r="AF61">
        <f>TRIM(IFERROR(LEFT('(B) Register of Participants'!$AR$39,FIND(" (",'(B) Register of Participants'!$AR$39)-1),'(B) Register of Participants'!$AR$39))</f>
        <v/>
      </c>
      <c r="AG61">
        <f>IF(ISNUMBER(SEARCH("Mandarin",'(B) Register of Participants'!$AR$39)),"Mandarin",IF(ISNUMBER(SEARCH("Cantonese",'(B) Register of Participants'!$AR$39)),"Cantonese",IF(OR(AF61="Dari",AF61="Farsi",AF61="Persian",AF61="Hazaragi"),"Persian",AF61)))</f>
        <v/>
      </c>
      <c r="AH61">
        <f>OR(E61="ADM-ACT-UNMAT",E61="ADM-ACT-MAT-CNE")</f>
        <v/>
      </c>
      <c r="AI61">
        <f>F61&gt;0</f>
        <v/>
      </c>
      <c r="AJ61">
        <f>LEFT('(B) Register of Participants'!$L$39,3)="Yes"</f>
        <v/>
      </c>
      <c r="AK61">
        <f>AND(OR(LEFT('(B) Register of Participants'!$AY$39,3)="Yes",LEFT('(B) Register of Participants'!$AY$39,2)="NA"),OR(LEFT('(B) Register of Participants'!$AZ$39,3)="Yes",LEFT('(B) Register of Participants'!$AZ$39,2)="NA"))</f>
        <v/>
      </c>
      <c r="AL61">
        <f>OR(ISNUMBER(SEARCH("do not pair",'(B) Register of Participants'!$BL$39)),ISNUMBER(SEARCH("do not pair",'(B) Register of Participants'!$BM$39)))</f>
        <v/>
      </c>
      <c r="AM61">
        <f>P61&gt;0</f>
        <v/>
      </c>
      <c r="AN61">
        <f>IF($AS$8="A1",Q61=1,TRUE)</f>
        <v/>
      </c>
      <c r="AO61">
        <f>TRIM(IFERROR(LEFT('(B) Register of Participants'!$AP$39,FIND(";",'(B) Register of Participants'!$AP$39)-1),'(B) Register of Participants'!$AP$39))</f>
        <v/>
      </c>
      <c r="AP61">
        <f>IF(ISNUMBER(FIND(";",'(B) Register of Participants'!$AP$39)),TRIM(MID('(B) Register of Participants'!$AP$39,FIND(";",'(B) Register of Participants'!$AP$39)+1,80)),"")</f>
        <v/>
      </c>
    </row>
    <row r="62">
      <c r="B62" s="20">
        <f>IF(R62="Yes",RANK(AD62,$AD$25:$AD$124),"")</f>
        <v/>
      </c>
      <c r="C62" s="20">
        <f>'(B) Register of Participants'!$A$40</f>
        <v/>
      </c>
      <c r="D62" s="20">
        <f>'(B) Register of Participants'!$B$40</f>
        <v/>
      </c>
      <c r="E62" s="20">
        <f>'(B) Register of Participants'!$J$40</f>
        <v/>
      </c>
      <c r="F62" s="20">
        <f>IFERROR('(B) Register of Participants'!$O$40-'(B) Register of Participants'!$P$40,0)</f>
        <v/>
      </c>
      <c r="G62" s="20">
        <f>'(B) Register of Participants'!$AL$40</f>
        <v/>
      </c>
      <c r="H62" s="20">
        <f>'(B) Register of Participants'!$AP$40</f>
        <v/>
      </c>
      <c r="I62" s="20">
        <f>TRIM(IFERROR(LEFT('(B) Register of Participants'!$AS$40,FIND(" (",'(B) Register of Participants'!$AS$40)-1),'(B) Register of Participants'!$AS$40))</f>
        <v/>
      </c>
      <c r="J62" s="20">
        <f>'(B) Register of Participants'!$AT$40</f>
        <v/>
      </c>
      <c r="K62" s="20">
        <f>'(B) Register of Participants'!$AE$40</f>
        <v/>
      </c>
      <c r="L62" s="20">
        <f>'(B) Register of Participants'!$AF$40</f>
        <v/>
      </c>
      <c r="M62" s="20">
        <f>'(B) Register of Participants'!$AJ$40</f>
        <v/>
      </c>
      <c r="N62" s="20">
        <f>'(B) Register of Participants'!$CY$40</f>
        <v/>
      </c>
      <c r="O62" s="20">
        <f>'(B) Register of Participants'!$CW$40</f>
        <v/>
      </c>
      <c r="P62" s="20">
        <f>(ISNUMBER(SEARCH("6am-9am",$AS$27))*ISNUMBER(SEARCH("6am-9am",'(B) Register of Participants'!$X$40)))+(ISNUMBER(SEARCH("9am-12pm",$AS$27))*ISNUMBER(SEARCH("9am-12pm",'(B) Register of Participants'!$X$40)))+(ISNUMBER(SEARCH("12pm-3pm",$AS$27))*ISNUMBER(SEARCH("12pm-3pm",'(B) Register of Participants'!$X$40)))+(ISNUMBER(SEARCH("3pm-6pm",$AS$27))*ISNUMBER(SEARCH("3pm-6pm",'(B) Register of Participants'!$X$40)))+(ISNUMBER(SEARCH("6pm-9pm",$AS$27))*ISNUMBER(SEARCH("6pm-9pm",'(B) Register of Participants'!$X$40)))+(ISNUMBER(SEARCH("6am-9am",$AS$28))*ISNUMBER(SEARCH("6am-9am",'(B) Register of Participants'!$Y$40)))+(ISNUMBER(SEARCH("9am-12pm",$AS$28))*ISNUMBER(SEARCH("9am-12pm",'(B) Register of Participants'!$Y$40)))+(ISNUMBER(SEARCH("12pm-3pm",$AS$28))*ISNUMBER(SEARCH("12pm-3pm",'(B) Register of Participants'!$Y$40)))+(ISNUMBER(SEARCH("3pm-6pm",$AS$28))*ISNUMBER(SEARCH("3pm-6pm",'(B) Register of Participants'!$Y$40)))+(ISNUMBER(SEARCH("6pm-9pm",$AS$28))*ISNUMBER(SEARCH("6pm-9pm",'(B) Register of Participants'!$Y$40)))+(ISNUMBER(SEARCH("6am-9am",$AS$29))*ISNUMBER(SEARCH("6am-9am",'(B) Register of Participants'!$Z$40)))+(ISNUMBER(SEARCH("9am-12pm",$AS$29))*ISNUMBER(SEARCH("9am-12pm",'(B) Register of Participants'!$Z$40)))+(ISNUMBER(SEARCH("12pm-3pm",$AS$29))*ISNUMBER(SEARCH("12pm-3pm",'(B) Register of Participants'!$Z$40)))+(ISNUMBER(SEARCH("3pm-6pm",$AS$29))*ISNUMBER(SEARCH("3pm-6pm",'(B) Register of Participants'!$Z$40)))+(ISNUMBER(SEARCH("6pm-9pm",$AS$29))*ISNUMBER(SEARCH("6pm-9pm",'(B) Register of Participants'!$Z$40)))+(ISNUMBER(SEARCH("6am-9am",$AS$30))*ISNUMBER(SEARCH("6am-9am",'(B) Register of Participants'!$AA$40)))+(ISNUMBER(SEARCH("9am-12pm",$AS$30))*ISNUMBER(SEARCH("9am-12pm",'(B) Register of Participants'!$AA$40)))+(ISNUMBER(SEARCH("12pm-3pm",$AS$30))*ISNUMBER(SEARCH("12pm-3pm",'(B) Register of Participants'!$AA$40)))+(ISNUMBER(SEARCH("3pm-6pm",$AS$30))*ISNUMBER(SEARCH("3pm-6pm",'(B) Register of Participants'!$AA$40)))+(ISNUMBER(SEARCH("6pm-9pm",$AS$30))*ISNUMBER(SEARCH("6pm-9pm",'(B) Register of Participants'!$AA$40)))+(ISNUMBER(SEARCH("6am-9am",$AS$31))*ISNUMBER(SEARCH("6am-9am",'(B) Register of Participants'!$AB$40)))+(ISNUMBER(SEARCH("9am-12pm",$AS$31))*ISNUMBER(SEARCH("9am-12pm",'(B) Register of Participants'!$AB$40)))+(ISNUMBER(SEARCH("12pm-3pm",$AS$31))*ISNUMBER(SEARCH("12pm-3pm",'(B) Register of Participants'!$AB$40)))+(ISNUMBER(SEARCH("3pm-6pm",$AS$31))*ISNUMBER(SEARCH("3pm-6pm",'(B) Register of Participants'!$AB$40)))+(ISNUMBER(SEARCH("6pm-9pm",$AS$31))*ISNUMBER(SEARCH("6pm-9pm",'(B) Register of Participants'!$AB$40)))+(ISNUMBER(SEARCH("6am-9am",$AS$32))*ISNUMBER(SEARCH("6am-9am",'(B) Register of Participants'!$AC$40)))+(ISNUMBER(SEARCH("9am-12pm",$AS$32))*ISNUMBER(SEARCH("9am-12pm",'(B) Register of Participants'!$AC$40)))+(ISNUMBER(SEARCH("12pm-3pm",$AS$32))*ISNUMBER(SEARCH("12pm-3pm",'(B) Register of Participants'!$AC$40)))+(ISNUMBER(SEARCH("3pm-6pm",$AS$32))*ISNUMBER(SEARCH("3pm-6pm",'(B) Register of Participants'!$AC$40)))+(ISNUMBER(SEARCH("6pm-9pm",$AS$32))*ISNUMBER(SEARCH("6pm-9pm",'(B) Register of Participants'!$AC$40)))+(ISNUMBER(SEARCH("6am-9am",$AS$33))*ISNUMBER(SEARCH("6am-9am",'(B) Register of Participants'!$AD$40)))+(ISNUMBER(SEARCH("9am-12pm",$AS$33))*ISNUMBER(SEARCH("9am-12pm",'(B) Register of Participants'!$AD$40)))+(ISNUMBER(SEARCH("12pm-3pm",$AS$33))*ISNUMBER(SEARCH("12pm-3pm",'(B) Register of Participants'!$AD$40)))+(ISNUMBER(SEARCH("3pm-6pm",$AS$33))*ISNUMBER(SEARCH("3pm-6pm",'(B) Register of Participants'!$AD$40)))+(ISNUMBER(SEARCH("6pm-9pm",$AS$33))*ISNUMBER(SEARCH("6pm-9pm",'(B) Register of Participants'!$AD$40)))</f>
        <v/>
      </c>
      <c r="Q62" s="20">
        <f>IF(OR(AND($AS$17&lt;&gt;"",$AS$17&lt;&gt;"English",IF($AS$17="Persian",OR(ISNUMBER(SEARCH("Dari",'(B) Register of Participants'!$AR$40)),ISNUMBER(SEARCH("Farsi",'(B) Register of Participants'!$AR$40)),ISNUMBER(SEARCH("Persian",'(B) Register of Participants'!$AR$40)),ISNUMBER(SEARCH("Hazaragi",'(B) Register of Participants'!$AR$40))),ISNUMBER(SEARCH($AS$17,'(B) Register of Participants'!$AR$40)))),AND($AS$20&lt;&gt;"",$AS$20&lt;&gt;"English",IF($AS$20="Persian",OR(ISNUMBER(SEARCH("Dari",'(B) Register of Participants'!$AR$40)),ISNUMBER(SEARCH("Farsi",'(B) Register of Participants'!$AR$40)),ISNUMBER(SEARCH("Persian",'(B) Register of Participants'!$AR$40)),ISNUMBER(SEARCH("Hazaragi",'(B) Register of Participants'!$AR$40))),ISNUMBER(SEARCH($AS$20,'(B) Register of Participants'!$AR$40))))),1,0)</f>
        <v/>
      </c>
      <c r="R62" s="20">
        <f>IF(AND(AH62,AI62,NOT(AJ62),NOT($AS$25),AK62,$AS$26,AM62,AN62,NOT(AL62)),"Yes","No")</f>
        <v/>
      </c>
      <c r="S62" s="20">
        <f>IF(OR(COUNTIF('Engine Lists'!$A:$A,$AS$14&amp;"|"&amp;AO62)&gt;0,COUNTIF('Engine Lists'!$A:$A,$AS$14&amp;"|"&amp;AP62)&gt;0,COUNTIF('Engine Lists'!$A:$A,$AS$15&amp;"|"&amp;AO62)&gt;0,COUNTIF('Engine Lists'!$A:$A,$AS$15&amp;"|"&amp;AP62)&gt;0,COUNTIF('Engine Lists'!$A:$A,$AS$21&amp;"|"&amp;I62)&gt;0),-8,0)</f>
        <v/>
      </c>
      <c r="T62" s="20">
        <f>IF(Q62=1,IF(OR($AS$8="A2",$AS$8="B1"),7,IF(OR($AS$8="B2",$AS$8="C1",$AS$8="C2"),-5,0)),0)</f>
        <v/>
      </c>
      <c r="U62" s="20">
        <f>IF(AND($AS$6=G62,OR($AS$6="Male",$AS$6="Female")),5,0)</f>
        <v/>
      </c>
      <c r="V62" s="20">
        <f>IF(AND($AS$24,$AS$11&lt;&gt;"In-Person",K62&lt;&gt;"In-Person"),-5,0)</f>
        <v/>
      </c>
      <c r="W62" s="20">
        <f>IF(OR($AS$11=K62,$AS$11="Either",K62="Either"),3,0)</f>
        <v/>
      </c>
      <c r="X62" s="20">
        <f>IF(AND($AS$11&lt;&gt;"Online",K62&lt;&gt;"Online",ISNUMBER($AS$22),ISNUMBER(IFERROR(VALUE(M62),"x"))),IF(ABS($AS$22-VALUE(M62))&lt;=50,3,0),0)</f>
        <v/>
      </c>
      <c r="Y62" s="20">
        <f>IF(AND($AS$10&lt;&gt;"",$AS$10=J62),3,0)</f>
        <v/>
      </c>
      <c r="Z62" s="20">
        <f>IF(OR(N($AS$13)&gt;=150,N(O62)&gt;=150),3,0)</f>
        <v/>
      </c>
      <c r="AA62" s="20">
        <f>IF(AND($AS$21&lt;&gt;"",$AS$21&lt;&gt;"NA",$AS$21=I62),2,0)</f>
        <v/>
      </c>
      <c r="AB62" s="20">
        <f>IF(OR(AND($AS$14&lt;&gt;"",$AS$14&lt;&gt;"NA",OR($AS$14=AO62,$AS$14=AP62)),AND($AS$15&lt;&gt;"",OR($AS$15=AO62,$AS$15=AP62))),2,0)</f>
        <v/>
      </c>
      <c r="AC62" s="20">
        <f>IF(AND(ISNUMBER($AS$12),ISNUMBER(N62),ABS($AS$12-N62)&lt;=10),2,0)</f>
        <v/>
      </c>
      <c r="AD62" s="20">
        <f>IF(R62="Yes",SUM(S62:AC62),"")</f>
        <v/>
      </c>
      <c r="AE62" s="20">
        <f>IF(R62="Yes","Score "&amp;AD62&amp;": "&amp;TRIM(IF(S62&lt;&gt;0,"−8 acrimonious; ","")&amp;IF(T62=7,"+7 shared language; ","")&amp;IF(T62=-5,"−5 shared lang(adv); ","")&amp;IF(U62=5,"+5 same-sex; ","")&amp;IF(V62=-5,"−5 online no device; ","")&amp;IF(W62=3,"+3 mode; ","")&amp;IF(X62=3,"+3 proximity; ","")&amp;IF(Y62=3,"+3 category; ","")&amp;IF(Z62=3,"+3 long wait; ","")&amp;IF(AA62=2,"+2 religion; ","")&amp;IF(AB62=2,"+2 nationality; ","")&amp;IF(AC62=2,"+2 age; ","")),"Not eligible: "&amp;IF(NOT(AH62),"tutor not pending/with-capacity",IF(NOT(AI62),"no spare capacity",IF(AJ62,"tutor blacklisted",IF($AS$25,"student blacklisted",IF(NOT(AK62),"tutor vetting incomplete",IF(NOT($AS$26),"student vetting incomplete",IF(NOT(AM62),"no overlapping 3h AEST block",IF(NOT(AN62),"A1 student needs a shared language",IF(AL62,"'do not pair' note present",""))))))))))</f>
        <v/>
      </c>
      <c r="AF62">
        <f>TRIM(IFERROR(LEFT('(B) Register of Participants'!$AR$40,FIND(" (",'(B) Register of Participants'!$AR$40)-1),'(B) Register of Participants'!$AR$40))</f>
        <v/>
      </c>
      <c r="AG62">
        <f>IF(ISNUMBER(SEARCH("Mandarin",'(B) Register of Participants'!$AR$40)),"Mandarin",IF(ISNUMBER(SEARCH("Cantonese",'(B) Register of Participants'!$AR$40)),"Cantonese",IF(OR(AF62="Dari",AF62="Farsi",AF62="Persian",AF62="Hazaragi"),"Persian",AF62)))</f>
        <v/>
      </c>
      <c r="AH62">
        <f>OR(E62="ADM-ACT-UNMAT",E62="ADM-ACT-MAT-CNE")</f>
        <v/>
      </c>
      <c r="AI62">
        <f>F62&gt;0</f>
        <v/>
      </c>
      <c r="AJ62">
        <f>LEFT('(B) Register of Participants'!$L$40,3)="Yes"</f>
        <v/>
      </c>
      <c r="AK62">
        <f>AND(OR(LEFT('(B) Register of Participants'!$AY$40,3)="Yes",LEFT('(B) Register of Participants'!$AY$40,2)="NA"),OR(LEFT('(B) Register of Participants'!$AZ$40,3)="Yes",LEFT('(B) Register of Participants'!$AZ$40,2)="NA"))</f>
        <v/>
      </c>
      <c r="AL62">
        <f>OR(ISNUMBER(SEARCH("do not pair",'(B) Register of Participants'!$BL$40)),ISNUMBER(SEARCH("do not pair",'(B) Register of Participants'!$BM$40)))</f>
        <v/>
      </c>
      <c r="AM62">
        <f>P62&gt;0</f>
        <v/>
      </c>
      <c r="AN62">
        <f>IF($AS$8="A1",Q62=1,TRUE)</f>
        <v/>
      </c>
      <c r="AO62">
        <f>TRIM(IFERROR(LEFT('(B) Register of Participants'!$AP$40,FIND(";",'(B) Register of Participants'!$AP$40)-1),'(B) Register of Participants'!$AP$40))</f>
        <v/>
      </c>
      <c r="AP62">
        <f>IF(ISNUMBER(FIND(";",'(B) Register of Participants'!$AP$40)),TRIM(MID('(B) Register of Participants'!$AP$40,FIND(";",'(B) Register of Participants'!$AP$40)+1,80)),"")</f>
        <v/>
      </c>
    </row>
    <row r="63">
      <c r="B63" s="20">
        <f>IF(R63="Yes",RANK(AD63,$AD$25:$AD$124),"")</f>
        <v/>
      </c>
      <c r="C63" s="20">
        <f>'(B) Register of Participants'!$A$41</f>
        <v/>
      </c>
      <c r="D63" s="20">
        <f>'(B) Register of Participants'!$B$41</f>
        <v/>
      </c>
      <c r="E63" s="20">
        <f>'(B) Register of Participants'!$J$41</f>
        <v/>
      </c>
      <c r="F63" s="20">
        <f>IFERROR('(B) Register of Participants'!$O$41-'(B) Register of Participants'!$P$41,0)</f>
        <v/>
      </c>
      <c r="G63" s="20">
        <f>'(B) Register of Participants'!$AL$41</f>
        <v/>
      </c>
      <c r="H63" s="20">
        <f>'(B) Register of Participants'!$AP$41</f>
        <v/>
      </c>
      <c r="I63" s="20">
        <f>TRIM(IFERROR(LEFT('(B) Register of Participants'!$AS$41,FIND(" (",'(B) Register of Participants'!$AS$41)-1),'(B) Register of Participants'!$AS$41))</f>
        <v/>
      </c>
      <c r="J63" s="20">
        <f>'(B) Register of Participants'!$AT$41</f>
        <v/>
      </c>
      <c r="K63" s="20">
        <f>'(B) Register of Participants'!$AE$41</f>
        <v/>
      </c>
      <c r="L63" s="20">
        <f>'(B) Register of Participants'!$AF$41</f>
        <v/>
      </c>
      <c r="M63" s="20">
        <f>'(B) Register of Participants'!$AJ$41</f>
        <v/>
      </c>
      <c r="N63" s="20">
        <f>'(B) Register of Participants'!$CY$41</f>
        <v/>
      </c>
      <c r="O63" s="20">
        <f>'(B) Register of Participants'!$CW$41</f>
        <v/>
      </c>
      <c r="P63" s="20">
        <f>(ISNUMBER(SEARCH("6am-9am",$AS$27))*ISNUMBER(SEARCH("6am-9am",'(B) Register of Participants'!$X$41)))+(ISNUMBER(SEARCH("9am-12pm",$AS$27))*ISNUMBER(SEARCH("9am-12pm",'(B) Register of Participants'!$X$41)))+(ISNUMBER(SEARCH("12pm-3pm",$AS$27))*ISNUMBER(SEARCH("12pm-3pm",'(B) Register of Participants'!$X$41)))+(ISNUMBER(SEARCH("3pm-6pm",$AS$27))*ISNUMBER(SEARCH("3pm-6pm",'(B) Register of Participants'!$X$41)))+(ISNUMBER(SEARCH("6pm-9pm",$AS$27))*ISNUMBER(SEARCH("6pm-9pm",'(B) Register of Participants'!$X$41)))+(ISNUMBER(SEARCH("6am-9am",$AS$28))*ISNUMBER(SEARCH("6am-9am",'(B) Register of Participants'!$Y$41)))+(ISNUMBER(SEARCH("9am-12pm",$AS$28))*ISNUMBER(SEARCH("9am-12pm",'(B) Register of Participants'!$Y$41)))+(ISNUMBER(SEARCH("12pm-3pm",$AS$28))*ISNUMBER(SEARCH("12pm-3pm",'(B) Register of Participants'!$Y$41)))+(ISNUMBER(SEARCH("3pm-6pm",$AS$28))*ISNUMBER(SEARCH("3pm-6pm",'(B) Register of Participants'!$Y$41)))+(ISNUMBER(SEARCH("6pm-9pm",$AS$28))*ISNUMBER(SEARCH("6pm-9pm",'(B) Register of Participants'!$Y$41)))+(ISNUMBER(SEARCH("6am-9am",$AS$29))*ISNUMBER(SEARCH("6am-9am",'(B) Register of Participants'!$Z$41)))+(ISNUMBER(SEARCH("9am-12pm",$AS$29))*ISNUMBER(SEARCH("9am-12pm",'(B) Register of Participants'!$Z$41)))+(ISNUMBER(SEARCH("12pm-3pm",$AS$29))*ISNUMBER(SEARCH("12pm-3pm",'(B) Register of Participants'!$Z$41)))+(ISNUMBER(SEARCH("3pm-6pm",$AS$29))*ISNUMBER(SEARCH("3pm-6pm",'(B) Register of Participants'!$Z$41)))+(ISNUMBER(SEARCH("6pm-9pm",$AS$29))*ISNUMBER(SEARCH("6pm-9pm",'(B) Register of Participants'!$Z$41)))+(ISNUMBER(SEARCH("6am-9am",$AS$30))*ISNUMBER(SEARCH("6am-9am",'(B) Register of Participants'!$AA$41)))+(ISNUMBER(SEARCH("9am-12pm",$AS$30))*ISNUMBER(SEARCH("9am-12pm",'(B) Register of Participants'!$AA$41)))+(ISNUMBER(SEARCH("12pm-3pm",$AS$30))*ISNUMBER(SEARCH("12pm-3pm",'(B) Register of Participants'!$AA$41)))+(ISNUMBER(SEARCH("3pm-6pm",$AS$30))*ISNUMBER(SEARCH("3pm-6pm",'(B) Register of Participants'!$AA$41)))+(ISNUMBER(SEARCH("6pm-9pm",$AS$30))*ISNUMBER(SEARCH("6pm-9pm",'(B) Register of Participants'!$AA$41)))+(ISNUMBER(SEARCH("6am-9am",$AS$31))*ISNUMBER(SEARCH("6am-9am",'(B) Register of Participants'!$AB$41)))+(ISNUMBER(SEARCH("9am-12pm",$AS$31))*ISNUMBER(SEARCH("9am-12pm",'(B) Register of Participants'!$AB$41)))+(ISNUMBER(SEARCH("12pm-3pm",$AS$31))*ISNUMBER(SEARCH("12pm-3pm",'(B) Register of Participants'!$AB$41)))+(ISNUMBER(SEARCH("3pm-6pm",$AS$31))*ISNUMBER(SEARCH("3pm-6pm",'(B) Register of Participants'!$AB$41)))+(ISNUMBER(SEARCH("6pm-9pm",$AS$31))*ISNUMBER(SEARCH("6pm-9pm",'(B) Register of Participants'!$AB$41)))+(ISNUMBER(SEARCH("6am-9am",$AS$32))*ISNUMBER(SEARCH("6am-9am",'(B) Register of Participants'!$AC$41)))+(ISNUMBER(SEARCH("9am-12pm",$AS$32))*ISNUMBER(SEARCH("9am-12pm",'(B) Register of Participants'!$AC$41)))+(ISNUMBER(SEARCH("12pm-3pm",$AS$32))*ISNUMBER(SEARCH("12pm-3pm",'(B) Register of Participants'!$AC$41)))+(ISNUMBER(SEARCH("3pm-6pm",$AS$32))*ISNUMBER(SEARCH("3pm-6pm",'(B) Register of Participants'!$AC$41)))+(ISNUMBER(SEARCH("6pm-9pm",$AS$32))*ISNUMBER(SEARCH("6pm-9pm",'(B) Register of Participants'!$AC$41)))+(ISNUMBER(SEARCH("6am-9am",$AS$33))*ISNUMBER(SEARCH("6am-9am",'(B) Register of Participants'!$AD$41)))+(ISNUMBER(SEARCH("9am-12pm",$AS$33))*ISNUMBER(SEARCH("9am-12pm",'(B) Register of Participants'!$AD$41)))+(ISNUMBER(SEARCH("12pm-3pm",$AS$33))*ISNUMBER(SEARCH("12pm-3pm",'(B) Register of Participants'!$AD$41)))+(ISNUMBER(SEARCH("3pm-6pm",$AS$33))*ISNUMBER(SEARCH("3pm-6pm",'(B) Register of Participants'!$AD$41)))+(ISNUMBER(SEARCH("6pm-9pm",$AS$33))*ISNUMBER(SEARCH("6pm-9pm",'(B) Register of Participants'!$AD$41)))</f>
        <v/>
      </c>
      <c r="Q63" s="20">
        <f>IF(OR(AND($AS$17&lt;&gt;"",$AS$17&lt;&gt;"English",IF($AS$17="Persian",OR(ISNUMBER(SEARCH("Dari",'(B) Register of Participants'!$AR$41)),ISNUMBER(SEARCH("Farsi",'(B) Register of Participants'!$AR$41)),ISNUMBER(SEARCH("Persian",'(B) Register of Participants'!$AR$41)),ISNUMBER(SEARCH("Hazaragi",'(B) Register of Participants'!$AR$41))),ISNUMBER(SEARCH($AS$17,'(B) Register of Participants'!$AR$41)))),AND($AS$20&lt;&gt;"",$AS$20&lt;&gt;"English",IF($AS$20="Persian",OR(ISNUMBER(SEARCH("Dari",'(B) Register of Participants'!$AR$41)),ISNUMBER(SEARCH("Farsi",'(B) Register of Participants'!$AR$41)),ISNUMBER(SEARCH("Persian",'(B) Register of Participants'!$AR$41)),ISNUMBER(SEARCH("Hazaragi",'(B) Register of Participants'!$AR$41))),ISNUMBER(SEARCH($AS$20,'(B) Register of Participants'!$AR$41))))),1,0)</f>
        <v/>
      </c>
      <c r="R63" s="20">
        <f>IF(AND(AH63,AI63,NOT(AJ63),NOT($AS$25),AK63,$AS$26,AM63,AN63,NOT(AL63)),"Yes","No")</f>
        <v/>
      </c>
      <c r="S63" s="20">
        <f>IF(OR(COUNTIF('Engine Lists'!$A:$A,$AS$14&amp;"|"&amp;AO63)&gt;0,COUNTIF('Engine Lists'!$A:$A,$AS$14&amp;"|"&amp;AP63)&gt;0,COUNTIF('Engine Lists'!$A:$A,$AS$15&amp;"|"&amp;AO63)&gt;0,COUNTIF('Engine Lists'!$A:$A,$AS$15&amp;"|"&amp;AP63)&gt;0,COUNTIF('Engine Lists'!$A:$A,$AS$21&amp;"|"&amp;I63)&gt;0),-8,0)</f>
        <v/>
      </c>
      <c r="T63" s="20">
        <f>IF(Q63=1,IF(OR($AS$8="A2",$AS$8="B1"),7,IF(OR($AS$8="B2",$AS$8="C1",$AS$8="C2"),-5,0)),0)</f>
        <v/>
      </c>
      <c r="U63" s="20">
        <f>IF(AND($AS$6=G63,OR($AS$6="Male",$AS$6="Female")),5,0)</f>
        <v/>
      </c>
      <c r="V63" s="20">
        <f>IF(AND($AS$24,$AS$11&lt;&gt;"In-Person",K63&lt;&gt;"In-Person"),-5,0)</f>
        <v/>
      </c>
      <c r="W63" s="20">
        <f>IF(OR($AS$11=K63,$AS$11="Either",K63="Either"),3,0)</f>
        <v/>
      </c>
      <c r="X63" s="20">
        <f>IF(AND($AS$11&lt;&gt;"Online",K63&lt;&gt;"Online",ISNUMBER($AS$22),ISNUMBER(IFERROR(VALUE(M63),"x"))),IF(ABS($AS$22-VALUE(M63))&lt;=50,3,0),0)</f>
        <v/>
      </c>
      <c r="Y63" s="20">
        <f>IF(AND($AS$10&lt;&gt;"",$AS$10=J63),3,0)</f>
        <v/>
      </c>
      <c r="Z63" s="20">
        <f>IF(OR(N($AS$13)&gt;=150,N(O63)&gt;=150),3,0)</f>
        <v/>
      </c>
      <c r="AA63" s="20">
        <f>IF(AND($AS$21&lt;&gt;"",$AS$21&lt;&gt;"NA",$AS$21=I63),2,0)</f>
        <v/>
      </c>
      <c r="AB63" s="20">
        <f>IF(OR(AND($AS$14&lt;&gt;"",$AS$14&lt;&gt;"NA",OR($AS$14=AO63,$AS$14=AP63)),AND($AS$15&lt;&gt;"",OR($AS$15=AO63,$AS$15=AP63))),2,0)</f>
        <v/>
      </c>
      <c r="AC63" s="20">
        <f>IF(AND(ISNUMBER($AS$12),ISNUMBER(N63),ABS($AS$12-N63)&lt;=10),2,0)</f>
        <v/>
      </c>
      <c r="AD63" s="20">
        <f>IF(R63="Yes",SUM(S63:AC63),"")</f>
        <v/>
      </c>
      <c r="AE63" s="20">
        <f>IF(R63="Yes","Score "&amp;AD63&amp;": "&amp;TRIM(IF(S63&lt;&gt;0,"−8 acrimonious; ","")&amp;IF(T63=7,"+7 shared language; ","")&amp;IF(T63=-5,"−5 shared lang(adv); ","")&amp;IF(U63=5,"+5 same-sex; ","")&amp;IF(V63=-5,"−5 online no device; ","")&amp;IF(W63=3,"+3 mode; ","")&amp;IF(X63=3,"+3 proximity; ","")&amp;IF(Y63=3,"+3 category; ","")&amp;IF(Z63=3,"+3 long wait; ","")&amp;IF(AA63=2,"+2 religion; ","")&amp;IF(AB63=2,"+2 nationality; ","")&amp;IF(AC63=2,"+2 age; ","")),"Not eligible: "&amp;IF(NOT(AH63),"tutor not pending/with-capacity",IF(NOT(AI63),"no spare capacity",IF(AJ63,"tutor blacklisted",IF($AS$25,"student blacklisted",IF(NOT(AK63),"tutor vetting incomplete",IF(NOT($AS$26),"student vetting incomplete",IF(NOT(AM63),"no overlapping 3h AEST block",IF(NOT(AN63),"A1 student needs a shared language",IF(AL63,"'do not pair' note present",""))))))))))</f>
        <v/>
      </c>
      <c r="AF63">
        <f>TRIM(IFERROR(LEFT('(B) Register of Participants'!$AR$41,FIND(" (",'(B) Register of Participants'!$AR$41)-1),'(B) Register of Participants'!$AR$41))</f>
        <v/>
      </c>
      <c r="AG63">
        <f>IF(ISNUMBER(SEARCH("Mandarin",'(B) Register of Participants'!$AR$41)),"Mandarin",IF(ISNUMBER(SEARCH("Cantonese",'(B) Register of Participants'!$AR$41)),"Cantonese",IF(OR(AF63="Dari",AF63="Farsi",AF63="Persian",AF63="Hazaragi"),"Persian",AF63)))</f>
        <v/>
      </c>
      <c r="AH63">
        <f>OR(E63="ADM-ACT-UNMAT",E63="ADM-ACT-MAT-CNE")</f>
        <v/>
      </c>
      <c r="AI63">
        <f>F63&gt;0</f>
        <v/>
      </c>
      <c r="AJ63">
        <f>LEFT('(B) Register of Participants'!$L$41,3)="Yes"</f>
        <v/>
      </c>
      <c r="AK63">
        <f>AND(OR(LEFT('(B) Register of Participants'!$AY$41,3)="Yes",LEFT('(B) Register of Participants'!$AY$41,2)="NA"),OR(LEFT('(B) Register of Participants'!$AZ$41,3)="Yes",LEFT('(B) Register of Participants'!$AZ$41,2)="NA"))</f>
        <v/>
      </c>
      <c r="AL63">
        <f>OR(ISNUMBER(SEARCH("do not pair",'(B) Register of Participants'!$BL$41)),ISNUMBER(SEARCH("do not pair",'(B) Register of Participants'!$BM$41)))</f>
        <v/>
      </c>
      <c r="AM63">
        <f>P63&gt;0</f>
        <v/>
      </c>
      <c r="AN63">
        <f>IF($AS$8="A1",Q63=1,TRUE)</f>
        <v/>
      </c>
      <c r="AO63">
        <f>TRIM(IFERROR(LEFT('(B) Register of Participants'!$AP$41,FIND(";",'(B) Register of Participants'!$AP$41)-1),'(B) Register of Participants'!$AP$41))</f>
        <v/>
      </c>
      <c r="AP63">
        <f>IF(ISNUMBER(FIND(";",'(B) Register of Participants'!$AP$41)),TRIM(MID('(B) Register of Participants'!$AP$41,FIND(";",'(B) Register of Participants'!$AP$41)+1,80)),"")</f>
        <v/>
      </c>
    </row>
    <row r="64">
      <c r="B64" s="20">
        <f>IF(R64="Yes",RANK(AD64,$AD$25:$AD$124),"")</f>
        <v/>
      </c>
      <c r="C64" s="20">
        <f>'(B) Register of Participants'!$A$42</f>
        <v/>
      </c>
      <c r="D64" s="20">
        <f>'(B) Register of Participants'!$B$42</f>
        <v/>
      </c>
      <c r="E64" s="20">
        <f>'(B) Register of Participants'!$J$42</f>
        <v/>
      </c>
      <c r="F64" s="20">
        <f>IFERROR('(B) Register of Participants'!$O$42-'(B) Register of Participants'!$P$42,0)</f>
        <v/>
      </c>
      <c r="G64" s="20">
        <f>'(B) Register of Participants'!$AL$42</f>
        <v/>
      </c>
      <c r="H64" s="20">
        <f>'(B) Register of Participants'!$AP$42</f>
        <v/>
      </c>
      <c r="I64" s="20">
        <f>TRIM(IFERROR(LEFT('(B) Register of Participants'!$AS$42,FIND(" (",'(B) Register of Participants'!$AS$42)-1),'(B) Register of Participants'!$AS$42))</f>
        <v/>
      </c>
      <c r="J64" s="20">
        <f>'(B) Register of Participants'!$AT$42</f>
        <v/>
      </c>
      <c r="K64" s="20">
        <f>'(B) Register of Participants'!$AE$42</f>
        <v/>
      </c>
      <c r="L64" s="20">
        <f>'(B) Register of Participants'!$AF$42</f>
        <v/>
      </c>
      <c r="M64" s="20">
        <f>'(B) Register of Participants'!$AJ$42</f>
        <v/>
      </c>
      <c r="N64" s="20">
        <f>'(B) Register of Participants'!$CY$42</f>
        <v/>
      </c>
      <c r="O64" s="20">
        <f>'(B) Register of Participants'!$CW$42</f>
        <v/>
      </c>
      <c r="P64" s="20">
        <f>(ISNUMBER(SEARCH("6am-9am",$AS$27))*ISNUMBER(SEARCH("6am-9am",'(B) Register of Participants'!$X$42)))+(ISNUMBER(SEARCH("9am-12pm",$AS$27))*ISNUMBER(SEARCH("9am-12pm",'(B) Register of Participants'!$X$42)))+(ISNUMBER(SEARCH("12pm-3pm",$AS$27))*ISNUMBER(SEARCH("12pm-3pm",'(B) Register of Participants'!$X$42)))+(ISNUMBER(SEARCH("3pm-6pm",$AS$27))*ISNUMBER(SEARCH("3pm-6pm",'(B) Register of Participants'!$X$42)))+(ISNUMBER(SEARCH("6pm-9pm",$AS$27))*ISNUMBER(SEARCH("6pm-9pm",'(B) Register of Participants'!$X$42)))+(ISNUMBER(SEARCH("6am-9am",$AS$28))*ISNUMBER(SEARCH("6am-9am",'(B) Register of Participants'!$Y$42)))+(ISNUMBER(SEARCH("9am-12pm",$AS$28))*ISNUMBER(SEARCH("9am-12pm",'(B) Register of Participants'!$Y$42)))+(ISNUMBER(SEARCH("12pm-3pm",$AS$28))*ISNUMBER(SEARCH("12pm-3pm",'(B) Register of Participants'!$Y$42)))+(ISNUMBER(SEARCH("3pm-6pm",$AS$28))*ISNUMBER(SEARCH("3pm-6pm",'(B) Register of Participants'!$Y$42)))+(ISNUMBER(SEARCH("6pm-9pm",$AS$28))*ISNUMBER(SEARCH("6pm-9pm",'(B) Register of Participants'!$Y$42)))+(ISNUMBER(SEARCH("6am-9am",$AS$29))*ISNUMBER(SEARCH("6am-9am",'(B) Register of Participants'!$Z$42)))+(ISNUMBER(SEARCH("9am-12pm",$AS$29))*ISNUMBER(SEARCH("9am-12pm",'(B) Register of Participants'!$Z$42)))+(ISNUMBER(SEARCH("12pm-3pm",$AS$29))*ISNUMBER(SEARCH("12pm-3pm",'(B) Register of Participants'!$Z$42)))+(ISNUMBER(SEARCH("3pm-6pm",$AS$29))*ISNUMBER(SEARCH("3pm-6pm",'(B) Register of Participants'!$Z$42)))+(ISNUMBER(SEARCH("6pm-9pm",$AS$29))*ISNUMBER(SEARCH("6pm-9pm",'(B) Register of Participants'!$Z$42)))+(ISNUMBER(SEARCH("6am-9am",$AS$30))*ISNUMBER(SEARCH("6am-9am",'(B) Register of Participants'!$AA$42)))+(ISNUMBER(SEARCH("9am-12pm",$AS$30))*ISNUMBER(SEARCH("9am-12pm",'(B) Register of Participants'!$AA$42)))+(ISNUMBER(SEARCH("12pm-3pm",$AS$30))*ISNUMBER(SEARCH("12pm-3pm",'(B) Register of Participants'!$AA$42)))+(ISNUMBER(SEARCH("3pm-6pm",$AS$30))*ISNUMBER(SEARCH("3pm-6pm",'(B) Register of Participants'!$AA$42)))+(ISNUMBER(SEARCH("6pm-9pm",$AS$30))*ISNUMBER(SEARCH("6pm-9pm",'(B) Register of Participants'!$AA$42)))+(ISNUMBER(SEARCH("6am-9am",$AS$31))*ISNUMBER(SEARCH("6am-9am",'(B) Register of Participants'!$AB$42)))+(ISNUMBER(SEARCH("9am-12pm",$AS$31))*ISNUMBER(SEARCH("9am-12pm",'(B) Register of Participants'!$AB$42)))+(ISNUMBER(SEARCH("12pm-3pm",$AS$31))*ISNUMBER(SEARCH("12pm-3pm",'(B) Register of Participants'!$AB$42)))+(ISNUMBER(SEARCH("3pm-6pm",$AS$31))*ISNUMBER(SEARCH("3pm-6pm",'(B) Register of Participants'!$AB$42)))+(ISNUMBER(SEARCH("6pm-9pm",$AS$31))*ISNUMBER(SEARCH("6pm-9pm",'(B) Register of Participants'!$AB$42)))+(ISNUMBER(SEARCH("6am-9am",$AS$32))*ISNUMBER(SEARCH("6am-9am",'(B) Register of Participants'!$AC$42)))+(ISNUMBER(SEARCH("9am-12pm",$AS$32))*ISNUMBER(SEARCH("9am-12pm",'(B) Register of Participants'!$AC$42)))+(ISNUMBER(SEARCH("12pm-3pm",$AS$32))*ISNUMBER(SEARCH("12pm-3pm",'(B) Register of Participants'!$AC$42)))+(ISNUMBER(SEARCH("3pm-6pm",$AS$32))*ISNUMBER(SEARCH("3pm-6pm",'(B) Register of Participants'!$AC$42)))+(ISNUMBER(SEARCH("6pm-9pm",$AS$32))*ISNUMBER(SEARCH("6pm-9pm",'(B) Register of Participants'!$AC$42)))+(ISNUMBER(SEARCH("6am-9am",$AS$33))*ISNUMBER(SEARCH("6am-9am",'(B) Register of Participants'!$AD$42)))+(ISNUMBER(SEARCH("9am-12pm",$AS$33))*ISNUMBER(SEARCH("9am-12pm",'(B) Register of Participants'!$AD$42)))+(ISNUMBER(SEARCH("12pm-3pm",$AS$33))*ISNUMBER(SEARCH("12pm-3pm",'(B) Register of Participants'!$AD$42)))+(ISNUMBER(SEARCH("3pm-6pm",$AS$33))*ISNUMBER(SEARCH("3pm-6pm",'(B) Register of Participants'!$AD$42)))+(ISNUMBER(SEARCH("6pm-9pm",$AS$33))*ISNUMBER(SEARCH("6pm-9pm",'(B) Register of Participants'!$AD$42)))</f>
        <v/>
      </c>
      <c r="Q64" s="20">
        <f>IF(OR(AND($AS$17&lt;&gt;"",$AS$17&lt;&gt;"English",IF($AS$17="Persian",OR(ISNUMBER(SEARCH("Dari",'(B) Register of Participants'!$AR$42)),ISNUMBER(SEARCH("Farsi",'(B) Register of Participants'!$AR$42)),ISNUMBER(SEARCH("Persian",'(B) Register of Participants'!$AR$42)),ISNUMBER(SEARCH("Hazaragi",'(B) Register of Participants'!$AR$42))),ISNUMBER(SEARCH($AS$17,'(B) Register of Participants'!$AR$42)))),AND($AS$20&lt;&gt;"",$AS$20&lt;&gt;"English",IF($AS$20="Persian",OR(ISNUMBER(SEARCH("Dari",'(B) Register of Participants'!$AR$42)),ISNUMBER(SEARCH("Farsi",'(B) Register of Participants'!$AR$42)),ISNUMBER(SEARCH("Persian",'(B) Register of Participants'!$AR$42)),ISNUMBER(SEARCH("Hazaragi",'(B) Register of Participants'!$AR$42))),ISNUMBER(SEARCH($AS$20,'(B) Register of Participants'!$AR$42))))),1,0)</f>
        <v/>
      </c>
      <c r="R64" s="20">
        <f>IF(AND(AH64,AI64,NOT(AJ64),NOT($AS$25),AK64,$AS$26,AM64,AN64,NOT(AL64)),"Yes","No")</f>
        <v/>
      </c>
      <c r="S64" s="20">
        <f>IF(OR(COUNTIF('Engine Lists'!$A:$A,$AS$14&amp;"|"&amp;AO64)&gt;0,COUNTIF('Engine Lists'!$A:$A,$AS$14&amp;"|"&amp;AP64)&gt;0,COUNTIF('Engine Lists'!$A:$A,$AS$15&amp;"|"&amp;AO64)&gt;0,COUNTIF('Engine Lists'!$A:$A,$AS$15&amp;"|"&amp;AP64)&gt;0,COUNTIF('Engine Lists'!$A:$A,$AS$21&amp;"|"&amp;I64)&gt;0),-8,0)</f>
        <v/>
      </c>
      <c r="T64" s="20">
        <f>IF(Q64=1,IF(OR($AS$8="A2",$AS$8="B1"),7,IF(OR($AS$8="B2",$AS$8="C1",$AS$8="C2"),-5,0)),0)</f>
        <v/>
      </c>
      <c r="U64" s="20">
        <f>IF(AND($AS$6=G64,OR($AS$6="Male",$AS$6="Female")),5,0)</f>
        <v/>
      </c>
      <c r="V64" s="20">
        <f>IF(AND($AS$24,$AS$11&lt;&gt;"In-Person",K64&lt;&gt;"In-Person"),-5,0)</f>
        <v/>
      </c>
      <c r="W64" s="20">
        <f>IF(OR($AS$11=K64,$AS$11="Either",K64="Either"),3,0)</f>
        <v/>
      </c>
      <c r="X64" s="20">
        <f>IF(AND($AS$11&lt;&gt;"Online",K64&lt;&gt;"Online",ISNUMBER($AS$22),ISNUMBER(IFERROR(VALUE(M64),"x"))),IF(ABS($AS$22-VALUE(M64))&lt;=50,3,0),0)</f>
        <v/>
      </c>
      <c r="Y64" s="20">
        <f>IF(AND($AS$10&lt;&gt;"",$AS$10=J64),3,0)</f>
        <v/>
      </c>
      <c r="Z64" s="20">
        <f>IF(OR(N($AS$13)&gt;=150,N(O64)&gt;=150),3,0)</f>
        <v/>
      </c>
      <c r="AA64" s="20">
        <f>IF(AND($AS$21&lt;&gt;"",$AS$21&lt;&gt;"NA",$AS$21=I64),2,0)</f>
        <v/>
      </c>
      <c r="AB64" s="20">
        <f>IF(OR(AND($AS$14&lt;&gt;"",$AS$14&lt;&gt;"NA",OR($AS$14=AO64,$AS$14=AP64)),AND($AS$15&lt;&gt;"",OR($AS$15=AO64,$AS$15=AP64))),2,0)</f>
        <v/>
      </c>
      <c r="AC64" s="20">
        <f>IF(AND(ISNUMBER($AS$12),ISNUMBER(N64),ABS($AS$12-N64)&lt;=10),2,0)</f>
        <v/>
      </c>
      <c r="AD64" s="20">
        <f>IF(R64="Yes",SUM(S64:AC64),"")</f>
        <v/>
      </c>
      <c r="AE64" s="20">
        <f>IF(R64="Yes","Score "&amp;AD64&amp;": "&amp;TRIM(IF(S64&lt;&gt;0,"−8 acrimonious; ","")&amp;IF(T64=7,"+7 shared language; ","")&amp;IF(T64=-5,"−5 shared lang(adv); ","")&amp;IF(U64=5,"+5 same-sex; ","")&amp;IF(V64=-5,"−5 online no device; ","")&amp;IF(W64=3,"+3 mode; ","")&amp;IF(X64=3,"+3 proximity; ","")&amp;IF(Y64=3,"+3 category; ","")&amp;IF(Z64=3,"+3 long wait; ","")&amp;IF(AA64=2,"+2 religion; ","")&amp;IF(AB64=2,"+2 nationality; ","")&amp;IF(AC64=2,"+2 age; ","")),"Not eligible: "&amp;IF(NOT(AH64),"tutor not pending/with-capacity",IF(NOT(AI64),"no spare capacity",IF(AJ64,"tutor blacklisted",IF($AS$25,"student blacklisted",IF(NOT(AK64),"tutor vetting incomplete",IF(NOT($AS$26),"student vetting incomplete",IF(NOT(AM64),"no overlapping 3h AEST block",IF(NOT(AN64),"A1 student needs a shared language",IF(AL64,"'do not pair' note present",""))))))))))</f>
        <v/>
      </c>
      <c r="AF64">
        <f>TRIM(IFERROR(LEFT('(B) Register of Participants'!$AR$42,FIND(" (",'(B) Register of Participants'!$AR$42)-1),'(B) Register of Participants'!$AR$42))</f>
        <v/>
      </c>
      <c r="AG64">
        <f>IF(ISNUMBER(SEARCH("Mandarin",'(B) Register of Participants'!$AR$42)),"Mandarin",IF(ISNUMBER(SEARCH("Cantonese",'(B) Register of Participants'!$AR$42)),"Cantonese",IF(OR(AF64="Dari",AF64="Farsi",AF64="Persian",AF64="Hazaragi"),"Persian",AF64)))</f>
        <v/>
      </c>
      <c r="AH64">
        <f>OR(E64="ADM-ACT-UNMAT",E64="ADM-ACT-MAT-CNE")</f>
        <v/>
      </c>
      <c r="AI64">
        <f>F64&gt;0</f>
        <v/>
      </c>
      <c r="AJ64">
        <f>LEFT('(B) Register of Participants'!$L$42,3)="Yes"</f>
        <v/>
      </c>
      <c r="AK64">
        <f>AND(OR(LEFT('(B) Register of Participants'!$AY$42,3)="Yes",LEFT('(B) Register of Participants'!$AY$42,2)="NA"),OR(LEFT('(B) Register of Participants'!$AZ$42,3)="Yes",LEFT('(B) Register of Participants'!$AZ$42,2)="NA"))</f>
        <v/>
      </c>
      <c r="AL64">
        <f>OR(ISNUMBER(SEARCH("do not pair",'(B) Register of Participants'!$BL$42)),ISNUMBER(SEARCH("do not pair",'(B) Register of Participants'!$BM$42)))</f>
        <v/>
      </c>
      <c r="AM64">
        <f>P64&gt;0</f>
        <v/>
      </c>
      <c r="AN64">
        <f>IF($AS$8="A1",Q64=1,TRUE)</f>
        <v/>
      </c>
      <c r="AO64">
        <f>TRIM(IFERROR(LEFT('(B) Register of Participants'!$AP$42,FIND(";",'(B) Register of Participants'!$AP$42)-1),'(B) Register of Participants'!$AP$42))</f>
        <v/>
      </c>
      <c r="AP64">
        <f>IF(ISNUMBER(FIND(";",'(B) Register of Participants'!$AP$42)),TRIM(MID('(B) Register of Participants'!$AP$42,FIND(";",'(B) Register of Participants'!$AP$42)+1,80)),"")</f>
        <v/>
      </c>
    </row>
    <row r="65">
      <c r="B65" s="20">
        <f>IF(R65="Yes",RANK(AD65,$AD$25:$AD$124),"")</f>
        <v/>
      </c>
      <c r="C65" s="20">
        <f>'(B) Register of Participants'!$A$43</f>
        <v/>
      </c>
      <c r="D65" s="20">
        <f>'(B) Register of Participants'!$B$43</f>
        <v/>
      </c>
      <c r="E65" s="20">
        <f>'(B) Register of Participants'!$J$43</f>
        <v/>
      </c>
      <c r="F65" s="20">
        <f>IFERROR('(B) Register of Participants'!$O$43-'(B) Register of Participants'!$P$43,0)</f>
        <v/>
      </c>
      <c r="G65" s="20">
        <f>'(B) Register of Participants'!$AL$43</f>
        <v/>
      </c>
      <c r="H65" s="20">
        <f>'(B) Register of Participants'!$AP$43</f>
        <v/>
      </c>
      <c r="I65" s="20">
        <f>TRIM(IFERROR(LEFT('(B) Register of Participants'!$AS$43,FIND(" (",'(B) Register of Participants'!$AS$43)-1),'(B) Register of Participants'!$AS$43))</f>
        <v/>
      </c>
      <c r="J65" s="20">
        <f>'(B) Register of Participants'!$AT$43</f>
        <v/>
      </c>
      <c r="K65" s="20">
        <f>'(B) Register of Participants'!$AE$43</f>
        <v/>
      </c>
      <c r="L65" s="20">
        <f>'(B) Register of Participants'!$AF$43</f>
        <v/>
      </c>
      <c r="M65" s="20">
        <f>'(B) Register of Participants'!$AJ$43</f>
        <v/>
      </c>
      <c r="N65" s="20">
        <f>'(B) Register of Participants'!$CY$43</f>
        <v/>
      </c>
      <c r="O65" s="20">
        <f>'(B) Register of Participants'!$CW$43</f>
        <v/>
      </c>
      <c r="P65" s="20">
        <f>(ISNUMBER(SEARCH("6am-9am",$AS$27))*ISNUMBER(SEARCH("6am-9am",'(B) Register of Participants'!$X$43)))+(ISNUMBER(SEARCH("9am-12pm",$AS$27))*ISNUMBER(SEARCH("9am-12pm",'(B) Register of Participants'!$X$43)))+(ISNUMBER(SEARCH("12pm-3pm",$AS$27))*ISNUMBER(SEARCH("12pm-3pm",'(B) Register of Participants'!$X$43)))+(ISNUMBER(SEARCH("3pm-6pm",$AS$27))*ISNUMBER(SEARCH("3pm-6pm",'(B) Register of Participants'!$X$43)))+(ISNUMBER(SEARCH("6pm-9pm",$AS$27))*ISNUMBER(SEARCH("6pm-9pm",'(B) Register of Participants'!$X$43)))+(ISNUMBER(SEARCH("6am-9am",$AS$28))*ISNUMBER(SEARCH("6am-9am",'(B) Register of Participants'!$Y$43)))+(ISNUMBER(SEARCH("9am-12pm",$AS$28))*ISNUMBER(SEARCH("9am-12pm",'(B) Register of Participants'!$Y$43)))+(ISNUMBER(SEARCH("12pm-3pm",$AS$28))*ISNUMBER(SEARCH("12pm-3pm",'(B) Register of Participants'!$Y$43)))+(ISNUMBER(SEARCH("3pm-6pm",$AS$28))*ISNUMBER(SEARCH("3pm-6pm",'(B) Register of Participants'!$Y$43)))+(ISNUMBER(SEARCH("6pm-9pm",$AS$28))*ISNUMBER(SEARCH("6pm-9pm",'(B) Register of Participants'!$Y$43)))+(ISNUMBER(SEARCH("6am-9am",$AS$29))*ISNUMBER(SEARCH("6am-9am",'(B) Register of Participants'!$Z$43)))+(ISNUMBER(SEARCH("9am-12pm",$AS$29))*ISNUMBER(SEARCH("9am-12pm",'(B) Register of Participants'!$Z$43)))+(ISNUMBER(SEARCH("12pm-3pm",$AS$29))*ISNUMBER(SEARCH("12pm-3pm",'(B) Register of Participants'!$Z$43)))+(ISNUMBER(SEARCH("3pm-6pm",$AS$29))*ISNUMBER(SEARCH("3pm-6pm",'(B) Register of Participants'!$Z$43)))+(ISNUMBER(SEARCH("6pm-9pm",$AS$29))*ISNUMBER(SEARCH("6pm-9pm",'(B) Register of Participants'!$Z$43)))+(ISNUMBER(SEARCH("6am-9am",$AS$30))*ISNUMBER(SEARCH("6am-9am",'(B) Register of Participants'!$AA$43)))+(ISNUMBER(SEARCH("9am-12pm",$AS$30))*ISNUMBER(SEARCH("9am-12pm",'(B) Register of Participants'!$AA$43)))+(ISNUMBER(SEARCH("12pm-3pm",$AS$30))*ISNUMBER(SEARCH("12pm-3pm",'(B) Register of Participants'!$AA$43)))+(ISNUMBER(SEARCH("3pm-6pm",$AS$30))*ISNUMBER(SEARCH("3pm-6pm",'(B) Register of Participants'!$AA$43)))+(ISNUMBER(SEARCH("6pm-9pm",$AS$30))*ISNUMBER(SEARCH("6pm-9pm",'(B) Register of Participants'!$AA$43)))+(ISNUMBER(SEARCH("6am-9am",$AS$31))*ISNUMBER(SEARCH("6am-9am",'(B) Register of Participants'!$AB$43)))+(ISNUMBER(SEARCH("9am-12pm",$AS$31))*ISNUMBER(SEARCH("9am-12pm",'(B) Register of Participants'!$AB$43)))+(ISNUMBER(SEARCH("12pm-3pm",$AS$31))*ISNUMBER(SEARCH("12pm-3pm",'(B) Register of Participants'!$AB$43)))+(ISNUMBER(SEARCH("3pm-6pm",$AS$31))*ISNUMBER(SEARCH("3pm-6pm",'(B) Register of Participants'!$AB$43)))+(ISNUMBER(SEARCH("6pm-9pm",$AS$31))*ISNUMBER(SEARCH("6pm-9pm",'(B) Register of Participants'!$AB$43)))+(ISNUMBER(SEARCH("6am-9am",$AS$32))*ISNUMBER(SEARCH("6am-9am",'(B) Register of Participants'!$AC$43)))+(ISNUMBER(SEARCH("9am-12pm",$AS$32))*ISNUMBER(SEARCH("9am-12pm",'(B) Register of Participants'!$AC$43)))+(ISNUMBER(SEARCH("12pm-3pm",$AS$32))*ISNUMBER(SEARCH("12pm-3pm",'(B) Register of Participants'!$AC$43)))+(ISNUMBER(SEARCH("3pm-6pm",$AS$32))*ISNUMBER(SEARCH("3pm-6pm",'(B) Register of Participants'!$AC$43)))+(ISNUMBER(SEARCH("6pm-9pm",$AS$32))*ISNUMBER(SEARCH("6pm-9pm",'(B) Register of Participants'!$AC$43)))+(ISNUMBER(SEARCH("6am-9am",$AS$33))*ISNUMBER(SEARCH("6am-9am",'(B) Register of Participants'!$AD$43)))+(ISNUMBER(SEARCH("9am-12pm",$AS$33))*ISNUMBER(SEARCH("9am-12pm",'(B) Register of Participants'!$AD$43)))+(ISNUMBER(SEARCH("12pm-3pm",$AS$33))*ISNUMBER(SEARCH("12pm-3pm",'(B) Register of Participants'!$AD$43)))+(ISNUMBER(SEARCH("3pm-6pm",$AS$33))*ISNUMBER(SEARCH("3pm-6pm",'(B) Register of Participants'!$AD$43)))+(ISNUMBER(SEARCH("6pm-9pm",$AS$33))*ISNUMBER(SEARCH("6pm-9pm",'(B) Register of Participants'!$AD$43)))</f>
        <v/>
      </c>
      <c r="Q65" s="20">
        <f>IF(OR(AND($AS$17&lt;&gt;"",$AS$17&lt;&gt;"English",IF($AS$17="Persian",OR(ISNUMBER(SEARCH("Dari",'(B) Register of Participants'!$AR$43)),ISNUMBER(SEARCH("Farsi",'(B) Register of Participants'!$AR$43)),ISNUMBER(SEARCH("Persian",'(B) Register of Participants'!$AR$43)),ISNUMBER(SEARCH("Hazaragi",'(B) Register of Participants'!$AR$43))),ISNUMBER(SEARCH($AS$17,'(B) Register of Participants'!$AR$43)))),AND($AS$20&lt;&gt;"",$AS$20&lt;&gt;"English",IF($AS$20="Persian",OR(ISNUMBER(SEARCH("Dari",'(B) Register of Participants'!$AR$43)),ISNUMBER(SEARCH("Farsi",'(B) Register of Participants'!$AR$43)),ISNUMBER(SEARCH("Persian",'(B) Register of Participants'!$AR$43)),ISNUMBER(SEARCH("Hazaragi",'(B) Register of Participants'!$AR$43))),ISNUMBER(SEARCH($AS$20,'(B) Register of Participants'!$AR$43))))),1,0)</f>
        <v/>
      </c>
      <c r="R65" s="20">
        <f>IF(AND(AH65,AI65,NOT(AJ65),NOT($AS$25),AK65,$AS$26,AM65,AN65,NOT(AL65)),"Yes","No")</f>
        <v/>
      </c>
      <c r="S65" s="20">
        <f>IF(OR(COUNTIF('Engine Lists'!$A:$A,$AS$14&amp;"|"&amp;AO65)&gt;0,COUNTIF('Engine Lists'!$A:$A,$AS$14&amp;"|"&amp;AP65)&gt;0,COUNTIF('Engine Lists'!$A:$A,$AS$15&amp;"|"&amp;AO65)&gt;0,COUNTIF('Engine Lists'!$A:$A,$AS$15&amp;"|"&amp;AP65)&gt;0,COUNTIF('Engine Lists'!$A:$A,$AS$21&amp;"|"&amp;I65)&gt;0),-8,0)</f>
        <v/>
      </c>
      <c r="T65" s="20">
        <f>IF(Q65=1,IF(OR($AS$8="A2",$AS$8="B1"),7,IF(OR($AS$8="B2",$AS$8="C1",$AS$8="C2"),-5,0)),0)</f>
        <v/>
      </c>
      <c r="U65" s="20">
        <f>IF(AND($AS$6=G65,OR($AS$6="Male",$AS$6="Female")),5,0)</f>
        <v/>
      </c>
      <c r="V65" s="20">
        <f>IF(AND($AS$24,$AS$11&lt;&gt;"In-Person",K65&lt;&gt;"In-Person"),-5,0)</f>
        <v/>
      </c>
      <c r="W65" s="20">
        <f>IF(OR($AS$11=K65,$AS$11="Either",K65="Either"),3,0)</f>
        <v/>
      </c>
      <c r="X65" s="20">
        <f>IF(AND($AS$11&lt;&gt;"Online",K65&lt;&gt;"Online",ISNUMBER($AS$22),ISNUMBER(IFERROR(VALUE(M65),"x"))),IF(ABS($AS$22-VALUE(M65))&lt;=50,3,0),0)</f>
        <v/>
      </c>
      <c r="Y65" s="20">
        <f>IF(AND($AS$10&lt;&gt;"",$AS$10=J65),3,0)</f>
        <v/>
      </c>
      <c r="Z65" s="20">
        <f>IF(OR(N($AS$13)&gt;=150,N(O65)&gt;=150),3,0)</f>
        <v/>
      </c>
      <c r="AA65" s="20">
        <f>IF(AND($AS$21&lt;&gt;"",$AS$21&lt;&gt;"NA",$AS$21=I65),2,0)</f>
        <v/>
      </c>
      <c r="AB65" s="20">
        <f>IF(OR(AND($AS$14&lt;&gt;"",$AS$14&lt;&gt;"NA",OR($AS$14=AO65,$AS$14=AP65)),AND($AS$15&lt;&gt;"",OR($AS$15=AO65,$AS$15=AP65))),2,0)</f>
        <v/>
      </c>
      <c r="AC65" s="20">
        <f>IF(AND(ISNUMBER($AS$12),ISNUMBER(N65),ABS($AS$12-N65)&lt;=10),2,0)</f>
        <v/>
      </c>
      <c r="AD65" s="20">
        <f>IF(R65="Yes",SUM(S65:AC65),"")</f>
        <v/>
      </c>
      <c r="AE65" s="20">
        <f>IF(R65="Yes","Score "&amp;AD65&amp;": "&amp;TRIM(IF(S65&lt;&gt;0,"−8 acrimonious; ","")&amp;IF(T65=7,"+7 shared language; ","")&amp;IF(T65=-5,"−5 shared lang(adv); ","")&amp;IF(U65=5,"+5 same-sex; ","")&amp;IF(V65=-5,"−5 online no device; ","")&amp;IF(W65=3,"+3 mode; ","")&amp;IF(X65=3,"+3 proximity; ","")&amp;IF(Y65=3,"+3 category; ","")&amp;IF(Z65=3,"+3 long wait; ","")&amp;IF(AA65=2,"+2 religion; ","")&amp;IF(AB65=2,"+2 nationality; ","")&amp;IF(AC65=2,"+2 age; ","")),"Not eligible: "&amp;IF(NOT(AH65),"tutor not pending/with-capacity",IF(NOT(AI65),"no spare capacity",IF(AJ65,"tutor blacklisted",IF($AS$25,"student blacklisted",IF(NOT(AK65),"tutor vetting incomplete",IF(NOT($AS$26),"student vetting incomplete",IF(NOT(AM65),"no overlapping 3h AEST block",IF(NOT(AN65),"A1 student needs a shared language",IF(AL65,"'do not pair' note present",""))))))))))</f>
        <v/>
      </c>
      <c r="AF65">
        <f>TRIM(IFERROR(LEFT('(B) Register of Participants'!$AR$43,FIND(" (",'(B) Register of Participants'!$AR$43)-1),'(B) Register of Participants'!$AR$43))</f>
        <v/>
      </c>
      <c r="AG65">
        <f>IF(ISNUMBER(SEARCH("Mandarin",'(B) Register of Participants'!$AR$43)),"Mandarin",IF(ISNUMBER(SEARCH("Cantonese",'(B) Register of Participants'!$AR$43)),"Cantonese",IF(OR(AF65="Dari",AF65="Farsi",AF65="Persian",AF65="Hazaragi"),"Persian",AF65)))</f>
        <v/>
      </c>
      <c r="AH65">
        <f>OR(E65="ADM-ACT-UNMAT",E65="ADM-ACT-MAT-CNE")</f>
        <v/>
      </c>
      <c r="AI65">
        <f>F65&gt;0</f>
        <v/>
      </c>
      <c r="AJ65">
        <f>LEFT('(B) Register of Participants'!$L$43,3)="Yes"</f>
        <v/>
      </c>
      <c r="AK65">
        <f>AND(OR(LEFT('(B) Register of Participants'!$AY$43,3)="Yes",LEFT('(B) Register of Participants'!$AY$43,2)="NA"),OR(LEFT('(B) Register of Participants'!$AZ$43,3)="Yes",LEFT('(B) Register of Participants'!$AZ$43,2)="NA"))</f>
        <v/>
      </c>
      <c r="AL65">
        <f>OR(ISNUMBER(SEARCH("do not pair",'(B) Register of Participants'!$BL$43)),ISNUMBER(SEARCH("do not pair",'(B) Register of Participants'!$BM$43)))</f>
        <v/>
      </c>
      <c r="AM65">
        <f>P65&gt;0</f>
        <v/>
      </c>
      <c r="AN65">
        <f>IF($AS$8="A1",Q65=1,TRUE)</f>
        <v/>
      </c>
      <c r="AO65">
        <f>TRIM(IFERROR(LEFT('(B) Register of Participants'!$AP$43,FIND(";",'(B) Register of Participants'!$AP$43)-1),'(B) Register of Participants'!$AP$43))</f>
        <v/>
      </c>
      <c r="AP65">
        <f>IF(ISNUMBER(FIND(";",'(B) Register of Participants'!$AP$43)),TRIM(MID('(B) Register of Participants'!$AP$43,FIND(";",'(B) Register of Participants'!$AP$43)+1,80)),"")</f>
        <v/>
      </c>
    </row>
    <row r="66">
      <c r="B66" s="20">
        <f>IF(R66="Yes",RANK(AD66,$AD$25:$AD$124),"")</f>
        <v/>
      </c>
      <c r="C66" s="20">
        <f>'(B) Register of Participants'!$A$44</f>
        <v/>
      </c>
      <c r="D66" s="20">
        <f>'(B) Register of Participants'!$B$44</f>
        <v/>
      </c>
      <c r="E66" s="20">
        <f>'(B) Register of Participants'!$J$44</f>
        <v/>
      </c>
      <c r="F66" s="20">
        <f>IFERROR('(B) Register of Participants'!$O$44-'(B) Register of Participants'!$P$44,0)</f>
        <v/>
      </c>
      <c r="G66" s="20">
        <f>'(B) Register of Participants'!$AL$44</f>
        <v/>
      </c>
      <c r="H66" s="20">
        <f>'(B) Register of Participants'!$AP$44</f>
        <v/>
      </c>
      <c r="I66" s="20">
        <f>TRIM(IFERROR(LEFT('(B) Register of Participants'!$AS$44,FIND(" (",'(B) Register of Participants'!$AS$44)-1),'(B) Register of Participants'!$AS$44))</f>
        <v/>
      </c>
      <c r="J66" s="20">
        <f>'(B) Register of Participants'!$AT$44</f>
        <v/>
      </c>
      <c r="K66" s="20">
        <f>'(B) Register of Participants'!$AE$44</f>
        <v/>
      </c>
      <c r="L66" s="20">
        <f>'(B) Register of Participants'!$AF$44</f>
        <v/>
      </c>
      <c r="M66" s="20">
        <f>'(B) Register of Participants'!$AJ$44</f>
        <v/>
      </c>
      <c r="N66" s="20">
        <f>'(B) Register of Participants'!$CY$44</f>
        <v/>
      </c>
      <c r="O66" s="20">
        <f>'(B) Register of Participants'!$CW$44</f>
        <v/>
      </c>
      <c r="P66" s="20">
        <f>(ISNUMBER(SEARCH("6am-9am",$AS$27))*ISNUMBER(SEARCH("6am-9am",'(B) Register of Participants'!$X$44)))+(ISNUMBER(SEARCH("9am-12pm",$AS$27))*ISNUMBER(SEARCH("9am-12pm",'(B) Register of Participants'!$X$44)))+(ISNUMBER(SEARCH("12pm-3pm",$AS$27))*ISNUMBER(SEARCH("12pm-3pm",'(B) Register of Participants'!$X$44)))+(ISNUMBER(SEARCH("3pm-6pm",$AS$27))*ISNUMBER(SEARCH("3pm-6pm",'(B) Register of Participants'!$X$44)))+(ISNUMBER(SEARCH("6pm-9pm",$AS$27))*ISNUMBER(SEARCH("6pm-9pm",'(B) Register of Participants'!$X$44)))+(ISNUMBER(SEARCH("6am-9am",$AS$28))*ISNUMBER(SEARCH("6am-9am",'(B) Register of Participants'!$Y$44)))+(ISNUMBER(SEARCH("9am-12pm",$AS$28))*ISNUMBER(SEARCH("9am-12pm",'(B) Register of Participants'!$Y$44)))+(ISNUMBER(SEARCH("12pm-3pm",$AS$28))*ISNUMBER(SEARCH("12pm-3pm",'(B) Register of Participants'!$Y$44)))+(ISNUMBER(SEARCH("3pm-6pm",$AS$28))*ISNUMBER(SEARCH("3pm-6pm",'(B) Register of Participants'!$Y$44)))+(ISNUMBER(SEARCH("6pm-9pm",$AS$28))*ISNUMBER(SEARCH("6pm-9pm",'(B) Register of Participants'!$Y$44)))+(ISNUMBER(SEARCH("6am-9am",$AS$29))*ISNUMBER(SEARCH("6am-9am",'(B) Register of Participants'!$Z$44)))+(ISNUMBER(SEARCH("9am-12pm",$AS$29))*ISNUMBER(SEARCH("9am-12pm",'(B) Register of Participants'!$Z$44)))+(ISNUMBER(SEARCH("12pm-3pm",$AS$29))*ISNUMBER(SEARCH("12pm-3pm",'(B) Register of Participants'!$Z$44)))+(ISNUMBER(SEARCH("3pm-6pm",$AS$29))*ISNUMBER(SEARCH("3pm-6pm",'(B) Register of Participants'!$Z$44)))+(ISNUMBER(SEARCH("6pm-9pm",$AS$29))*ISNUMBER(SEARCH("6pm-9pm",'(B) Register of Participants'!$Z$44)))+(ISNUMBER(SEARCH("6am-9am",$AS$30))*ISNUMBER(SEARCH("6am-9am",'(B) Register of Participants'!$AA$44)))+(ISNUMBER(SEARCH("9am-12pm",$AS$30))*ISNUMBER(SEARCH("9am-12pm",'(B) Register of Participants'!$AA$44)))+(ISNUMBER(SEARCH("12pm-3pm",$AS$30))*ISNUMBER(SEARCH("12pm-3pm",'(B) Register of Participants'!$AA$44)))+(ISNUMBER(SEARCH("3pm-6pm",$AS$30))*ISNUMBER(SEARCH("3pm-6pm",'(B) Register of Participants'!$AA$44)))+(ISNUMBER(SEARCH("6pm-9pm",$AS$30))*ISNUMBER(SEARCH("6pm-9pm",'(B) Register of Participants'!$AA$44)))+(ISNUMBER(SEARCH("6am-9am",$AS$31))*ISNUMBER(SEARCH("6am-9am",'(B) Register of Participants'!$AB$44)))+(ISNUMBER(SEARCH("9am-12pm",$AS$31))*ISNUMBER(SEARCH("9am-12pm",'(B) Register of Participants'!$AB$44)))+(ISNUMBER(SEARCH("12pm-3pm",$AS$31))*ISNUMBER(SEARCH("12pm-3pm",'(B) Register of Participants'!$AB$44)))+(ISNUMBER(SEARCH("3pm-6pm",$AS$31))*ISNUMBER(SEARCH("3pm-6pm",'(B) Register of Participants'!$AB$44)))+(ISNUMBER(SEARCH("6pm-9pm",$AS$31))*ISNUMBER(SEARCH("6pm-9pm",'(B) Register of Participants'!$AB$44)))+(ISNUMBER(SEARCH("6am-9am",$AS$32))*ISNUMBER(SEARCH("6am-9am",'(B) Register of Participants'!$AC$44)))+(ISNUMBER(SEARCH("9am-12pm",$AS$32))*ISNUMBER(SEARCH("9am-12pm",'(B) Register of Participants'!$AC$44)))+(ISNUMBER(SEARCH("12pm-3pm",$AS$32))*ISNUMBER(SEARCH("12pm-3pm",'(B) Register of Participants'!$AC$44)))+(ISNUMBER(SEARCH("3pm-6pm",$AS$32))*ISNUMBER(SEARCH("3pm-6pm",'(B) Register of Participants'!$AC$44)))+(ISNUMBER(SEARCH("6pm-9pm",$AS$32))*ISNUMBER(SEARCH("6pm-9pm",'(B) Register of Participants'!$AC$44)))+(ISNUMBER(SEARCH("6am-9am",$AS$33))*ISNUMBER(SEARCH("6am-9am",'(B) Register of Participants'!$AD$44)))+(ISNUMBER(SEARCH("9am-12pm",$AS$33))*ISNUMBER(SEARCH("9am-12pm",'(B) Register of Participants'!$AD$44)))+(ISNUMBER(SEARCH("12pm-3pm",$AS$33))*ISNUMBER(SEARCH("12pm-3pm",'(B) Register of Participants'!$AD$44)))+(ISNUMBER(SEARCH("3pm-6pm",$AS$33))*ISNUMBER(SEARCH("3pm-6pm",'(B) Register of Participants'!$AD$44)))+(ISNUMBER(SEARCH("6pm-9pm",$AS$33))*ISNUMBER(SEARCH("6pm-9pm",'(B) Register of Participants'!$AD$44)))</f>
        <v/>
      </c>
      <c r="Q66" s="20">
        <f>IF(OR(AND($AS$17&lt;&gt;"",$AS$17&lt;&gt;"English",IF($AS$17="Persian",OR(ISNUMBER(SEARCH("Dari",'(B) Register of Participants'!$AR$44)),ISNUMBER(SEARCH("Farsi",'(B) Register of Participants'!$AR$44)),ISNUMBER(SEARCH("Persian",'(B) Register of Participants'!$AR$44)),ISNUMBER(SEARCH("Hazaragi",'(B) Register of Participants'!$AR$44))),ISNUMBER(SEARCH($AS$17,'(B) Register of Participants'!$AR$44)))),AND($AS$20&lt;&gt;"",$AS$20&lt;&gt;"English",IF($AS$20="Persian",OR(ISNUMBER(SEARCH("Dari",'(B) Register of Participants'!$AR$44)),ISNUMBER(SEARCH("Farsi",'(B) Register of Participants'!$AR$44)),ISNUMBER(SEARCH("Persian",'(B) Register of Participants'!$AR$44)),ISNUMBER(SEARCH("Hazaragi",'(B) Register of Participants'!$AR$44))),ISNUMBER(SEARCH($AS$20,'(B) Register of Participants'!$AR$44))))),1,0)</f>
        <v/>
      </c>
      <c r="R66" s="20">
        <f>IF(AND(AH66,AI66,NOT(AJ66),NOT($AS$25),AK66,$AS$26,AM66,AN66,NOT(AL66)),"Yes","No")</f>
        <v/>
      </c>
      <c r="S66" s="20">
        <f>IF(OR(COUNTIF('Engine Lists'!$A:$A,$AS$14&amp;"|"&amp;AO66)&gt;0,COUNTIF('Engine Lists'!$A:$A,$AS$14&amp;"|"&amp;AP66)&gt;0,COUNTIF('Engine Lists'!$A:$A,$AS$15&amp;"|"&amp;AO66)&gt;0,COUNTIF('Engine Lists'!$A:$A,$AS$15&amp;"|"&amp;AP66)&gt;0,COUNTIF('Engine Lists'!$A:$A,$AS$21&amp;"|"&amp;I66)&gt;0),-8,0)</f>
        <v/>
      </c>
      <c r="T66" s="20">
        <f>IF(Q66=1,IF(OR($AS$8="A2",$AS$8="B1"),7,IF(OR($AS$8="B2",$AS$8="C1",$AS$8="C2"),-5,0)),0)</f>
        <v/>
      </c>
      <c r="U66" s="20">
        <f>IF(AND($AS$6=G66,OR($AS$6="Male",$AS$6="Female")),5,0)</f>
        <v/>
      </c>
      <c r="V66" s="20">
        <f>IF(AND($AS$24,$AS$11&lt;&gt;"In-Person",K66&lt;&gt;"In-Person"),-5,0)</f>
        <v/>
      </c>
      <c r="W66" s="20">
        <f>IF(OR($AS$11=K66,$AS$11="Either",K66="Either"),3,0)</f>
        <v/>
      </c>
      <c r="X66" s="20">
        <f>IF(AND($AS$11&lt;&gt;"Online",K66&lt;&gt;"Online",ISNUMBER($AS$22),ISNUMBER(IFERROR(VALUE(M66),"x"))),IF(ABS($AS$22-VALUE(M66))&lt;=50,3,0),0)</f>
        <v/>
      </c>
      <c r="Y66" s="20">
        <f>IF(AND($AS$10&lt;&gt;"",$AS$10=J66),3,0)</f>
        <v/>
      </c>
      <c r="Z66" s="20">
        <f>IF(OR(N($AS$13)&gt;=150,N(O66)&gt;=150),3,0)</f>
        <v/>
      </c>
      <c r="AA66" s="20">
        <f>IF(AND($AS$21&lt;&gt;"",$AS$21&lt;&gt;"NA",$AS$21=I66),2,0)</f>
        <v/>
      </c>
      <c r="AB66" s="20">
        <f>IF(OR(AND($AS$14&lt;&gt;"",$AS$14&lt;&gt;"NA",OR($AS$14=AO66,$AS$14=AP66)),AND($AS$15&lt;&gt;"",OR($AS$15=AO66,$AS$15=AP66))),2,0)</f>
        <v/>
      </c>
      <c r="AC66" s="20">
        <f>IF(AND(ISNUMBER($AS$12),ISNUMBER(N66),ABS($AS$12-N66)&lt;=10),2,0)</f>
        <v/>
      </c>
      <c r="AD66" s="20">
        <f>IF(R66="Yes",SUM(S66:AC66),"")</f>
        <v/>
      </c>
      <c r="AE66" s="20">
        <f>IF(R66="Yes","Score "&amp;AD66&amp;": "&amp;TRIM(IF(S66&lt;&gt;0,"−8 acrimonious; ","")&amp;IF(T66=7,"+7 shared language; ","")&amp;IF(T66=-5,"−5 shared lang(adv); ","")&amp;IF(U66=5,"+5 same-sex; ","")&amp;IF(V66=-5,"−5 online no device; ","")&amp;IF(W66=3,"+3 mode; ","")&amp;IF(X66=3,"+3 proximity; ","")&amp;IF(Y66=3,"+3 category; ","")&amp;IF(Z66=3,"+3 long wait; ","")&amp;IF(AA66=2,"+2 religion; ","")&amp;IF(AB66=2,"+2 nationality; ","")&amp;IF(AC66=2,"+2 age; ","")),"Not eligible: "&amp;IF(NOT(AH66),"tutor not pending/with-capacity",IF(NOT(AI66),"no spare capacity",IF(AJ66,"tutor blacklisted",IF($AS$25,"student blacklisted",IF(NOT(AK66),"tutor vetting incomplete",IF(NOT($AS$26),"student vetting incomplete",IF(NOT(AM66),"no overlapping 3h AEST block",IF(NOT(AN66),"A1 student needs a shared language",IF(AL66,"'do not pair' note present",""))))))))))</f>
        <v/>
      </c>
      <c r="AF66">
        <f>TRIM(IFERROR(LEFT('(B) Register of Participants'!$AR$44,FIND(" (",'(B) Register of Participants'!$AR$44)-1),'(B) Register of Participants'!$AR$44))</f>
        <v/>
      </c>
      <c r="AG66">
        <f>IF(ISNUMBER(SEARCH("Mandarin",'(B) Register of Participants'!$AR$44)),"Mandarin",IF(ISNUMBER(SEARCH("Cantonese",'(B) Register of Participants'!$AR$44)),"Cantonese",IF(OR(AF66="Dari",AF66="Farsi",AF66="Persian",AF66="Hazaragi"),"Persian",AF66)))</f>
        <v/>
      </c>
      <c r="AH66">
        <f>OR(E66="ADM-ACT-UNMAT",E66="ADM-ACT-MAT-CNE")</f>
        <v/>
      </c>
      <c r="AI66">
        <f>F66&gt;0</f>
        <v/>
      </c>
      <c r="AJ66">
        <f>LEFT('(B) Register of Participants'!$L$44,3)="Yes"</f>
        <v/>
      </c>
      <c r="AK66">
        <f>AND(OR(LEFT('(B) Register of Participants'!$AY$44,3)="Yes",LEFT('(B) Register of Participants'!$AY$44,2)="NA"),OR(LEFT('(B) Register of Participants'!$AZ$44,3)="Yes",LEFT('(B) Register of Participants'!$AZ$44,2)="NA"))</f>
        <v/>
      </c>
      <c r="AL66">
        <f>OR(ISNUMBER(SEARCH("do not pair",'(B) Register of Participants'!$BL$44)),ISNUMBER(SEARCH("do not pair",'(B) Register of Participants'!$BM$44)))</f>
        <v/>
      </c>
      <c r="AM66">
        <f>P66&gt;0</f>
        <v/>
      </c>
      <c r="AN66">
        <f>IF($AS$8="A1",Q66=1,TRUE)</f>
        <v/>
      </c>
      <c r="AO66">
        <f>TRIM(IFERROR(LEFT('(B) Register of Participants'!$AP$44,FIND(";",'(B) Register of Participants'!$AP$44)-1),'(B) Register of Participants'!$AP$44))</f>
        <v/>
      </c>
      <c r="AP66">
        <f>IF(ISNUMBER(FIND(";",'(B) Register of Participants'!$AP$44)),TRIM(MID('(B) Register of Participants'!$AP$44,FIND(";",'(B) Register of Participants'!$AP$44)+1,80)),"")</f>
        <v/>
      </c>
    </row>
    <row r="67">
      <c r="B67" s="20">
        <f>IF(R67="Yes",RANK(AD67,$AD$25:$AD$124),"")</f>
        <v/>
      </c>
      <c r="C67" s="20">
        <f>'(B) Register of Participants'!$A$45</f>
        <v/>
      </c>
      <c r="D67" s="20">
        <f>'(B) Register of Participants'!$B$45</f>
        <v/>
      </c>
      <c r="E67" s="20">
        <f>'(B) Register of Participants'!$J$45</f>
        <v/>
      </c>
      <c r="F67" s="20">
        <f>IFERROR('(B) Register of Participants'!$O$45-'(B) Register of Participants'!$P$45,0)</f>
        <v/>
      </c>
      <c r="G67" s="20">
        <f>'(B) Register of Participants'!$AL$45</f>
        <v/>
      </c>
      <c r="H67" s="20">
        <f>'(B) Register of Participants'!$AP$45</f>
        <v/>
      </c>
      <c r="I67" s="20">
        <f>TRIM(IFERROR(LEFT('(B) Register of Participants'!$AS$45,FIND(" (",'(B) Register of Participants'!$AS$45)-1),'(B) Register of Participants'!$AS$45))</f>
        <v/>
      </c>
      <c r="J67" s="20">
        <f>'(B) Register of Participants'!$AT$45</f>
        <v/>
      </c>
      <c r="K67" s="20">
        <f>'(B) Register of Participants'!$AE$45</f>
        <v/>
      </c>
      <c r="L67" s="20">
        <f>'(B) Register of Participants'!$AF$45</f>
        <v/>
      </c>
      <c r="M67" s="20">
        <f>'(B) Register of Participants'!$AJ$45</f>
        <v/>
      </c>
      <c r="N67" s="20">
        <f>'(B) Register of Participants'!$CY$45</f>
        <v/>
      </c>
      <c r="O67" s="20">
        <f>'(B) Register of Participants'!$CW$45</f>
        <v/>
      </c>
      <c r="P67" s="20">
        <f>(ISNUMBER(SEARCH("6am-9am",$AS$27))*ISNUMBER(SEARCH("6am-9am",'(B) Register of Participants'!$X$45)))+(ISNUMBER(SEARCH("9am-12pm",$AS$27))*ISNUMBER(SEARCH("9am-12pm",'(B) Register of Participants'!$X$45)))+(ISNUMBER(SEARCH("12pm-3pm",$AS$27))*ISNUMBER(SEARCH("12pm-3pm",'(B) Register of Participants'!$X$45)))+(ISNUMBER(SEARCH("3pm-6pm",$AS$27))*ISNUMBER(SEARCH("3pm-6pm",'(B) Register of Participants'!$X$45)))+(ISNUMBER(SEARCH("6pm-9pm",$AS$27))*ISNUMBER(SEARCH("6pm-9pm",'(B) Register of Participants'!$X$45)))+(ISNUMBER(SEARCH("6am-9am",$AS$28))*ISNUMBER(SEARCH("6am-9am",'(B) Register of Participants'!$Y$45)))+(ISNUMBER(SEARCH("9am-12pm",$AS$28))*ISNUMBER(SEARCH("9am-12pm",'(B) Register of Participants'!$Y$45)))+(ISNUMBER(SEARCH("12pm-3pm",$AS$28))*ISNUMBER(SEARCH("12pm-3pm",'(B) Register of Participants'!$Y$45)))+(ISNUMBER(SEARCH("3pm-6pm",$AS$28))*ISNUMBER(SEARCH("3pm-6pm",'(B) Register of Participants'!$Y$45)))+(ISNUMBER(SEARCH("6pm-9pm",$AS$28))*ISNUMBER(SEARCH("6pm-9pm",'(B) Register of Participants'!$Y$45)))+(ISNUMBER(SEARCH("6am-9am",$AS$29))*ISNUMBER(SEARCH("6am-9am",'(B) Register of Participants'!$Z$45)))+(ISNUMBER(SEARCH("9am-12pm",$AS$29))*ISNUMBER(SEARCH("9am-12pm",'(B) Register of Participants'!$Z$45)))+(ISNUMBER(SEARCH("12pm-3pm",$AS$29))*ISNUMBER(SEARCH("12pm-3pm",'(B) Register of Participants'!$Z$45)))+(ISNUMBER(SEARCH("3pm-6pm",$AS$29))*ISNUMBER(SEARCH("3pm-6pm",'(B) Register of Participants'!$Z$45)))+(ISNUMBER(SEARCH("6pm-9pm",$AS$29))*ISNUMBER(SEARCH("6pm-9pm",'(B) Register of Participants'!$Z$45)))+(ISNUMBER(SEARCH("6am-9am",$AS$30))*ISNUMBER(SEARCH("6am-9am",'(B) Register of Participants'!$AA$45)))+(ISNUMBER(SEARCH("9am-12pm",$AS$30))*ISNUMBER(SEARCH("9am-12pm",'(B) Register of Participants'!$AA$45)))+(ISNUMBER(SEARCH("12pm-3pm",$AS$30))*ISNUMBER(SEARCH("12pm-3pm",'(B) Register of Participants'!$AA$45)))+(ISNUMBER(SEARCH("3pm-6pm",$AS$30))*ISNUMBER(SEARCH("3pm-6pm",'(B) Register of Participants'!$AA$45)))+(ISNUMBER(SEARCH("6pm-9pm",$AS$30))*ISNUMBER(SEARCH("6pm-9pm",'(B) Register of Participants'!$AA$45)))+(ISNUMBER(SEARCH("6am-9am",$AS$31))*ISNUMBER(SEARCH("6am-9am",'(B) Register of Participants'!$AB$45)))+(ISNUMBER(SEARCH("9am-12pm",$AS$31))*ISNUMBER(SEARCH("9am-12pm",'(B) Register of Participants'!$AB$45)))+(ISNUMBER(SEARCH("12pm-3pm",$AS$31))*ISNUMBER(SEARCH("12pm-3pm",'(B) Register of Participants'!$AB$45)))+(ISNUMBER(SEARCH("3pm-6pm",$AS$31))*ISNUMBER(SEARCH("3pm-6pm",'(B) Register of Participants'!$AB$45)))+(ISNUMBER(SEARCH("6pm-9pm",$AS$31))*ISNUMBER(SEARCH("6pm-9pm",'(B) Register of Participants'!$AB$45)))+(ISNUMBER(SEARCH("6am-9am",$AS$32))*ISNUMBER(SEARCH("6am-9am",'(B) Register of Participants'!$AC$45)))+(ISNUMBER(SEARCH("9am-12pm",$AS$32))*ISNUMBER(SEARCH("9am-12pm",'(B) Register of Participants'!$AC$45)))+(ISNUMBER(SEARCH("12pm-3pm",$AS$32))*ISNUMBER(SEARCH("12pm-3pm",'(B) Register of Participants'!$AC$45)))+(ISNUMBER(SEARCH("3pm-6pm",$AS$32))*ISNUMBER(SEARCH("3pm-6pm",'(B) Register of Participants'!$AC$45)))+(ISNUMBER(SEARCH("6pm-9pm",$AS$32))*ISNUMBER(SEARCH("6pm-9pm",'(B) Register of Participants'!$AC$45)))+(ISNUMBER(SEARCH("6am-9am",$AS$33))*ISNUMBER(SEARCH("6am-9am",'(B) Register of Participants'!$AD$45)))+(ISNUMBER(SEARCH("9am-12pm",$AS$33))*ISNUMBER(SEARCH("9am-12pm",'(B) Register of Participants'!$AD$45)))+(ISNUMBER(SEARCH("12pm-3pm",$AS$33))*ISNUMBER(SEARCH("12pm-3pm",'(B) Register of Participants'!$AD$45)))+(ISNUMBER(SEARCH("3pm-6pm",$AS$33))*ISNUMBER(SEARCH("3pm-6pm",'(B) Register of Participants'!$AD$45)))+(ISNUMBER(SEARCH("6pm-9pm",$AS$33))*ISNUMBER(SEARCH("6pm-9pm",'(B) Register of Participants'!$AD$45)))</f>
        <v/>
      </c>
      <c r="Q67" s="20">
        <f>IF(OR(AND($AS$17&lt;&gt;"",$AS$17&lt;&gt;"English",IF($AS$17="Persian",OR(ISNUMBER(SEARCH("Dari",'(B) Register of Participants'!$AR$45)),ISNUMBER(SEARCH("Farsi",'(B) Register of Participants'!$AR$45)),ISNUMBER(SEARCH("Persian",'(B) Register of Participants'!$AR$45)),ISNUMBER(SEARCH("Hazaragi",'(B) Register of Participants'!$AR$45))),ISNUMBER(SEARCH($AS$17,'(B) Register of Participants'!$AR$45)))),AND($AS$20&lt;&gt;"",$AS$20&lt;&gt;"English",IF($AS$20="Persian",OR(ISNUMBER(SEARCH("Dari",'(B) Register of Participants'!$AR$45)),ISNUMBER(SEARCH("Farsi",'(B) Register of Participants'!$AR$45)),ISNUMBER(SEARCH("Persian",'(B) Register of Participants'!$AR$45)),ISNUMBER(SEARCH("Hazaragi",'(B) Register of Participants'!$AR$45))),ISNUMBER(SEARCH($AS$20,'(B) Register of Participants'!$AR$45))))),1,0)</f>
        <v/>
      </c>
      <c r="R67" s="20">
        <f>IF(AND(AH67,AI67,NOT(AJ67),NOT($AS$25),AK67,$AS$26,AM67,AN67,NOT(AL67)),"Yes","No")</f>
        <v/>
      </c>
      <c r="S67" s="20">
        <f>IF(OR(COUNTIF('Engine Lists'!$A:$A,$AS$14&amp;"|"&amp;AO67)&gt;0,COUNTIF('Engine Lists'!$A:$A,$AS$14&amp;"|"&amp;AP67)&gt;0,COUNTIF('Engine Lists'!$A:$A,$AS$15&amp;"|"&amp;AO67)&gt;0,COUNTIF('Engine Lists'!$A:$A,$AS$15&amp;"|"&amp;AP67)&gt;0,COUNTIF('Engine Lists'!$A:$A,$AS$21&amp;"|"&amp;I67)&gt;0),-8,0)</f>
        <v/>
      </c>
      <c r="T67" s="20">
        <f>IF(Q67=1,IF(OR($AS$8="A2",$AS$8="B1"),7,IF(OR($AS$8="B2",$AS$8="C1",$AS$8="C2"),-5,0)),0)</f>
        <v/>
      </c>
      <c r="U67" s="20">
        <f>IF(AND($AS$6=G67,OR($AS$6="Male",$AS$6="Female")),5,0)</f>
        <v/>
      </c>
      <c r="V67" s="20">
        <f>IF(AND($AS$24,$AS$11&lt;&gt;"In-Person",K67&lt;&gt;"In-Person"),-5,0)</f>
        <v/>
      </c>
      <c r="W67" s="20">
        <f>IF(OR($AS$11=K67,$AS$11="Either",K67="Either"),3,0)</f>
        <v/>
      </c>
      <c r="X67" s="20">
        <f>IF(AND($AS$11&lt;&gt;"Online",K67&lt;&gt;"Online",ISNUMBER($AS$22),ISNUMBER(IFERROR(VALUE(M67),"x"))),IF(ABS($AS$22-VALUE(M67))&lt;=50,3,0),0)</f>
        <v/>
      </c>
      <c r="Y67" s="20">
        <f>IF(AND($AS$10&lt;&gt;"",$AS$10=J67),3,0)</f>
        <v/>
      </c>
      <c r="Z67" s="20">
        <f>IF(OR(N($AS$13)&gt;=150,N(O67)&gt;=150),3,0)</f>
        <v/>
      </c>
      <c r="AA67" s="20">
        <f>IF(AND($AS$21&lt;&gt;"",$AS$21&lt;&gt;"NA",$AS$21=I67),2,0)</f>
        <v/>
      </c>
      <c r="AB67" s="20">
        <f>IF(OR(AND($AS$14&lt;&gt;"",$AS$14&lt;&gt;"NA",OR($AS$14=AO67,$AS$14=AP67)),AND($AS$15&lt;&gt;"",OR($AS$15=AO67,$AS$15=AP67))),2,0)</f>
        <v/>
      </c>
      <c r="AC67" s="20">
        <f>IF(AND(ISNUMBER($AS$12),ISNUMBER(N67),ABS($AS$12-N67)&lt;=10),2,0)</f>
        <v/>
      </c>
      <c r="AD67" s="20">
        <f>IF(R67="Yes",SUM(S67:AC67),"")</f>
        <v/>
      </c>
      <c r="AE67" s="20">
        <f>IF(R67="Yes","Score "&amp;AD67&amp;": "&amp;TRIM(IF(S67&lt;&gt;0,"−8 acrimonious; ","")&amp;IF(T67=7,"+7 shared language; ","")&amp;IF(T67=-5,"−5 shared lang(adv); ","")&amp;IF(U67=5,"+5 same-sex; ","")&amp;IF(V67=-5,"−5 online no device; ","")&amp;IF(W67=3,"+3 mode; ","")&amp;IF(X67=3,"+3 proximity; ","")&amp;IF(Y67=3,"+3 category; ","")&amp;IF(Z67=3,"+3 long wait; ","")&amp;IF(AA67=2,"+2 religion; ","")&amp;IF(AB67=2,"+2 nationality; ","")&amp;IF(AC67=2,"+2 age; ","")),"Not eligible: "&amp;IF(NOT(AH67),"tutor not pending/with-capacity",IF(NOT(AI67),"no spare capacity",IF(AJ67,"tutor blacklisted",IF($AS$25,"student blacklisted",IF(NOT(AK67),"tutor vetting incomplete",IF(NOT($AS$26),"student vetting incomplete",IF(NOT(AM67),"no overlapping 3h AEST block",IF(NOT(AN67),"A1 student needs a shared language",IF(AL67,"'do not pair' note present",""))))))))))</f>
        <v/>
      </c>
      <c r="AF67">
        <f>TRIM(IFERROR(LEFT('(B) Register of Participants'!$AR$45,FIND(" (",'(B) Register of Participants'!$AR$45)-1),'(B) Register of Participants'!$AR$45))</f>
        <v/>
      </c>
      <c r="AG67">
        <f>IF(ISNUMBER(SEARCH("Mandarin",'(B) Register of Participants'!$AR$45)),"Mandarin",IF(ISNUMBER(SEARCH("Cantonese",'(B) Register of Participants'!$AR$45)),"Cantonese",IF(OR(AF67="Dari",AF67="Farsi",AF67="Persian",AF67="Hazaragi"),"Persian",AF67)))</f>
        <v/>
      </c>
      <c r="AH67">
        <f>OR(E67="ADM-ACT-UNMAT",E67="ADM-ACT-MAT-CNE")</f>
        <v/>
      </c>
      <c r="AI67">
        <f>F67&gt;0</f>
        <v/>
      </c>
      <c r="AJ67">
        <f>LEFT('(B) Register of Participants'!$L$45,3)="Yes"</f>
        <v/>
      </c>
      <c r="AK67">
        <f>AND(OR(LEFT('(B) Register of Participants'!$AY$45,3)="Yes",LEFT('(B) Register of Participants'!$AY$45,2)="NA"),OR(LEFT('(B) Register of Participants'!$AZ$45,3)="Yes",LEFT('(B) Register of Participants'!$AZ$45,2)="NA"))</f>
        <v/>
      </c>
      <c r="AL67">
        <f>OR(ISNUMBER(SEARCH("do not pair",'(B) Register of Participants'!$BL$45)),ISNUMBER(SEARCH("do not pair",'(B) Register of Participants'!$BM$45)))</f>
        <v/>
      </c>
      <c r="AM67">
        <f>P67&gt;0</f>
        <v/>
      </c>
      <c r="AN67">
        <f>IF($AS$8="A1",Q67=1,TRUE)</f>
        <v/>
      </c>
      <c r="AO67">
        <f>TRIM(IFERROR(LEFT('(B) Register of Participants'!$AP$45,FIND(";",'(B) Register of Participants'!$AP$45)-1),'(B) Register of Participants'!$AP$45))</f>
        <v/>
      </c>
      <c r="AP67">
        <f>IF(ISNUMBER(FIND(";",'(B) Register of Participants'!$AP$45)),TRIM(MID('(B) Register of Participants'!$AP$45,FIND(";",'(B) Register of Participants'!$AP$45)+1,80)),"")</f>
        <v/>
      </c>
    </row>
    <row r="68">
      <c r="B68" s="20">
        <f>IF(R68="Yes",RANK(AD68,$AD$25:$AD$124),"")</f>
        <v/>
      </c>
      <c r="C68" s="20">
        <f>'(B) Register of Participants'!$A$46</f>
        <v/>
      </c>
      <c r="D68" s="20">
        <f>'(B) Register of Participants'!$B$46</f>
        <v/>
      </c>
      <c r="E68" s="20">
        <f>'(B) Register of Participants'!$J$46</f>
        <v/>
      </c>
      <c r="F68" s="20">
        <f>IFERROR('(B) Register of Participants'!$O$46-'(B) Register of Participants'!$P$46,0)</f>
        <v/>
      </c>
      <c r="G68" s="20">
        <f>'(B) Register of Participants'!$AL$46</f>
        <v/>
      </c>
      <c r="H68" s="20">
        <f>'(B) Register of Participants'!$AP$46</f>
        <v/>
      </c>
      <c r="I68" s="20">
        <f>TRIM(IFERROR(LEFT('(B) Register of Participants'!$AS$46,FIND(" (",'(B) Register of Participants'!$AS$46)-1),'(B) Register of Participants'!$AS$46))</f>
        <v/>
      </c>
      <c r="J68" s="20">
        <f>'(B) Register of Participants'!$AT$46</f>
        <v/>
      </c>
      <c r="K68" s="20">
        <f>'(B) Register of Participants'!$AE$46</f>
        <v/>
      </c>
      <c r="L68" s="20">
        <f>'(B) Register of Participants'!$AF$46</f>
        <v/>
      </c>
      <c r="M68" s="20">
        <f>'(B) Register of Participants'!$AJ$46</f>
        <v/>
      </c>
      <c r="N68" s="20">
        <f>'(B) Register of Participants'!$CY$46</f>
        <v/>
      </c>
      <c r="O68" s="20">
        <f>'(B) Register of Participants'!$CW$46</f>
        <v/>
      </c>
      <c r="P68" s="20">
        <f>(ISNUMBER(SEARCH("6am-9am",$AS$27))*ISNUMBER(SEARCH("6am-9am",'(B) Register of Participants'!$X$46)))+(ISNUMBER(SEARCH("9am-12pm",$AS$27))*ISNUMBER(SEARCH("9am-12pm",'(B) Register of Participants'!$X$46)))+(ISNUMBER(SEARCH("12pm-3pm",$AS$27))*ISNUMBER(SEARCH("12pm-3pm",'(B) Register of Participants'!$X$46)))+(ISNUMBER(SEARCH("3pm-6pm",$AS$27))*ISNUMBER(SEARCH("3pm-6pm",'(B) Register of Participants'!$X$46)))+(ISNUMBER(SEARCH("6pm-9pm",$AS$27))*ISNUMBER(SEARCH("6pm-9pm",'(B) Register of Participants'!$X$46)))+(ISNUMBER(SEARCH("6am-9am",$AS$28))*ISNUMBER(SEARCH("6am-9am",'(B) Register of Participants'!$Y$46)))+(ISNUMBER(SEARCH("9am-12pm",$AS$28))*ISNUMBER(SEARCH("9am-12pm",'(B) Register of Participants'!$Y$46)))+(ISNUMBER(SEARCH("12pm-3pm",$AS$28))*ISNUMBER(SEARCH("12pm-3pm",'(B) Register of Participants'!$Y$46)))+(ISNUMBER(SEARCH("3pm-6pm",$AS$28))*ISNUMBER(SEARCH("3pm-6pm",'(B) Register of Participants'!$Y$46)))+(ISNUMBER(SEARCH("6pm-9pm",$AS$28))*ISNUMBER(SEARCH("6pm-9pm",'(B) Register of Participants'!$Y$46)))+(ISNUMBER(SEARCH("6am-9am",$AS$29))*ISNUMBER(SEARCH("6am-9am",'(B) Register of Participants'!$Z$46)))+(ISNUMBER(SEARCH("9am-12pm",$AS$29))*ISNUMBER(SEARCH("9am-12pm",'(B) Register of Participants'!$Z$46)))+(ISNUMBER(SEARCH("12pm-3pm",$AS$29))*ISNUMBER(SEARCH("12pm-3pm",'(B) Register of Participants'!$Z$46)))+(ISNUMBER(SEARCH("3pm-6pm",$AS$29))*ISNUMBER(SEARCH("3pm-6pm",'(B) Register of Participants'!$Z$46)))+(ISNUMBER(SEARCH("6pm-9pm",$AS$29))*ISNUMBER(SEARCH("6pm-9pm",'(B) Register of Participants'!$Z$46)))+(ISNUMBER(SEARCH("6am-9am",$AS$30))*ISNUMBER(SEARCH("6am-9am",'(B) Register of Participants'!$AA$46)))+(ISNUMBER(SEARCH("9am-12pm",$AS$30))*ISNUMBER(SEARCH("9am-12pm",'(B) Register of Participants'!$AA$46)))+(ISNUMBER(SEARCH("12pm-3pm",$AS$30))*ISNUMBER(SEARCH("12pm-3pm",'(B) Register of Participants'!$AA$46)))+(ISNUMBER(SEARCH("3pm-6pm",$AS$30))*ISNUMBER(SEARCH("3pm-6pm",'(B) Register of Participants'!$AA$46)))+(ISNUMBER(SEARCH("6pm-9pm",$AS$30))*ISNUMBER(SEARCH("6pm-9pm",'(B) Register of Participants'!$AA$46)))+(ISNUMBER(SEARCH("6am-9am",$AS$31))*ISNUMBER(SEARCH("6am-9am",'(B) Register of Participants'!$AB$46)))+(ISNUMBER(SEARCH("9am-12pm",$AS$31))*ISNUMBER(SEARCH("9am-12pm",'(B) Register of Participants'!$AB$46)))+(ISNUMBER(SEARCH("12pm-3pm",$AS$31))*ISNUMBER(SEARCH("12pm-3pm",'(B) Register of Participants'!$AB$46)))+(ISNUMBER(SEARCH("3pm-6pm",$AS$31))*ISNUMBER(SEARCH("3pm-6pm",'(B) Register of Participants'!$AB$46)))+(ISNUMBER(SEARCH("6pm-9pm",$AS$31))*ISNUMBER(SEARCH("6pm-9pm",'(B) Register of Participants'!$AB$46)))+(ISNUMBER(SEARCH("6am-9am",$AS$32))*ISNUMBER(SEARCH("6am-9am",'(B) Register of Participants'!$AC$46)))+(ISNUMBER(SEARCH("9am-12pm",$AS$32))*ISNUMBER(SEARCH("9am-12pm",'(B) Register of Participants'!$AC$46)))+(ISNUMBER(SEARCH("12pm-3pm",$AS$32))*ISNUMBER(SEARCH("12pm-3pm",'(B) Register of Participants'!$AC$46)))+(ISNUMBER(SEARCH("3pm-6pm",$AS$32))*ISNUMBER(SEARCH("3pm-6pm",'(B) Register of Participants'!$AC$46)))+(ISNUMBER(SEARCH("6pm-9pm",$AS$32))*ISNUMBER(SEARCH("6pm-9pm",'(B) Register of Participants'!$AC$46)))+(ISNUMBER(SEARCH("6am-9am",$AS$33))*ISNUMBER(SEARCH("6am-9am",'(B) Register of Participants'!$AD$46)))+(ISNUMBER(SEARCH("9am-12pm",$AS$33))*ISNUMBER(SEARCH("9am-12pm",'(B) Register of Participants'!$AD$46)))+(ISNUMBER(SEARCH("12pm-3pm",$AS$33))*ISNUMBER(SEARCH("12pm-3pm",'(B) Register of Participants'!$AD$46)))+(ISNUMBER(SEARCH("3pm-6pm",$AS$33))*ISNUMBER(SEARCH("3pm-6pm",'(B) Register of Participants'!$AD$46)))+(ISNUMBER(SEARCH("6pm-9pm",$AS$33))*ISNUMBER(SEARCH("6pm-9pm",'(B) Register of Participants'!$AD$46)))</f>
        <v/>
      </c>
      <c r="Q68" s="20">
        <f>IF(OR(AND($AS$17&lt;&gt;"",$AS$17&lt;&gt;"English",IF($AS$17="Persian",OR(ISNUMBER(SEARCH("Dari",'(B) Register of Participants'!$AR$46)),ISNUMBER(SEARCH("Farsi",'(B) Register of Participants'!$AR$46)),ISNUMBER(SEARCH("Persian",'(B) Register of Participants'!$AR$46)),ISNUMBER(SEARCH("Hazaragi",'(B) Register of Participants'!$AR$46))),ISNUMBER(SEARCH($AS$17,'(B) Register of Participants'!$AR$46)))),AND($AS$20&lt;&gt;"",$AS$20&lt;&gt;"English",IF($AS$20="Persian",OR(ISNUMBER(SEARCH("Dari",'(B) Register of Participants'!$AR$46)),ISNUMBER(SEARCH("Farsi",'(B) Register of Participants'!$AR$46)),ISNUMBER(SEARCH("Persian",'(B) Register of Participants'!$AR$46)),ISNUMBER(SEARCH("Hazaragi",'(B) Register of Participants'!$AR$46))),ISNUMBER(SEARCH($AS$20,'(B) Register of Participants'!$AR$46))))),1,0)</f>
        <v/>
      </c>
      <c r="R68" s="20">
        <f>IF(AND(AH68,AI68,NOT(AJ68),NOT($AS$25),AK68,$AS$26,AM68,AN68,NOT(AL68)),"Yes","No")</f>
        <v/>
      </c>
      <c r="S68" s="20">
        <f>IF(OR(COUNTIF('Engine Lists'!$A:$A,$AS$14&amp;"|"&amp;AO68)&gt;0,COUNTIF('Engine Lists'!$A:$A,$AS$14&amp;"|"&amp;AP68)&gt;0,COUNTIF('Engine Lists'!$A:$A,$AS$15&amp;"|"&amp;AO68)&gt;0,COUNTIF('Engine Lists'!$A:$A,$AS$15&amp;"|"&amp;AP68)&gt;0,COUNTIF('Engine Lists'!$A:$A,$AS$21&amp;"|"&amp;I68)&gt;0),-8,0)</f>
        <v/>
      </c>
      <c r="T68" s="20">
        <f>IF(Q68=1,IF(OR($AS$8="A2",$AS$8="B1"),7,IF(OR($AS$8="B2",$AS$8="C1",$AS$8="C2"),-5,0)),0)</f>
        <v/>
      </c>
      <c r="U68" s="20">
        <f>IF(AND($AS$6=G68,OR($AS$6="Male",$AS$6="Female")),5,0)</f>
        <v/>
      </c>
      <c r="V68" s="20">
        <f>IF(AND($AS$24,$AS$11&lt;&gt;"In-Person",K68&lt;&gt;"In-Person"),-5,0)</f>
        <v/>
      </c>
      <c r="W68" s="20">
        <f>IF(OR($AS$11=K68,$AS$11="Either",K68="Either"),3,0)</f>
        <v/>
      </c>
      <c r="X68" s="20">
        <f>IF(AND($AS$11&lt;&gt;"Online",K68&lt;&gt;"Online",ISNUMBER($AS$22),ISNUMBER(IFERROR(VALUE(M68),"x"))),IF(ABS($AS$22-VALUE(M68))&lt;=50,3,0),0)</f>
        <v/>
      </c>
      <c r="Y68" s="20">
        <f>IF(AND($AS$10&lt;&gt;"",$AS$10=J68),3,0)</f>
        <v/>
      </c>
      <c r="Z68" s="20">
        <f>IF(OR(N($AS$13)&gt;=150,N(O68)&gt;=150),3,0)</f>
        <v/>
      </c>
      <c r="AA68" s="20">
        <f>IF(AND($AS$21&lt;&gt;"",$AS$21&lt;&gt;"NA",$AS$21=I68),2,0)</f>
        <v/>
      </c>
      <c r="AB68" s="20">
        <f>IF(OR(AND($AS$14&lt;&gt;"",$AS$14&lt;&gt;"NA",OR($AS$14=AO68,$AS$14=AP68)),AND($AS$15&lt;&gt;"",OR($AS$15=AO68,$AS$15=AP68))),2,0)</f>
        <v/>
      </c>
      <c r="AC68" s="20">
        <f>IF(AND(ISNUMBER($AS$12),ISNUMBER(N68),ABS($AS$12-N68)&lt;=10),2,0)</f>
        <v/>
      </c>
      <c r="AD68" s="20">
        <f>IF(R68="Yes",SUM(S68:AC68),"")</f>
        <v/>
      </c>
      <c r="AE68" s="20">
        <f>IF(R68="Yes","Score "&amp;AD68&amp;": "&amp;TRIM(IF(S68&lt;&gt;0,"−8 acrimonious; ","")&amp;IF(T68=7,"+7 shared language; ","")&amp;IF(T68=-5,"−5 shared lang(adv); ","")&amp;IF(U68=5,"+5 same-sex; ","")&amp;IF(V68=-5,"−5 online no device; ","")&amp;IF(W68=3,"+3 mode; ","")&amp;IF(X68=3,"+3 proximity; ","")&amp;IF(Y68=3,"+3 category; ","")&amp;IF(Z68=3,"+3 long wait; ","")&amp;IF(AA68=2,"+2 religion; ","")&amp;IF(AB68=2,"+2 nationality; ","")&amp;IF(AC68=2,"+2 age; ","")),"Not eligible: "&amp;IF(NOT(AH68),"tutor not pending/with-capacity",IF(NOT(AI68),"no spare capacity",IF(AJ68,"tutor blacklisted",IF($AS$25,"student blacklisted",IF(NOT(AK68),"tutor vetting incomplete",IF(NOT($AS$26),"student vetting incomplete",IF(NOT(AM68),"no overlapping 3h AEST block",IF(NOT(AN68),"A1 student needs a shared language",IF(AL68,"'do not pair' note present",""))))))))))</f>
        <v/>
      </c>
      <c r="AF68">
        <f>TRIM(IFERROR(LEFT('(B) Register of Participants'!$AR$46,FIND(" (",'(B) Register of Participants'!$AR$46)-1),'(B) Register of Participants'!$AR$46))</f>
        <v/>
      </c>
      <c r="AG68">
        <f>IF(ISNUMBER(SEARCH("Mandarin",'(B) Register of Participants'!$AR$46)),"Mandarin",IF(ISNUMBER(SEARCH("Cantonese",'(B) Register of Participants'!$AR$46)),"Cantonese",IF(OR(AF68="Dari",AF68="Farsi",AF68="Persian",AF68="Hazaragi"),"Persian",AF68)))</f>
        <v/>
      </c>
      <c r="AH68">
        <f>OR(E68="ADM-ACT-UNMAT",E68="ADM-ACT-MAT-CNE")</f>
        <v/>
      </c>
      <c r="AI68">
        <f>F68&gt;0</f>
        <v/>
      </c>
      <c r="AJ68">
        <f>LEFT('(B) Register of Participants'!$L$46,3)="Yes"</f>
        <v/>
      </c>
      <c r="AK68">
        <f>AND(OR(LEFT('(B) Register of Participants'!$AY$46,3)="Yes",LEFT('(B) Register of Participants'!$AY$46,2)="NA"),OR(LEFT('(B) Register of Participants'!$AZ$46,3)="Yes",LEFT('(B) Register of Participants'!$AZ$46,2)="NA"))</f>
        <v/>
      </c>
      <c r="AL68">
        <f>OR(ISNUMBER(SEARCH("do not pair",'(B) Register of Participants'!$BL$46)),ISNUMBER(SEARCH("do not pair",'(B) Register of Participants'!$BM$46)))</f>
        <v/>
      </c>
      <c r="AM68">
        <f>P68&gt;0</f>
        <v/>
      </c>
      <c r="AN68">
        <f>IF($AS$8="A1",Q68=1,TRUE)</f>
        <v/>
      </c>
      <c r="AO68">
        <f>TRIM(IFERROR(LEFT('(B) Register of Participants'!$AP$46,FIND(";",'(B) Register of Participants'!$AP$46)-1),'(B) Register of Participants'!$AP$46))</f>
        <v/>
      </c>
      <c r="AP68">
        <f>IF(ISNUMBER(FIND(";",'(B) Register of Participants'!$AP$46)),TRIM(MID('(B) Register of Participants'!$AP$46,FIND(";",'(B) Register of Participants'!$AP$46)+1,80)),"")</f>
        <v/>
      </c>
    </row>
    <row r="69">
      <c r="B69" s="20">
        <f>IF(R69="Yes",RANK(AD69,$AD$25:$AD$124),"")</f>
        <v/>
      </c>
      <c r="C69" s="20">
        <f>'(B) Register of Participants'!$A$47</f>
        <v/>
      </c>
      <c r="D69" s="20">
        <f>'(B) Register of Participants'!$B$47</f>
        <v/>
      </c>
      <c r="E69" s="20">
        <f>'(B) Register of Participants'!$J$47</f>
        <v/>
      </c>
      <c r="F69" s="20">
        <f>IFERROR('(B) Register of Participants'!$O$47-'(B) Register of Participants'!$P$47,0)</f>
        <v/>
      </c>
      <c r="G69" s="20">
        <f>'(B) Register of Participants'!$AL$47</f>
        <v/>
      </c>
      <c r="H69" s="20">
        <f>'(B) Register of Participants'!$AP$47</f>
        <v/>
      </c>
      <c r="I69" s="20">
        <f>TRIM(IFERROR(LEFT('(B) Register of Participants'!$AS$47,FIND(" (",'(B) Register of Participants'!$AS$47)-1),'(B) Register of Participants'!$AS$47))</f>
        <v/>
      </c>
      <c r="J69" s="20">
        <f>'(B) Register of Participants'!$AT$47</f>
        <v/>
      </c>
      <c r="K69" s="20">
        <f>'(B) Register of Participants'!$AE$47</f>
        <v/>
      </c>
      <c r="L69" s="20">
        <f>'(B) Register of Participants'!$AF$47</f>
        <v/>
      </c>
      <c r="M69" s="20">
        <f>'(B) Register of Participants'!$AJ$47</f>
        <v/>
      </c>
      <c r="N69" s="20">
        <f>'(B) Register of Participants'!$CY$47</f>
        <v/>
      </c>
      <c r="O69" s="20">
        <f>'(B) Register of Participants'!$CW$47</f>
        <v/>
      </c>
      <c r="P69" s="20">
        <f>(ISNUMBER(SEARCH("6am-9am",$AS$27))*ISNUMBER(SEARCH("6am-9am",'(B) Register of Participants'!$X$47)))+(ISNUMBER(SEARCH("9am-12pm",$AS$27))*ISNUMBER(SEARCH("9am-12pm",'(B) Register of Participants'!$X$47)))+(ISNUMBER(SEARCH("12pm-3pm",$AS$27))*ISNUMBER(SEARCH("12pm-3pm",'(B) Register of Participants'!$X$47)))+(ISNUMBER(SEARCH("3pm-6pm",$AS$27))*ISNUMBER(SEARCH("3pm-6pm",'(B) Register of Participants'!$X$47)))+(ISNUMBER(SEARCH("6pm-9pm",$AS$27))*ISNUMBER(SEARCH("6pm-9pm",'(B) Register of Participants'!$X$47)))+(ISNUMBER(SEARCH("6am-9am",$AS$28))*ISNUMBER(SEARCH("6am-9am",'(B) Register of Participants'!$Y$47)))+(ISNUMBER(SEARCH("9am-12pm",$AS$28))*ISNUMBER(SEARCH("9am-12pm",'(B) Register of Participants'!$Y$47)))+(ISNUMBER(SEARCH("12pm-3pm",$AS$28))*ISNUMBER(SEARCH("12pm-3pm",'(B) Register of Participants'!$Y$47)))+(ISNUMBER(SEARCH("3pm-6pm",$AS$28))*ISNUMBER(SEARCH("3pm-6pm",'(B) Register of Participants'!$Y$47)))+(ISNUMBER(SEARCH("6pm-9pm",$AS$28))*ISNUMBER(SEARCH("6pm-9pm",'(B) Register of Participants'!$Y$47)))+(ISNUMBER(SEARCH("6am-9am",$AS$29))*ISNUMBER(SEARCH("6am-9am",'(B) Register of Participants'!$Z$47)))+(ISNUMBER(SEARCH("9am-12pm",$AS$29))*ISNUMBER(SEARCH("9am-12pm",'(B) Register of Participants'!$Z$47)))+(ISNUMBER(SEARCH("12pm-3pm",$AS$29))*ISNUMBER(SEARCH("12pm-3pm",'(B) Register of Participants'!$Z$47)))+(ISNUMBER(SEARCH("3pm-6pm",$AS$29))*ISNUMBER(SEARCH("3pm-6pm",'(B) Register of Participants'!$Z$47)))+(ISNUMBER(SEARCH("6pm-9pm",$AS$29))*ISNUMBER(SEARCH("6pm-9pm",'(B) Register of Participants'!$Z$47)))+(ISNUMBER(SEARCH("6am-9am",$AS$30))*ISNUMBER(SEARCH("6am-9am",'(B) Register of Participants'!$AA$47)))+(ISNUMBER(SEARCH("9am-12pm",$AS$30))*ISNUMBER(SEARCH("9am-12pm",'(B) Register of Participants'!$AA$47)))+(ISNUMBER(SEARCH("12pm-3pm",$AS$30))*ISNUMBER(SEARCH("12pm-3pm",'(B) Register of Participants'!$AA$47)))+(ISNUMBER(SEARCH("3pm-6pm",$AS$30))*ISNUMBER(SEARCH("3pm-6pm",'(B) Register of Participants'!$AA$47)))+(ISNUMBER(SEARCH("6pm-9pm",$AS$30))*ISNUMBER(SEARCH("6pm-9pm",'(B) Register of Participants'!$AA$47)))+(ISNUMBER(SEARCH("6am-9am",$AS$31))*ISNUMBER(SEARCH("6am-9am",'(B) Register of Participants'!$AB$47)))+(ISNUMBER(SEARCH("9am-12pm",$AS$31))*ISNUMBER(SEARCH("9am-12pm",'(B) Register of Participants'!$AB$47)))+(ISNUMBER(SEARCH("12pm-3pm",$AS$31))*ISNUMBER(SEARCH("12pm-3pm",'(B) Register of Participants'!$AB$47)))+(ISNUMBER(SEARCH("3pm-6pm",$AS$31))*ISNUMBER(SEARCH("3pm-6pm",'(B) Register of Participants'!$AB$47)))+(ISNUMBER(SEARCH("6pm-9pm",$AS$31))*ISNUMBER(SEARCH("6pm-9pm",'(B) Register of Participants'!$AB$47)))+(ISNUMBER(SEARCH("6am-9am",$AS$32))*ISNUMBER(SEARCH("6am-9am",'(B) Register of Participants'!$AC$47)))+(ISNUMBER(SEARCH("9am-12pm",$AS$32))*ISNUMBER(SEARCH("9am-12pm",'(B) Register of Participants'!$AC$47)))+(ISNUMBER(SEARCH("12pm-3pm",$AS$32))*ISNUMBER(SEARCH("12pm-3pm",'(B) Register of Participants'!$AC$47)))+(ISNUMBER(SEARCH("3pm-6pm",$AS$32))*ISNUMBER(SEARCH("3pm-6pm",'(B) Register of Participants'!$AC$47)))+(ISNUMBER(SEARCH("6pm-9pm",$AS$32))*ISNUMBER(SEARCH("6pm-9pm",'(B) Register of Participants'!$AC$47)))+(ISNUMBER(SEARCH("6am-9am",$AS$33))*ISNUMBER(SEARCH("6am-9am",'(B) Register of Participants'!$AD$47)))+(ISNUMBER(SEARCH("9am-12pm",$AS$33))*ISNUMBER(SEARCH("9am-12pm",'(B) Register of Participants'!$AD$47)))+(ISNUMBER(SEARCH("12pm-3pm",$AS$33))*ISNUMBER(SEARCH("12pm-3pm",'(B) Register of Participants'!$AD$47)))+(ISNUMBER(SEARCH("3pm-6pm",$AS$33))*ISNUMBER(SEARCH("3pm-6pm",'(B) Register of Participants'!$AD$47)))+(ISNUMBER(SEARCH("6pm-9pm",$AS$33))*ISNUMBER(SEARCH("6pm-9pm",'(B) Register of Participants'!$AD$47)))</f>
        <v/>
      </c>
      <c r="Q69" s="20">
        <f>IF(OR(AND($AS$17&lt;&gt;"",$AS$17&lt;&gt;"English",IF($AS$17="Persian",OR(ISNUMBER(SEARCH("Dari",'(B) Register of Participants'!$AR$47)),ISNUMBER(SEARCH("Farsi",'(B) Register of Participants'!$AR$47)),ISNUMBER(SEARCH("Persian",'(B) Register of Participants'!$AR$47)),ISNUMBER(SEARCH("Hazaragi",'(B) Register of Participants'!$AR$47))),ISNUMBER(SEARCH($AS$17,'(B) Register of Participants'!$AR$47)))),AND($AS$20&lt;&gt;"",$AS$20&lt;&gt;"English",IF($AS$20="Persian",OR(ISNUMBER(SEARCH("Dari",'(B) Register of Participants'!$AR$47)),ISNUMBER(SEARCH("Farsi",'(B) Register of Participants'!$AR$47)),ISNUMBER(SEARCH("Persian",'(B) Register of Participants'!$AR$47)),ISNUMBER(SEARCH("Hazaragi",'(B) Register of Participants'!$AR$47))),ISNUMBER(SEARCH($AS$20,'(B) Register of Participants'!$AR$47))))),1,0)</f>
        <v/>
      </c>
      <c r="R69" s="20">
        <f>IF(AND(AH69,AI69,NOT(AJ69),NOT($AS$25),AK69,$AS$26,AM69,AN69,NOT(AL69)),"Yes","No")</f>
        <v/>
      </c>
      <c r="S69" s="20">
        <f>IF(OR(COUNTIF('Engine Lists'!$A:$A,$AS$14&amp;"|"&amp;AO69)&gt;0,COUNTIF('Engine Lists'!$A:$A,$AS$14&amp;"|"&amp;AP69)&gt;0,COUNTIF('Engine Lists'!$A:$A,$AS$15&amp;"|"&amp;AO69)&gt;0,COUNTIF('Engine Lists'!$A:$A,$AS$15&amp;"|"&amp;AP69)&gt;0,COUNTIF('Engine Lists'!$A:$A,$AS$21&amp;"|"&amp;I69)&gt;0),-8,0)</f>
        <v/>
      </c>
      <c r="T69" s="20">
        <f>IF(Q69=1,IF(OR($AS$8="A2",$AS$8="B1"),7,IF(OR($AS$8="B2",$AS$8="C1",$AS$8="C2"),-5,0)),0)</f>
        <v/>
      </c>
      <c r="U69" s="20">
        <f>IF(AND($AS$6=G69,OR($AS$6="Male",$AS$6="Female")),5,0)</f>
        <v/>
      </c>
      <c r="V69" s="20">
        <f>IF(AND($AS$24,$AS$11&lt;&gt;"In-Person",K69&lt;&gt;"In-Person"),-5,0)</f>
        <v/>
      </c>
      <c r="W69" s="20">
        <f>IF(OR($AS$11=K69,$AS$11="Either",K69="Either"),3,0)</f>
        <v/>
      </c>
      <c r="X69" s="20">
        <f>IF(AND($AS$11&lt;&gt;"Online",K69&lt;&gt;"Online",ISNUMBER($AS$22),ISNUMBER(IFERROR(VALUE(M69),"x"))),IF(ABS($AS$22-VALUE(M69))&lt;=50,3,0),0)</f>
        <v/>
      </c>
      <c r="Y69" s="20">
        <f>IF(AND($AS$10&lt;&gt;"",$AS$10=J69),3,0)</f>
        <v/>
      </c>
      <c r="Z69" s="20">
        <f>IF(OR(N($AS$13)&gt;=150,N(O69)&gt;=150),3,0)</f>
        <v/>
      </c>
      <c r="AA69" s="20">
        <f>IF(AND($AS$21&lt;&gt;"",$AS$21&lt;&gt;"NA",$AS$21=I69),2,0)</f>
        <v/>
      </c>
      <c r="AB69" s="20">
        <f>IF(OR(AND($AS$14&lt;&gt;"",$AS$14&lt;&gt;"NA",OR($AS$14=AO69,$AS$14=AP69)),AND($AS$15&lt;&gt;"",OR($AS$15=AO69,$AS$15=AP69))),2,0)</f>
        <v/>
      </c>
      <c r="AC69" s="20">
        <f>IF(AND(ISNUMBER($AS$12),ISNUMBER(N69),ABS($AS$12-N69)&lt;=10),2,0)</f>
        <v/>
      </c>
      <c r="AD69" s="20">
        <f>IF(R69="Yes",SUM(S69:AC69),"")</f>
        <v/>
      </c>
      <c r="AE69" s="20">
        <f>IF(R69="Yes","Score "&amp;AD69&amp;": "&amp;TRIM(IF(S69&lt;&gt;0,"−8 acrimonious; ","")&amp;IF(T69=7,"+7 shared language; ","")&amp;IF(T69=-5,"−5 shared lang(adv); ","")&amp;IF(U69=5,"+5 same-sex; ","")&amp;IF(V69=-5,"−5 online no device; ","")&amp;IF(W69=3,"+3 mode; ","")&amp;IF(X69=3,"+3 proximity; ","")&amp;IF(Y69=3,"+3 category; ","")&amp;IF(Z69=3,"+3 long wait; ","")&amp;IF(AA69=2,"+2 religion; ","")&amp;IF(AB69=2,"+2 nationality; ","")&amp;IF(AC69=2,"+2 age; ","")),"Not eligible: "&amp;IF(NOT(AH69),"tutor not pending/with-capacity",IF(NOT(AI69),"no spare capacity",IF(AJ69,"tutor blacklisted",IF($AS$25,"student blacklisted",IF(NOT(AK69),"tutor vetting incomplete",IF(NOT($AS$26),"student vetting incomplete",IF(NOT(AM69),"no overlapping 3h AEST block",IF(NOT(AN69),"A1 student needs a shared language",IF(AL69,"'do not pair' note present",""))))))))))</f>
        <v/>
      </c>
      <c r="AF69">
        <f>TRIM(IFERROR(LEFT('(B) Register of Participants'!$AR$47,FIND(" (",'(B) Register of Participants'!$AR$47)-1),'(B) Register of Participants'!$AR$47))</f>
        <v/>
      </c>
      <c r="AG69">
        <f>IF(ISNUMBER(SEARCH("Mandarin",'(B) Register of Participants'!$AR$47)),"Mandarin",IF(ISNUMBER(SEARCH("Cantonese",'(B) Register of Participants'!$AR$47)),"Cantonese",IF(OR(AF69="Dari",AF69="Farsi",AF69="Persian",AF69="Hazaragi"),"Persian",AF69)))</f>
        <v/>
      </c>
      <c r="AH69">
        <f>OR(E69="ADM-ACT-UNMAT",E69="ADM-ACT-MAT-CNE")</f>
        <v/>
      </c>
      <c r="AI69">
        <f>F69&gt;0</f>
        <v/>
      </c>
      <c r="AJ69">
        <f>LEFT('(B) Register of Participants'!$L$47,3)="Yes"</f>
        <v/>
      </c>
      <c r="AK69">
        <f>AND(OR(LEFT('(B) Register of Participants'!$AY$47,3)="Yes",LEFT('(B) Register of Participants'!$AY$47,2)="NA"),OR(LEFT('(B) Register of Participants'!$AZ$47,3)="Yes",LEFT('(B) Register of Participants'!$AZ$47,2)="NA"))</f>
        <v/>
      </c>
      <c r="AL69">
        <f>OR(ISNUMBER(SEARCH("do not pair",'(B) Register of Participants'!$BL$47)),ISNUMBER(SEARCH("do not pair",'(B) Register of Participants'!$BM$47)))</f>
        <v/>
      </c>
      <c r="AM69">
        <f>P69&gt;0</f>
        <v/>
      </c>
      <c r="AN69">
        <f>IF($AS$8="A1",Q69=1,TRUE)</f>
        <v/>
      </c>
      <c r="AO69">
        <f>TRIM(IFERROR(LEFT('(B) Register of Participants'!$AP$47,FIND(";",'(B) Register of Participants'!$AP$47)-1),'(B) Register of Participants'!$AP$47))</f>
        <v/>
      </c>
      <c r="AP69">
        <f>IF(ISNUMBER(FIND(";",'(B) Register of Participants'!$AP$47)),TRIM(MID('(B) Register of Participants'!$AP$47,FIND(";",'(B) Register of Participants'!$AP$47)+1,80)),"")</f>
        <v/>
      </c>
    </row>
    <row r="70">
      <c r="B70" s="20">
        <f>IF(R70="Yes",RANK(AD70,$AD$25:$AD$124),"")</f>
        <v/>
      </c>
      <c r="C70" s="20">
        <f>'(B) Register of Participants'!$A$48</f>
        <v/>
      </c>
      <c r="D70" s="20">
        <f>'(B) Register of Participants'!$B$48</f>
        <v/>
      </c>
      <c r="E70" s="20">
        <f>'(B) Register of Participants'!$J$48</f>
        <v/>
      </c>
      <c r="F70" s="20">
        <f>IFERROR('(B) Register of Participants'!$O$48-'(B) Register of Participants'!$P$48,0)</f>
        <v/>
      </c>
      <c r="G70" s="20">
        <f>'(B) Register of Participants'!$AL$48</f>
        <v/>
      </c>
      <c r="H70" s="20">
        <f>'(B) Register of Participants'!$AP$48</f>
        <v/>
      </c>
      <c r="I70" s="20">
        <f>TRIM(IFERROR(LEFT('(B) Register of Participants'!$AS$48,FIND(" (",'(B) Register of Participants'!$AS$48)-1),'(B) Register of Participants'!$AS$48))</f>
        <v/>
      </c>
      <c r="J70" s="20">
        <f>'(B) Register of Participants'!$AT$48</f>
        <v/>
      </c>
      <c r="K70" s="20">
        <f>'(B) Register of Participants'!$AE$48</f>
        <v/>
      </c>
      <c r="L70" s="20">
        <f>'(B) Register of Participants'!$AF$48</f>
        <v/>
      </c>
      <c r="M70" s="20">
        <f>'(B) Register of Participants'!$AJ$48</f>
        <v/>
      </c>
      <c r="N70" s="20">
        <f>'(B) Register of Participants'!$CY$48</f>
        <v/>
      </c>
      <c r="O70" s="20">
        <f>'(B) Register of Participants'!$CW$48</f>
        <v/>
      </c>
      <c r="P70" s="20">
        <f>(ISNUMBER(SEARCH("6am-9am",$AS$27))*ISNUMBER(SEARCH("6am-9am",'(B) Register of Participants'!$X$48)))+(ISNUMBER(SEARCH("9am-12pm",$AS$27))*ISNUMBER(SEARCH("9am-12pm",'(B) Register of Participants'!$X$48)))+(ISNUMBER(SEARCH("12pm-3pm",$AS$27))*ISNUMBER(SEARCH("12pm-3pm",'(B) Register of Participants'!$X$48)))+(ISNUMBER(SEARCH("3pm-6pm",$AS$27))*ISNUMBER(SEARCH("3pm-6pm",'(B) Register of Participants'!$X$48)))+(ISNUMBER(SEARCH("6pm-9pm",$AS$27))*ISNUMBER(SEARCH("6pm-9pm",'(B) Register of Participants'!$X$48)))+(ISNUMBER(SEARCH("6am-9am",$AS$28))*ISNUMBER(SEARCH("6am-9am",'(B) Register of Participants'!$Y$48)))+(ISNUMBER(SEARCH("9am-12pm",$AS$28))*ISNUMBER(SEARCH("9am-12pm",'(B) Register of Participants'!$Y$48)))+(ISNUMBER(SEARCH("12pm-3pm",$AS$28))*ISNUMBER(SEARCH("12pm-3pm",'(B) Register of Participants'!$Y$48)))+(ISNUMBER(SEARCH("3pm-6pm",$AS$28))*ISNUMBER(SEARCH("3pm-6pm",'(B) Register of Participants'!$Y$48)))+(ISNUMBER(SEARCH("6pm-9pm",$AS$28))*ISNUMBER(SEARCH("6pm-9pm",'(B) Register of Participants'!$Y$48)))+(ISNUMBER(SEARCH("6am-9am",$AS$29))*ISNUMBER(SEARCH("6am-9am",'(B) Register of Participants'!$Z$48)))+(ISNUMBER(SEARCH("9am-12pm",$AS$29))*ISNUMBER(SEARCH("9am-12pm",'(B) Register of Participants'!$Z$48)))+(ISNUMBER(SEARCH("12pm-3pm",$AS$29))*ISNUMBER(SEARCH("12pm-3pm",'(B) Register of Participants'!$Z$48)))+(ISNUMBER(SEARCH("3pm-6pm",$AS$29))*ISNUMBER(SEARCH("3pm-6pm",'(B) Register of Participants'!$Z$48)))+(ISNUMBER(SEARCH("6pm-9pm",$AS$29))*ISNUMBER(SEARCH("6pm-9pm",'(B) Register of Participants'!$Z$48)))+(ISNUMBER(SEARCH("6am-9am",$AS$30))*ISNUMBER(SEARCH("6am-9am",'(B) Register of Participants'!$AA$48)))+(ISNUMBER(SEARCH("9am-12pm",$AS$30))*ISNUMBER(SEARCH("9am-12pm",'(B) Register of Participants'!$AA$48)))+(ISNUMBER(SEARCH("12pm-3pm",$AS$30))*ISNUMBER(SEARCH("12pm-3pm",'(B) Register of Participants'!$AA$48)))+(ISNUMBER(SEARCH("3pm-6pm",$AS$30))*ISNUMBER(SEARCH("3pm-6pm",'(B) Register of Participants'!$AA$48)))+(ISNUMBER(SEARCH("6pm-9pm",$AS$30))*ISNUMBER(SEARCH("6pm-9pm",'(B) Register of Participants'!$AA$48)))+(ISNUMBER(SEARCH("6am-9am",$AS$31))*ISNUMBER(SEARCH("6am-9am",'(B) Register of Participants'!$AB$48)))+(ISNUMBER(SEARCH("9am-12pm",$AS$31))*ISNUMBER(SEARCH("9am-12pm",'(B) Register of Participants'!$AB$48)))+(ISNUMBER(SEARCH("12pm-3pm",$AS$31))*ISNUMBER(SEARCH("12pm-3pm",'(B) Register of Participants'!$AB$48)))+(ISNUMBER(SEARCH("3pm-6pm",$AS$31))*ISNUMBER(SEARCH("3pm-6pm",'(B) Register of Participants'!$AB$48)))+(ISNUMBER(SEARCH("6pm-9pm",$AS$31))*ISNUMBER(SEARCH("6pm-9pm",'(B) Register of Participants'!$AB$48)))+(ISNUMBER(SEARCH("6am-9am",$AS$32))*ISNUMBER(SEARCH("6am-9am",'(B) Register of Participants'!$AC$48)))+(ISNUMBER(SEARCH("9am-12pm",$AS$32))*ISNUMBER(SEARCH("9am-12pm",'(B) Register of Participants'!$AC$48)))+(ISNUMBER(SEARCH("12pm-3pm",$AS$32))*ISNUMBER(SEARCH("12pm-3pm",'(B) Register of Participants'!$AC$48)))+(ISNUMBER(SEARCH("3pm-6pm",$AS$32))*ISNUMBER(SEARCH("3pm-6pm",'(B) Register of Participants'!$AC$48)))+(ISNUMBER(SEARCH("6pm-9pm",$AS$32))*ISNUMBER(SEARCH("6pm-9pm",'(B) Register of Participants'!$AC$48)))+(ISNUMBER(SEARCH("6am-9am",$AS$33))*ISNUMBER(SEARCH("6am-9am",'(B) Register of Participants'!$AD$48)))+(ISNUMBER(SEARCH("9am-12pm",$AS$33))*ISNUMBER(SEARCH("9am-12pm",'(B) Register of Participants'!$AD$48)))+(ISNUMBER(SEARCH("12pm-3pm",$AS$33))*ISNUMBER(SEARCH("12pm-3pm",'(B) Register of Participants'!$AD$48)))+(ISNUMBER(SEARCH("3pm-6pm",$AS$33))*ISNUMBER(SEARCH("3pm-6pm",'(B) Register of Participants'!$AD$48)))+(ISNUMBER(SEARCH("6pm-9pm",$AS$33))*ISNUMBER(SEARCH("6pm-9pm",'(B) Register of Participants'!$AD$48)))</f>
        <v/>
      </c>
      <c r="Q70" s="20">
        <f>IF(OR(AND($AS$17&lt;&gt;"",$AS$17&lt;&gt;"English",IF($AS$17="Persian",OR(ISNUMBER(SEARCH("Dari",'(B) Register of Participants'!$AR$48)),ISNUMBER(SEARCH("Farsi",'(B) Register of Participants'!$AR$48)),ISNUMBER(SEARCH("Persian",'(B) Register of Participants'!$AR$48)),ISNUMBER(SEARCH("Hazaragi",'(B) Register of Participants'!$AR$48))),ISNUMBER(SEARCH($AS$17,'(B) Register of Participants'!$AR$48)))),AND($AS$20&lt;&gt;"",$AS$20&lt;&gt;"English",IF($AS$20="Persian",OR(ISNUMBER(SEARCH("Dari",'(B) Register of Participants'!$AR$48)),ISNUMBER(SEARCH("Farsi",'(B) Register of Participants'!$AR$48)),ISNUMBER(SEARCH("Persian",'(B) Register of Participants'!$AR$48)),ISNUMBER(SEARCH("Hazaragi",'(B) Register of Participants'!$AR$48))),ISNUMBER(SEARCH($AS$20,'(B) Register of Participants'!$AR$48))))),1,0)</f>
        <v/>
      </c>
      <c r="R70" s="20">
        <f>IF(AND(AH70,AI70,NOT(AJ70),NOT($AS$25),AK70,$AS$26,AM70,AN70,NOT(AL70)),"Yes","No")</f>
        <v/>
      </c>
      <c r="S70" s="20">
        <f>IF(OR(COUNTIF('Engine Lists'!$A:$A,$AS$14&amp;"|"&amp;AO70)&gt;0,COUNTIF('Engine Lists'!$A:$A,$AS$14&amp;"|"&amp;AP70)&gt;0,COUNTIF('Engine Lists'!$A:$A,$AS$15&amp;"|"&amp;AO70)&gt;0,COUNTIF('Engine Lists'!$A:$A,$AS$15&amp;"|"&amp;AP70)&gt;0,COUNTIF('Engine Lists'!$A:$A,$AS$21&amp;"|"&amp;I70)&gt;0),-8,0)</f>
        <v/>
      </c>
      <c r="T70" s="20">
        <f>IF(Q70=1,IF(OR($AS$8="A2",$AS$8="B1"),7,IF(OR($AS$8="B2",$AS$8="C1",$AS$8="C2"),-5,0)),0)</f>
        <v/>
      </c>
      <c r="U70" s="20">
        <f>IF(AND($AS$6=G70,OR($AS$6="Male",$AS$6="Female")),5,0)</f>
        <v/>
      </c>
      <c r="V70" s="20">
        <f>IF(AND($AS$24,$AS$11&lt;&gt;"In-Person",K70&lt;&gt;"In-Person"),-5,0)</f>
        <v/>
      </c>
      <c r="W70" s="20">
        <f>IF(OR($AS$11=K70,$AS$11="Either",K70="Either"),3,0)</f>
        <v/>
      </c>
      <c r="X70" s="20">
        <f>IF(AND($AS$11&lt;&gt;"Online",K70&lt;&gt;"Online",ISNUMBER($AS$22),ISNUMBER(IFERROR(VALUE(M70),"x"))),IF(ABS($AS$22-VALUE(M70))&lt;=50,3,0),0)</f>
        <v/>
      </c>
      <c r="Y70" s="20">
        <f>IF(AND($AS$10&lt;&gt;"",$AS$10=J70),3,0)</f>
        <v/>
      </c>
      <c r="Z70" s="20">
        <f>IF(OR(N($AS$13)&gt;=150,N(O70)&gt;=150),3,0)</f>
        <v/>
      </c>
      <c r="AA70" s="20">
        <f>IF(AND($AS$21&lt;&gt;"",$AS$21&lt;&gt;"NA",$AS$21=I70),2,0)</f>
        <v/>
      </c>
      <c r="AB70" s="20">
        <f>IF(OR(AND($AS$14&lt;&gt;"",$AS$14&lt;&gt;"NA",OR($AS$14=AO70,$AS$14=AP70)),AND($AS$15&lt;&gt;"",OR($AS$15=AO70,$AS$15=AP70))),2,0)</f>
        <v/>
      </c>
      <c r="AC70" s="20">
        <f>IF(AND(ISNUMBER($AS$12),ISNUMBER(N70),ABS($AS$12-N70)&lt;=10),2,0)</f>
        <v/>
      </c>
      <c r="AD70" s="20">
        <f>IF(R70="Yes",SUM(S70:AC70),"")</f>
        <v/>
      </c>
      <c r="AE70" s="20">
        <f>IF(R70="Yes","Score "&amp;AD70&amp;": "&amp;TRIM(IF(S70&lt;&gt;0,"−8 acrimonious; ","")&amp;IF(T70=7,"+7 shared language; ","")&amp;IF(T70=-5,"−5 shared lang(adv); ","")&amp;IF(U70=5,"+5 same-sex; ","")&amp;IF(V70=-5,"−5 online no device; ","")&amp;IF(W70=3,"+3 mode; ","")&amp;IF(X70=3,"+3 proximity; ","")&amp;IF(Y70=3,"+3 category; ","")&amp;IF(Z70=3,"+3 long wait; ","")&amp;IF(AA70=2,"+2 religion; ","")&amp;IF(AB70=2,"+2 nationality; ","")&amp;IF(AC70=2,"+2 age; ","")),"Not eligible: "&amp;IF(NOT(AH70),"tutor not pending/with-capacity",IF(NOT(AI70),"no spare capacity",IF(AJ70,"tutor blacklisted",IF($AS$25,"student blacklisted",IF(NOT(AK70),"tutor vetting incomplete",IF(NOT($AS$26),"student vetting incomplete",IF(NOT(AM70),"no overlapping 3h AEST block",IF(NOT(AN70),"A1 student needs a shared language",IF(AL70,"'do not pair' note present",""))))))))))</f>
        <v/>
      </c>
      <c r="AF70">
        <f>TRIM(IFERROR(LEFT('(B) Register of Participants'!$AR$48,FIND(" (",'(B) Register of Participants'!$AR$48)-1),'(B) Register of Participants'!$AR$48))</f>
        <v/>
      </c>
      <c r="AG70">
        <f>IF(ISNUMBER(SEARCH("Mandarin",'(B) Register of Participants'!$AR$48)),"Mandarin",IF(ISNUMBER(SEARCH("Cantonese",'(B) Register of Participants'!$AR$48)),"Cantonese",IF(OR(AF70="Dari",AF70="Farsi",AF70="Persian",AF70="Hazaragi"),"Persian",AF70)))</f>
        <v/>
      </c>
      <c r="AH70">
        <f>OR(E70="ADM-ACT-UNMAT",E70="ADM-ACT-MAT-CNE")</f>
        <v/>
      </c>
      <c r="AI70">
        <f>F70&gt;0</f>
        <v/>
      </c>
      <c r="AJ70">
        <f>LEFT('(B) Register of Participants'!$L$48,3)="Yes"</f>
        <v/>
      </c>
      <c r="AK70">
        <f>AND(OR(LEFT('(B) Register of Participants'!$AY$48,3)="Yes",LEFT('(B) Register of Participants'!$AY$48,2)="NA"),OR(LEFT('(B) Register of Participants'!$AZ$48,3)="Yes",LEFT('(B) Register of Participants'!$AZ$48,2)="NA"))</f>
        <v/>
      </c>
      <c r="AL70">
        <f>OR(ISNUMBER(SEARCH("do not pair",'(B) Register of Participants'!$BL$48)),ISNUMBER(SEARCH("do not pair",'(B) Register of Participants'!$BM$48)))</f>
        <v/>
      </c>
      <c r="AM70">
        <f>P70&gt;0</f>
        <v/>
      </c>
      <c r="AN70">
        <f>IF($AS$8="A1",Q70=1,TRUE)</f>
        <v/>
      </c>
      <c r="AO70">
        <f>TRIM(IFERROR(LEFT('(B) Register of Participants'!$AP$48,FIND(";",'(B) Register of Participants'!$AP$48)-1),'(B) Register of Participants'!$AP$48))</f>
        <v/>
      </c>
      <c r="AP70">
        <f>IF(ISNUMBER(FIND(";",'(B) Register of Participants'!$AP$48)),TRIM(MID('(B) Register of Participants'!$AP$48,FIND(";",'(B) Register of Participants'!$AP$48)+1,80)),"")</f>
        <v/>
      </c>
    </row>
    <row r="71">
      <c r="B71" s="20">
        <f>IF(R71="Yes",RANK(AD71,$AD$25:$AD$124),"")</f>
        <v/>
      </c>
      <c r="C71" s="20">
        <f>'(B) Register of Participants'!$A$49</f>
        <v/>
      </c>
      <c r="D71" s="20">
        <f>'(B) Register of Participants'!$B$49</f>
        <v/>
      </c>
      <c r="E71" s="20">
        <f>'(B) Register of Participants'!$J$49</f>
        <v/>
      </c>
      <c r="F71" s="20">
        <f>IFERROR('(B) Register of Participants'!$O$49-'(B) Register of Participants'!$P$49,0)</f>
        <v/>
      </c>
      <c r="G71" s="20">
        <f>'(B) Register of Participants'!$AL$49</f>
        <v/>
      </c>
      <c r="H71" s="20">
        <f>'(B) Register of Participants'!$AP$49</f>
        <v/>
      </c>
      <c r="I71" s="20">
        <f>TRIM(IFERROR(LEFT('(B) Register of Participants'!$AS$49,FIND(" (",'(B) Register of Participants'!$AS$49)-1),'(B) Register of Participants'!$AS$49))</f>
        <v/>
      </c>
      <c r="J71" s="20">
        <f>'(B) Register of Participants'!$AT$49</f>
        <v/>
      </c>
      <c r="K71" s="20">
        <f>'(B) Register of Participants'!$AE$49</f>
        <v/>
      </c>
      <c r="L71" s="20">
        <f>'(B) Register of Participants'!$AF$49</f>
        <v/>
      </c>
      <c r="M71" s="20">
        <f>'(B) Register of Participants'!$AJ$49</f>
        <v/>
      </c>
      <c r="N71" s="20">
        <f>'(B) Register of Participants'!$CY$49</f>
        <v/>
      </c>
      <c r="O71" s="20">
        <f>'(B) Register of Participants'!$CW$49</f>
        <v/>
      </c>
      <c r="P71" s="20">
        <f>(ISNUMBER(SEARCH("6am-9am",$AS$27))*ISNUMBER(SEARCH("6am-9am",'(B) Register of Participants'!$X$49)))+(ISNUMBER(SEARCH("9am-12pm",$AS$27))*ISNUMBER(SEARCH("9am-12pm",'(B) Register of Participants'!$X$49)))+(ISNUMBER(SEARCH("12pm-3pm",$AS$27))*ISNUMBER(SEARCH("12pm-3pm",'(B) Register of Participants'!$X$49)))+(ISNUMBER(SEARCH("3pm-6pm",$AS$27))*ISNUMBER(SEARCH("3pm-6pm",'(B) Register of Participants'!$X$49)))+(ISNUMBER(SEARCH("6pm-9pm",$AS$27))*ISNUMBER(SEARCH("6pm-9pm",'(B) Register of Participants'!$X$49)))+(ISNUMBER(SEARCH("6am-9am",$AS$28))*ISNUMBER(SEARCH("6am-9am",'(B) Register of Participants'!$Y$49)))+(ISNUMBER(SEARCH("9am-12pm",$AS$28))*ISNUMBER(SEARCH("9am-12pm",'(B) Register of Participants'!$Y$49)))+(ISNUMBER(SEARCH("12pm-3pm",$AS$28))*ISNUMBER(SEARCH("12pm-3pm",'(B) Register of Participants'!$Y$49)))+(ISNUMBER(SEARCH("3pm-6pm",$AS$28))*ISNUMBER(SEARCH("3pm-6pm",'(B) Register of Participants'!$Y$49)))+(ISNUMBER(SEARCH("6pm-9pm",$AS$28))*ISNUMBER(SEARCH("6pm-9pm",'(B) Register of Participants'!$Y$49)))+(ISNUMBER(SEARCH("6am-9am",$AS$29))*ISNUMBER(SEARCH("6am-9am",'(B) Register of Participants'!$Z$49)))+(ISNUMBER(SEARCH("9am-12pm",$AS$29))*ISNUMBER(SEARCH("9am-12pm",'(B) Register of Participants'!$Z$49)))+(ISNUMBER(SEARCH("12pm-3pm",$AS$29))*ISNUMBER(SEARCH("12pm-3pm",'(B) Register of Participants'!$Z$49)))+(ISNUMBER(SEARCH("3pm-6pm",$AS$29))*ISNUMBER(SEARCH("3pm-6pm",'(B) Register of Participants'!$Z$49)))+(ISNUMBER(SEARCH("6pm-9pm",$AS$29))*ISNUMBER(SEARCH("6pm-9pm",'(B) Register of Participants'!$Z$49)))+(ISNUMBER(SEARCH("6am-9am",$AS$30))*ISNUMBER(SEARCH("6am-9am",'(B) Register of Participants'!$AA$49)))+(ISNUMBER(SEARCH("9am-12pm",$AS$30))*ISNUMBER(SEARCH("9am-12pm",'(B) Register of Participants'!$AA$49)))+(ISNUMBER(SEARCH("12pm-3pm",$AS$30))*ISNUMBER(SEARCH("12pm-3pm",'(B) Register of Participants'!$AA$49)))+(ISNUMBER(SEARCH("3pm-6pm",$AS$30))*ISNUMBER(SEARCH("3pm-6pm",'(B) Register of Participants'!$AA$49)))+(ISNUMBER(SEARCH("6pm-9pm",$AS$30))*ISNUMBER(SEARCH("6pm-9pm",'(B) Register of Participants'!$AA$49)))+(ISNUMBER(SEARCH("6am-9am",$AS$31))*ISNUMBER(SEARCH("6am-9am",'(B) Register of Participants'!$AB$49)))+(ISNUMBER(SEARCH("9am-12pm",$AS$31))*ISNUMBER(SEARCH("9am-12pm",'(B) Register of Participants'!$AB$49)))+(ISNUMBER(SEARCH("12pm-3pm",$AS$31))*ISNUMBER(SEARCH("12pm-3pm",'(B) Register of Participants'!$AB$49)))+(ISNUMBER(SEARCH("3pm-6pm",$AS$31))*ISNUMBER(SEARCH("3pm-6pm",'(B) Register of Participants'!$AB$49)))+(ISNUMBER(SEARCH("6pm-9pm",$AS$31))*ISNUMBER(SEARCH("6pm-9pm",'(B) Register of Participants'!$AB$49)))+(ISNUMBER(SEARCH("6am-9am",$AS$32))*ISNUMBER(SEARCH("6am-9am",'(B) Register of Participants'!$AC$49)))+(ISNUMBER(SEARCH("9am-12pm",$AS$32))*ISNUMBER(SEARCH("9am-12pm",'(B) Register of Participants'!$AC$49)))+(ISNUMBER(SEARCH("12pm-3pm",$AS$32))*ISNUMBER(SEARCH("12pm-3pm",'(B) Register of Participants'!$AC$49)))+(ISNUMBER(SEARCH("3pm-6pm",$AS$32))*ISNUMBER(SEARCH("3pm-6pm",'(B) Register of Participants'!$AC$49)))+(ISNUMBER(SEARCH("6pm-9pm",$AS$32))*ISNUMBER(SEARCH("6pm-9pm",'(B) Register of Participants'!$AC$49)))+(ISNUMBER(SEARCH("6am-9am",$AS$33))*ISNUMBER(SEARCH("6am-9am",'(B) Register of Participants'!$AD$49)))+(ISNUMBER(SEARCH("9am-12pm",$AS$33))*ISNUMBER(SEARCH("9am-12pm",'(B) Register of Participants'!$AD$49)))+(ISNUMBER(SEARCH("12pm-3pm",$AS$33))*ISNUMBER(SEARCH("12pm-3pm",'(B) Register of Participants'!$AD$49)))+(ISNUMBER(SEARCH("3pm-6pm",$AS$33))*ISNUMBER(SEARCH("3pm-6pm",'(B) Register of Participants'!$AD$49)))+(ISNUMBER(SEARCH("6pm-9pm",$AS$33))*ISNUMBER(SEARCH("6pm-9pm",'(B) Register of Participants'!$AD$49)))</f>
        <v/>
      </c>
      <c r="Q71" s="20">
        <f>IF(OR(AND($AS$17&lt;&gt;"",$AS$17&lt;&gt;"English",IF($AS$17="Persian",OR(ISNUMBER(SEARCH("Dari",'(B) Register of Participants'!$AR$49)),ISNUMBER(SEARCH("Farsi",'(B) Register of Participants'!$AR$49)),ISNUMBER(SEARCH("Persian",'(B) Register of Participants'!$AR$49)),ISNUMBER(SEARCH("Hazaragi",'(B) Register of Participants'!$AR$49))),ISNUMBER(SEARCH($AS$17,'(B) Register of Participants'!$AR$49)))),AND($AS$20&lt;&gt;"",$AS$20&lt;&gt;"English",IF($AS$20="Persian",OR(ISNUMBER(SEARCH("Dari",'(B) Register of Participants'!$AR$49)),ISNUMBER(SEARCH("Farsi",'(B) Register of Participants'!$AR$49)),ISNUMBER(SEARCH("Persian",'(B) Register of Participants'!$AR$49)),ISNUMBER(SEARCH("Hazaragi",'(B) Register of Participants'!$AR$49))),ISNUMBER(SEARCH($AS$20,'(B) Register of Participants'!$AR$49))))),1,0)</f>
        <v/>
      </c>
      <c r="R71" s="20">
        <f>IF(AND(AH71,AI71,NOT(AJ71),NOT($AS$25),AK71,$AS$26,AM71,AN71,NOT(AL71)),"Yes","No")</f>
        <v/>
      </c>
      <c r="S71" s="20">
        <f>IF(OR(COUNTIF('Engine Lists'!$A:$A,$AS$14&amp;"|"&amp;AO71)&gt;0,COUNTIF('Engine Lists'!$A:$A,$AS$14&amp;"|"&amp;AP71)&gt;0,COUNTIF('Engine Lists'!$A:$A,$AS$15&amp;"|"&amp;AO71)&gt;0,COUNTIF('Engine Lists'!$A:$A,$AS$15&amp;"|"&amp;AP71)&gt;0,COUNTIF('Engine Lists'!$A:$A,$AS$21&amp;"|"&amp;I71)&gt;0),-8,0)</f>
        <v/>
      </c>
      <c r="T71" s="20">
        <f>IF(Q71=1,IF(OR($AS$8="A2",$AS$8="B1"),7,IF(OR($AS$8="B2",$AS$8="C1",$AS$8="C2"),-5,0)),0)</f>
        <v/>
      </c>
      <c r="U71" s="20">
        <f>IF(AND($AS$6=G71,OR($AS$6="Male",$AS$6="Female")),5,0)</f>
        <v/>
      </c>
      <c r="V71" s="20">
        <f>IF(AND($AS$24,$AS$11&lt;&gt;"In-Person",K71&lt;&gt;"In-Person"),-5,0)</f>
        <v/>
      </c>
      <c r="W71" s="20">
        <f>IF(OR($AS$11=K71,$AS$11="Either",K71="Either"),3,0)</f>
        <v/>
      </c>
      <c r="X71" s="20">
        <f>IF(AND($AS$11&lt;&gt;"Online",K71&lt;&gt;"Online",ISNUMBER($AS$22),ISNUMBER(IFERROR(VALUE(M71),"x"))),IF(ABS($AS$22-VALUE(M71))&lt;=50,3,0),0)</f>
        <v/>
      </c>
      <c r="Y71" s="20">
        <f>IF(AND($AS$10&lt;&gt;"",$AS$10=J71),3,0)</f>
        <v/>
      </c>
      <c r="Z71" s="20">
        <f>IF(OR(N($AS$13)&gt;=150,N(O71)&gt;=150),3,0)</f>
        <v/>
      </c>
      <c r="AA71" s="20">
        <f>IF(AND($AS$21&lt;&gt;"",$AS$21&lt;&gt;"NA",$AS$21=I71),2,0)</f>
        <v/>
      </c>
      <c r="AB71" s="20">
        <f>IF(OR(AND($AS$14&lt;&gt;"",$AS$14&lt;&gt;"NA",OR($AS$14=AO71,$AS$14=AP71)),AND($AS$15&lt;&gt;"",OR($AS$15=AO71,$AS$15=AP71))),2,0)</f>
        <v/>
      </c>
      <c r="AC71" s="20">
        <f>IF(AND(ISNUMBER($AS$12),ISNUMBER(N71),ABS($AS$12-N71)&lt;=10),2,0)</f>
        <v/>
      </c>
      <c r="AD71" s="20">
        <f>IF(R71="Yes",SUM(S71:AC71),"")</f>
        <v/>
      </c>
      <c r="AE71" s="20">
        <f>IF(R71="Yes","Score "&amp;AD71&amp;": "&amp;TRIM(IF(S71&lt;&gt;0,"−8 acrimonious; ","")&amp;IF(T71=7,"+7 shared language; ","")&amp;IF(T71=-5,"−5 shared lang(adv); ","")&amp;IF(U71=5,"+5 same-sex; ","")&amp;IF(V71=-5,"−5 online no device; ","")&amp;IF(W71=3,"+3 mode; ","")&amp;IF(X71=3,"+3 proximity; ","")&amp;IF(Y71=3,"+3 category; ","")&amp;IF(Z71=3,"+3 long wait; ","")&amp;IF(AA71=2,"+2 religion; ","")&amp;IF(AB71=2,"+2 nationality; ","")&amp;IF(AC71=2,"+2 age; ","")),"Not eligible: "&amp;IF(NOT(AH71),"tutor not pending/with-capacity",IF(NOT(AI71),"no spare capacity",IF(AJ71,"tutor blacklisted",IF($AS$25,"student blacklisted",IF(NOT(AK71),"tutor vetting incomplete",IF(NOT($AS$26),"student vetting incomplete",IF(NOT(AM71),"no overlapping 3h AEST block",IF(NOT(AN71),"A1 student needs a shared language",IF(AL71,"'do not pair' note present",""))))))))))</f>
        <v/>
      </c>
      <c r="AF71">
        <f>TRIM(IFERROR(LEFT('(B) Register of Participants'!$AR$49,FIND(" (",'(B) Register of Participants'!$AR$49)-1),'(B) Register of Participants'!$AR$49))</f>
        <v/>
      </c>
      <c r="AG71">
        <f>IF(ISNUMBER(SEARCH("Mandarin",'(B) Register of Participants'!$AR$49)),"Mandarin",IF(ISNUMBER(SEARCH("Cantonese",'(B) Register of Participants'!$AR$49)),"Cantonese",IF(OR(AF71="Dari",AF71="Farsi",AF71="Persian",AF71="Hazaragi"),"Persian",AF71)))</f>
        <v/>
      </c>
      <c r="AH71">
        <f>OR(E71="ADM-ACT-UNMAT",E71="ADM-ACT-MAT-CNE")</f>
        <v/>
      </c>
      <c r="AI71">
        <f>F71&gt;0</f>
        <v/>
      </c>
      <c r="AJ71">
        <f>LEFT('(B) Register of Participants'!$L$49,3)="Yes"</f>
        <v/>
      </c>
      <c r="AK71">
        <f>AND(OR(LEFT('(B) Register of Participants'!$AY$49,3)="Yes",LEFT('(B) Register of Participants'!$AY$49,2)="NA"),OR(LEFT('(B) Register of Participants'!$AZ$49,3)="Yes",LEFT('(B) Register of Participants'!$AZ$49,2)="NA"))</f>
        <v/>
      </c>
      <c r="AL71">
        <f>OR(ISNUMBER(SEARCH("do not pair",'(B) Register of Participants'!$BL$49)),ISNUMBER(SEARCH("do not pair",'(B) Register of Participants'!$BM$49)))</f>
        <v/>
      </c>
      <c r="AM71">
        <f>P71&gt;0</f>
        <v/>
      </c>
      <c r="AN71">
        <f>IF($AS$8="A1",Q71=1,TRUE)</f>
        <v/>
      </c>
      <c r="AO71">
        <f>TRIM(IFERROR(LEFT('(B) Register of Participants'!$AP$49,FIND(";",'(B) Register of Participants'!$AP$49)-1),'(B) Register of Participants'!$AP$49))</f>
        <v/>
      </c>
      <c r="AP71">
        <f>IF(ISNUMBER(FIND(";",'(B) Register of Participants'!$AP$49)),TRIM(MID('(B) Register of Participants'!$AP$49,FIND(";",'(B) Register of Participants'!$AP$49)+1,80)),"")</f>
        <v/>
      </c>
    </row>
    <row r="72">
      <c r="B72" s="20">
        <f>IF(R72="Yes",RANK(AD72,$AD$25:$AD$124),"")</f>
        <v/>
      </c>
      <c r="C72" s="20">
        <f>'(B) Register of Participants'!$A$50</f>
        <v/>
      </c>
      <c r="D72" s="20">
        <f>'(B) Register of Participants'!$B$50</f>
        <v/>
      </c>
      <c r="E72" s="20">
        <f>'(B) Register of Participants'!$J$50</f>
        <v/>
      </c>
      <c r="F72" s="20">
        <f>IFERROR('(B) Register of Participants'!$O$50-'(B) Register of Participants'!$P$50,0)</f>
        <v/>
      </c>
      <c r="G72" s="20">
        <f>'(B) Register of Participants'!$AL$50</f>
        <v/>
      </c>
      <c r="H72" s="20">
        <f>'(B) Register of Participants'!$AP$50</f>
        <v/>
      </c>
      <c r="I72" s="20">
        <f>TRIM(IFERROR(LEFT('(B) Register of Participants'!$AS$50,FIND(" (",'(B) Register of Participants'!$AS$50)-1),'(B) Register of Participants'!$AS$50))</f>
        <v/>
      </c>
      <c r="J72" s="20">
        <f>'(B) Register of Participants'!$AT$50</f>
        <v/>
      </c>
      <c r="K72" s="20">
        <f>'(B) Register of Participants'!$AE$50</f>
        <v/>
      </c>
      <c r="L72" s="20">
        <f>'(B) Register of Participants'!$AF$50</f>
        <v/>
      </c>
      <c r="M72" s="20">
        <f>'(B) Register of Participants'!$AJ$50</f>
        <v/>
      </c>
      <c r="N72" s="20">
        <f>'(B) Register of Participants'!$CY$50</f>
        <v/>
      </c>
      <c r="O72" s="20">
        <f>'(B) Register of Participants'!$CW$50</f>
        <v/>
      </c>
      <c r="P72" s="20">
        <f>(ISNUMBER(SEARCH("6am-9am",$AS$27))*ISNUMBER(SEARCH("6am-9am",'(B) Register of Participants'!$X$50)))+(ISNUMBER(SEARCH("9am-12pm",$AS$27))*ISNUMBER(SEARCH("9am-12pm",'(B) Register of Participants'!$X$50)))+(ISNUMBER(SEARCH("12pm-3pm",$AS$27))*ISNUMBER(SEARCH("12pm-3pm",'(B) Register of Participants'!$X$50)))+(ISNUMBER(SEARCH("3pm-6pm",$AS$27))*ISNUMBER(SEARCH("3pm-6pm",'(B) Register of Participants'!$X$50)))+(ISNUMBER(SEARCH("6pm-9pm",$AS$27))*ISNUMBER(SEARCH("6pm-9pm",'(B) Register of Participants'!$X$50)))+(ISNUMBER(SEARCH("6am-9am",$AS$28))*ISNUMBER(SEARCH("6am-9am",'(B) Register of Participants'!$Y$50)))+(ISNUMBER(SEARCH("9am-12pm",$AS$28))*ISNUMBER(SEARCH("9am-12pm",'(B) Register of Participants'!$Y$50)))+(ISNUMBER(SEARCH("12pm-3pm",$AS$28))*ISNUMBER(SEARCH("12pm-3pm",'(B) Register of Participants'!$Y$50)))+(ISNUMBER(SEARCH("3pm-6pm",$AS$28))*ISNUMBER(SEARCH("3pm-6pm",'(B) Register of Participants'!$Y$50)))+(ISNUMBER(SEARCH("6pm-9pm",$AS$28))*ISNUMBER(SEARCH("6pm-9pm",'(B) Register of Participants'!$Y$50)))+(ISNUMBER(SEARCH("6am-9am",$AS$29))*ISNUMBER(SEARCH("6am-9am",'(B) Register of Participants'!$Z$50)))+(ISNUMBER(SEARCH("9am-12pm",$AS$29))*ISNUMBER(SEARCH("9am-12pm",'(B) Register of Participants'!$Z$50)))+(ISNUMBER(SEARCH("12pm-3pm",$AS$29))*ISNUMBER(SEARCH("12pm-3pm",'(B) Register of Participants'!$Z$50)))+(ISNUMBER(SEARCH("3pm-6pm",$AS$29))*ISNUMBER(SEARCH("3pm-6pm",'(B) Register of Participants'!$Z$50)))+(ISNUMBER(SEARCH("6pm-9pm",$AS$29))*ISNUMBER(SEARCH("6pm-9pm",'(B) Register of Participants'!$Z$50)))+(ISNUMBER(SEARCH("6am-9am",$AS$30))*ISNUMBER(SEARCH("6am-9am",'(B) Register of Participants'!$AA$50)))+(ISNUMBER(SEARCH("9am-12pm",$AS$30))*ISNUMBER(SEARCH("9am-12pm",'(B) Register of Participants'!$AA$50)))+(ISNUMBER(SEARCH("12pm-3pm",$AS$30))*ISNUMBER(SEARCH("12pm-3pm",'(B) Register of Participants'!$AA$50)))+(ISNUMBER(SEARCH("3pm-6pm",$AS$30))*ISNUMBER(SEARCH("3pm-6pm",'(B) Register of Participants'!$AA$50)))+(ISNUMBER(SEARCH("6pm-9pm",$AS$30))*ISNUMBER(SEARCH("6pm-9pm",'(B) Register of Participants'!$AA$50)))+(ISNUMBER(SEARCH("6am-9am",$AS$31))*ISNUMBER(SEARCH("6am-9am",'(B) Register of Participants'!$AB$50)))+(ISNUMBER(SEARCH("9am-12pm",$AS$31))*ISNUMBER(SEARCH("9am-12pm",'(B) Register of Participants'!$AB$50)))+(ISNUMBER(SEARCH("12pm-3pm",$AS$31))*ISNUMBER(SEARCH("12pm-3pm",'(B) Register of Participants'!$AB$50)))+(ISNUMBER(SEARCH("3pm-6pm",$AS$31))*ISNUMBER(SEARCH("3pm-6pm",'(B) Register of Participants'!$AB$50)))+(ISNUMBER(SEARCH("6pm-9pm",$AS$31))*ISNUMBER(SEARCH("6pm-9pm",'(B) Register of Participants'!$AB$50)))+(ISNUMBER(SEARCH("6am-9am",$AS$32))*ISNUMBER(SEARCH("6am-9am",'(B) Register of Participants'!$AC$50)))+(ISNUMBER(SEARCH("9am-12pm",$AS$32))*ISNUMBER(SEARCH("9am-12pm",'(B) Register of Participants'!$AC$50)))+(ISNUMBER(SEARCH("12pm-3pm",$AS$32))*ISNUMBER(SEARCH("12pm-3pm",'(B) Register of Participants'!$AC$50)))+(ISNUMBER(SEARCH("3pm-6pm",$AS$32))*ISNUMBER(SEARCH("3pm-6pm",'(B) Register of Participants'!$AC$50)))+(ISNUMBER(SEARCH("6pm-9pm",$AS$32))*ISNUMBER(SEARCH("6pm-9pm",'(B) Register of Participants'!$AC$50)))+(ISNUMBER(SEARCH("6am-9am",$AS$33))*ISNUMBER(SEARCH("6am-9am",'(B) Register of Participants'!$AD$50)))+(ISNUMBER(SEARCH("9am-12pm",$AS$33))*ISNUMBER(SEARCH("9am-12pm",'(B) Register of Participants'!$AD$50)))+(ISNUMBER(SEARCH("12pm-3pm",$AS$33))*ISNUMBER(SEARCH("12pm-3pm",'(B) Register of Participants'!$AD$50)))+(ISNUMBER(SEARCH("3pm-6pm",$AS$33))*ISNUMBER(SEARCH("3pm-6pm",'(B) Register of Participants'!$AD$50)))+(ISNUMBER(SEARCH("6pm-9pm",$AS$33))*ISNUMBER(SEARCH("6pm-9pm",'(B) Register of Participants'!$AD$50)))</f>
        <v/>
      </c>
      <c r="Q72" s="20">
        <f>IF(OR(AND($AS$17&lt;&gt;"",$AS$17&lt;&gt;"English",IF($AS$17="Persian",OR(ISNUMBER(SEARCH("Dari",'(B) Register of Participants'!$AR$50)),ISNUMBER(SEARCH("Farsi",'(B) Register of Participants'!$AR$50)),ISNUMBER(SEARCH("Persian",'(B) Register of Participants'!$AR$50)),ISNUMBER(SEARCH("Hazaragi",'(B) Register of Participants'!$AR$50))),ISNUMBER(SEARCH($AS$17,'(B) Register of Participants'!$AR$50)))),AND($AS$20&lt;&gt;"",$AS$20&lt;&gt;"English",IF($AS$20="Persian",OR(ISNUMBER(SEARCH("Dari",'(B) Register of Participants'!$AR$50)),ISNUMBER(SEARCH("Farsi",'(B) Register of Participants'!$AR$50)),ISNUMBER(SEARCH("Persian",'(B) Register of Participants'!$AR$50)),ISNUMBER(SEARCH("Hazaragi",'(B) Register of Participants'!$AR$50))),ISNUMBER(SEARCH($AS$20,'(B) Register of Participants'!$AR$50))))),1,0)</f>
        <v/>
      </c>
      <c r="R72" s="20">
        <f>IF(AND(AH72,AI72,NOT(AJ72),NOT($AS$25),AK72,$AS$26,AM72,AN72,NOT(AL72)),"Yes","No")</f>
        <v/>
      </c>
      <c r="S72" s="20">
        <f>IF(OR(COUNTIF('Engine Lists'!$A:$A,$AS$14&amp;"|"&amp;AO72)&gt;0,COUNTIF('Engine Lists'!$A:$A,$AS$14&amp;"|"&amp;AP72)&gt;0,COUNTIF('Engine Lists'!$A:$A,$AS$15&amp;"|"&amp;AO72)&gt;0,COUNTIF('Engine Lists'!$A:$A,$AS$15&amp;"|"&amp;AP72)&gt;0,COUNTIF('Engine Lists'!$A:$A,$AS$21&amp;"|"&amp;I72)&gt;0),-8,0)</f>
        <v/>
      </c>
      <c r="T72" s="20">
        <f>IF(Q72=1,IF(OR($AS$8="A2",$AS$8="B1"),7,IF(OR($AS$8="B2",$AS$8="C1",$AS$8="C2"),-5,0)),0)</f>
        <v/>
      </c>
      <c r="U72" s="20">
        <f>IF(AND($AS$6=G72,OR($AS$6="Male",$AS$6="Female")),5,0)</f>
        <v/>
      </c>
      <c r="V72" s="20">
        <f>IF(AND($AS$24,$AS$11&lt;&gt;"In-Person",K72&lt;&gt;"In-Person"),-5,0)</f>
        <v/>
      </c>
      <c r="W72" s="20">
        <f>IF(OR($AS$11=K72,$AS$11="Either",K72="Either"),3,0)</f>
        <v/>
      </c>
      <c r="X72" s="20">
        <f>IF(AND($AS$11&lt;&gt;"Online",K72&lt;&gt;"Online",ISNUMBER($AS$22),ISNUMBER(IFERROR(VALUE(M72),"x"))),IF(ABS($AS$22-VALUE(M72))&lt;=50,3,0),0)</f>
        <v/>
      </c>
      <c r="Y72" s="20">
        <f>IF(AND($AS$10&lt;&gt;"",$AS$10=J72),3,0)</f>
        <v/>
      </c>
      <c r="Z72" s="20">
        <f>IF(OR(N($AS$13)&gt;=150,N(O72)&gt;=150),3,0)</f>
        <v/>
      </c>
      <c r="AA72" s="20">
        <f>IF(AND($AS$21&lt;&gt;"",$AS$21&lt;&gt;"NA",$AS$21=I72),2,0)</f>
        <v/>
      </c>
      <c r="AB72" s="20">
        <f>IF(OR(AND($AS$14&lt;&gt;"",$AS$14&lt;&gt;"NA",OR($AS$14=AO72,$AS$14=AP72)),AND($AS$15&lt;&gt;"",OR($AS$15=AO72,$AS$15=AP72))),2,0)</f>
        <v/>
      </c>
      <c r="AC72" s="20">
        <f>IF(AND(ISNUMBER($AS$12),ISNUMBER(N72),ABS($AS$12-N72)&lt;=10),2,0)</f>
        <v/>
      </c>
      <c r="AD72" s="20">
        <f>IF(R72="Yes",SUM(S72:AC72),"")</f>
        <v/>
      </c>
      <c r="AE72" s="20">
        <f>IF(R72="Yes","Score "&amp;AD72&amp;": "&amp;TRIM(IF(S72&lt;&gt;0,"−8 acrimonious; ","")&amp;IF(T72=7,"+7 shared language; ","")&amp;IF(T72=-5,"−5 shared lang(adv); ","")&amp;IF(U72=5,"+5 same-sex; ","")&amp;IF(V72=-5,"−5 online no device; ","")&amp;IF(W72=3,"+3 mode; ","")&amp;IF(X72=3,"+3 proximity; ","")&amp;IF(Y72=3,"+3 category; ","")&amp;IF(Z72=3,"+3 long wait; ","")&amp;IF(AA72=2,"+2 religion; ","")&amp;IF(AB72=2,"+2 nationality; ","")&amp;IF(AC72=2,"+2 age; ","")),"Not eligible: "&amp;IF(NOT(AH72),"tutor not pending/with-capacity",IF(NOT(AI72),"no spare capacity",IF(AJ72,"tutor blacklisted",IF($AS$25,"student blacklisted",IF(NOT(AK72),"tutor vetting incomplete",IF(NOT($AS$26),"student vetting incomplete",IF(NOT(AM72),"no overlapping 3h AEST block",IF(NOT(AN72),"A1 student needs a shared language",IF(AL72,"'do not pair' note present",""))))))))))</f>
        <v/>
      </c>
      <c r="AF72">
        <f>TRIM(IFERROR(LEFT('(B) Register of Participants'!$AR$50,FIND(" (",'(B) Register of Participants'!$AR$50)-1),'(B) Register of Participants'!$AR$50))</f>
        <v/>
      </c>
      <c r="AG72">
        <f>IF(ISNUMBER(SEARCH("Mandarin",'(B) Register of Participants'!$AR$50)),"Mandarin",IF(ISNUMBER(SEARCH("Cantonese",'(B) Register of Participants'!$AR$50)),"Cantonese",IF(OR(AF72="Dari",AF72="Farsi",AF72="Persian",AF72="Hazaragi"),"Persian",AF72)))</f>
        <v/>
      </c>
      <c r="AH72">
        <f>OR(E72="ADM-ACT-UNMAT",E72="ADM-ACT-MAT-CNE")</f>
        <v/>
      </c>
      <c r="AI72">
        <f>F72&gt;0</f>
        <v/>
      </c>
      <c r="AJ72">
        <f>LEFT('(B) Register of Participants'!$L$50,3)="Yes"</f>
        <v/>
      </c>
      <c r="AK72">
        <f>AND(OR(LEFT('(B) Register of Participants'!$AY$50,3)="Yes",LEFT('(B) Register of Participants'!$AY$50,2)="NA"),OR(LEFT('(B) Register of Participants'!$AZ$50,3)="Yes",LEFT('(B) Register of Participants'!$AZ$50,2)="NA"))</f>
        <v/>
      </c>
      <c r="AL72">
        <f>OR(ISNUMBER(SEARCH("do not pair",'(B) Register of Participants'!$BL$50)),ISNUMBER(SEARCH("do not pair",'(B) Register of Participants'!$BM$50)))</f>
        <v/>
      </c>
      <c r="AM72">
        <f>P72&gt;0</f>
        <v/>
      </c>
      <c r="AN72">
        <f>IF($AS$8="A1",Q72=1,TRUE)</f>
        <v/>
      </c>
      <c r="AO72">
        <f>TRIM(IFERROR(LEFT('(B) Register of Participants'!$AP$50,FIND(";",'(B) Register of Participants'!$AP$50)-1),'(B) Register of Participants'!$AP$50))</f>
        <v/>
      </c>
      <c r="AP72">
        <f>IF(ISNUMBER(FIND(";",'(B) Register of Participants'!$AP$50)),TRIM(MID('(B) Register of Participants'!$AP$50,FIND(";",'(B) Register of Participants'!$AP$50)+1,80)),"")</f>
        <v/>
      </c>
    </row>
    <row r="73">
      <c r="B73" s="20">
        <f>IF(R73="Yes",RANK(AD73,$AD$25:$AD$124),"")</f>
        <v/>
      </c>
      <c r="C73" s="20">
        <f>'(B) Register of Participants'!$A$51</f>
        <v/>
      </c>
      <c r="D73" s="20">
        <f>'(B) Register of Participants'!$B$51</f>
        <v/>
      </c>
      <c r="E73" s="20">
        <f>'(B) Register of Participants'!$J$51</f>
        <v/>
      </c>
      <c r="F73" s="20">
        <f>IFERROR('(B) Register of Participants'!$O$51-'(B) Register of Participants'!$P$51,0)</f>
        <v/>
      </c>
      <c r="G73" s="20">
        <f>'(B) Register of Participants'!$AL$51</f>
        <v/>
      </c>
      <c r="H73" s="20">
        <f>'(B) Register of Participants'!$AP$51</f>
        <v/>
      </c>
      <c r="I73" s="20">
        <f>TRIM(IFERROR(LEFT('(B) Register of Participants'!$AS$51,FIND(" (",'(B) Register of Participants'!$AS$51)-1),'(B) Register of Participants'!$AS$51))</f>
        <v/>
      </c>
      <c r="J73" s="20">
        <f>'(B) Register of Participants'!$AT$51</f>
        <v/>
      </c>
      <c r="K73" s="20">
        <f>'(B) Register of Participants'!$AE$51</f>
        <v/>
      </c>
      <c r="L73" s="20">
        <f>'(B) Register of Participants'!$AF$51</f>
        <v/>
      </c>
      <c r="M73" s="20">
        <f>'(B) Register of Participants'!$AJ$51</f>
        <v/>
      </c>
      <c r="N73" s="20">
        <f>'(B) Register of Participants'!$CY$51</f>
        <v/>
      </c>
      <c r="O73" s="20">
        <f>'(B) Register of Participants'!$CW$51</f>
        <v/>
      </c>
      <c r="P73" s="20">
        <f>(ISNUMBER(SEARCH("6am-9am",$AS$27))*ISNUMBER(SEARCH("6am-9am",'(B) Register of Participants'!$X$51)))+(ISNUMBER(SEARCH("9am-12pm",$AS$27))*ISNUMBER(SEARCH("9am-12pm",'(B) Register of Participants'!$X$51)))+(ISNUMBER(SEARCH("12pm-3pm",$AS$27))*ISNUMBER(SEARCH("12pm-3pm",'(B) Register of Participants'!$X$51)))+(ISNUMBER(SEARCH("3pm-6pm",$AS$27))*ISNUMBER(SEARCH("3pm-6pm",'(B) Register of Participants'!$X$51)))+(ISNUMBER(SEARCH("6pm-9pm",$AS$27))*ISNUMBER(SEARCH("6pm-9pm",'(B) Register of Participants'!$X$51)))+(ISNUMBER(SEARCH("6am-9am",$AS$28))*ISNUMBER(SEARCH("6am-9am",'(B) Register of Participants'!$Y$51)))+(ISNUMBER(SEARCH("9am-12pm",$AS$28))*ISNUMBER(SEARCH("9am-12pm",'(B) Register of Participants'!$Y$51)))+(ISNUMBER(SEARCH("12pm-3pm",$AS$28))*ISNUMBER(SEARCH("12pm-3pm",'(B) Register of Participants'!$Y$51)))+(ISNUMBER(SEARCH("3pm-6pm",$AS$28))*ISNUMBER(SEARCH("3pm-6pm",'(B) Register of Participants'!$Y$51)))+(ISNUMBER(SEARCH("6pm-9pm",$AS$28))*ISNUMBER(SEARCH("6pm-9pm",'(B) Register of Participants'!$Y$51)))+(ISNUMBER(SEARCH("6am-9am",$AS$29))*ISNUMBER(SEARCH("6am-9am",'(B) Register of Participants'!$Z$51)))+(ISNUMBER(SEARCH("9am-12pm",$AS$29))*ISNUMBER(SEARCH("9am-12pm",'(B) Register of Participants'!$Z$51)))+(ISNUMBER(SEARCH("12pm-3pm",$AS$29))*ISNUMBER(SEARCH("12pm-3pm",'(B) Register of Participants'!$Z$51)))+(ISNUMBER(SEARCH("3pm-6pm",$AS$29))*ISNUMBER(SEARCH("3pm-6pm",'(B) Register of Participants'!$Z$51)))+(ISNUMBER(SEARCH("6pm-9pm",$AS$29))*ISNUMBER(SEARCH("6pm-9pm",'(B) Register of Participants'!$Z$51)))+(ISNUMBER(SEARCH("6am-9am",$AS$30))*ISNUMBER(SEARCH("6am-9am",'(B) Register of Participants'!$AA$51)))+(ISNUMBER(SEARCH("9am-12pm",$AS$30))*ISNUMBER(SEARCH("9am-12pm",'(B) Register of Participants'!$AA$51)))+(ISNUMBER(SEARCH("12pm-3pm",$AS$30))*ISNUMBER(SEARCH("12pm-3pm",'(B) Register of Participants'!$AA$51)))+(ISNUMBER(SEARCH("3pm-6pm",$AS$30))*ISNUMBER(SEARCH("3pm-6pm",'(B) Register of Participants'!$AA$51)))+(ISNUMBER(SEARCH("6pm-9pm",$AS$30))*ISNUMBER(SEARCH("6pm-9pm",'(B) Register of Participants'!$AA$51)))+(ISNUMBER(SEARCH("6am-9am",$AS$31))*ISNUMBER(SEARCH("6am-9am",'(B) Register of Participants'!$AB$51)))+(ISNUMBER(SEARCH("9am-12pm",$AS$31))*ISNUMBER(SEARCH("9am-12pm",'(B) Register of Participants'!$AB$51)))+(ISNUMBER(SEARCH("12pm-3pm",$AS$31))*ISNUMBER(SEARCH("12pm-3pm",'(B) Register of Participants'!$AB$51)))+(ISNUMBER(SEARCH("3pm-6pm",$AS$31))*ISNUMBER(SEARCH("3pm-6pm",'(B) Register of Participants'!$AB$51)))+(ISNUMBER(SEARCH("6pm-9pm",$AS$31))*ISNUMBER(SEARCH("6pm-9pm",'(B) Register of Participants'!$AB$51)))+(ISNUMBER(SEARCH("6am-9am",$AS$32))*ISNUMBER(SEARCH("6am-9am",'(B) Register of Participants'!$AC$51)))+(ISNUMBER(SEARCH("9am-12pm",$AS$32))*ISNUMBER(SEARCH("9am-12pm",'(B) Register of Participants'!$AC$51)))+(ISNUMBER(SEARCH("12pm-3pm",$AS$32))*ISNUMBER(SEARCH("12pm-3pm",'(B) Register of Participants'!$AC$51)))+(ISNUMBER(SEARCH("3pm-6pm",$AS$32))*ISNUMBER(SEARCH("3pm-6pm",'(B) Register of Participants'!$AC$51)))+(ISNUMBER(SEARCH("6pm-9pm",$AS$32))*ISNUMBER(SEARCH("6pm-9pm",'(B) Register of Participants'!$AC$51)))+(ISNUMBER(SEARCH("6am-9am",$AS$33))*ISNUMBER(SEARCH("6am-9am",'(B) Register of Participants'!$AD$51)))+(ISNUMBER(SEARCH("9am-12pm",$AS$33))*ISNUMBER(SEARCH("9am-12pm",'(B) Register of Participants'!$AD$51)))+(ISNUMBER(SEARCH("12pm-3pm",$AS$33))*ISNUMBER(SEARCH("12pm-3pm",'(B) Register of Participants'!$AD$51)))+(ISNUMBER(SEARCH("3pm-6pm",$AS$33))*ISNUMBER(SEARCH("3pm-6pm",'(B) Register of Participants'!$AD$51)))+(ISNUMBER(SEARCH("6pm-9pm",$AS$33))*ISNUMBER(SEARCH("6pm-9pm",'(B) Register of Participants'!$AD$51)))</f>
        <v/>
      </c>
      <c r="Q73" s="20">
        <f>IF(OR(AND($AS$17&lt;&gt;"",$AS$17&lt;&gt;"English",IF($AS$17="Persian",OR(ISNUMBER(SEARCH("Dari",'(B) Register of Participants'!$AR$51)),ISNUMBER(SEARCH("Farsi",'(B) Register of Participants'!$AR$51)),ISNUMBER(SEARCH("Persian",'(B) Register of Participants'!$AR$51)),ISNUMBER(SEARCH("Hazaragi",'(B) Register of Participants'!$AR$51))),ISNUMBER(SEARCH($AS$17,'(B) Register of Participants'!$AR$51)))),AND($AS$20&lt;&gt;"",$AS$20&lt;&gt;"English",IF($AS$20="Persian",OR(ISNUMBER(SEARCH("Dari",'(B) Register of Participants'!$AR$51)),ISNUMBER(SEARCH("Farsi",'(B) Register of Participants'!$AR$51)),ISNUMBER(SEARCH("Persian",'(B) Register of Participants'!$AR$51)),ISNUMBER(SEARCH("Hazaragi",'(B) Register of Participants'!$AR$51))),ISNUMBER(SEARCH($AS$20,'(B) Register of Participants'!$AR$51))))),1,0)</f>
        <v/>
      </c>
      <c r="R73" s="20">
        <f>IF(AND(AH73,AI73,NOT(AJ73),NOT($AS$25),AK73,$AS$26,AM73,AN73,NOT(AL73)),"Yes","No")</f>
        <v/>
      </c>
      <c r="S73" s="20">
        <f>IF(OR(COUNTIF('Engine Lists'!$A:$A,$AS$14&amp;"|"&amp;AO73)&gt;0,COUNTIF('Engine Lists'!$A:$A,$AS$14&amp;"|"&amp;AP73)&gt;0,COUNTIF('Engine Lists'!$A:$A,$AS$15&amp;"|"&amp;AO73)&gt;0,COUNTIF('Engine Lists'!$A:$A,$AS$15&amp;"|"&amp;AP73)&gt;0,COUNTIF('Engine Lists'!$A:$A,$AS$21&amp;"|"&amp;I73)&gt;0),-8,0)</f>
        <v/>
      </c>
      <c r="T73" s="20">
        <f>IF(Q73=1,IF(OR($AS$8="A2",$AS$8="B1"),7,IF(OR($AS$8="B2",$AS$8="C1",$AS$8="C2"),-5,0)),0)</f>
        <v/>
      </c>
      <c r="U73" s="20">
        <f>IF(AND($AS$6=G73,OR($AS$6="Male",$AS$6="Female")),5,0)</f>
        <v/>
      </c>
      <c r="V73" s="20">
        <f>IF(AND($AS$24,$AS$11&lt;&gt;"In-Person",K73&lt;&gt;"In-Person"),-5,0)</f>
        <v/>
      </c>
      <c r="W73" s="20">
        <f>IF(OR($AS$11=K73,$AS$11="Either",K73="Either"),3,0)</f>
        <v/>
      </c>
      <c r="X73" s="20">
        <f>IF(AND($AS$11&lt;&gt;"Online",K73&lt;&gt;"Online",ISNUMBER($AS$22),ISNUMBER(IFERROR(VALUE(M73),"x"))),IF(ABS($AS$22-VALUE(M73))&lt;=50,3,0),0)</f>
        <v/>
      </c>
      <c r="Y73" s="20">
        <f>IF(AND($AS$10&lt;&gt;"",$AS$10=J73),3,0)</f>
        <v/>
      </c>
      <c r="Z73" s="20">
        <f>IF(OR(N($AS$13)&gt;=150,N(O73)&gt;=150),3,0)</f>
        <v/>
      </c>
      <c r="AA73" s="20">
        <f>IF(AND($AS$21&lt;&gt;"",$AS$21&lt;&gt;"NA",$AS$21=I73),2,0)</f>
        <v/>
      </c>
      <c r="AB73" s="20">
        <f>IF(OR(AND($AS$14&lt;&gt;"",$AS$14&lt;&gt;"NA",OR($AS$14=AO73,$AS$14=AP73)),AND($AS$15&lt;&gt;"",OR($AS$15=AO73,$AS$15=AP73))),2,0)</f>
        <v/>
      </c>
      <c r="AC73" s="20">
        <f>IF(AND(ISNUMBER($AS$12),ISNUMBER(N73),ABS($AS$12-N73)&lt;=10),2,0)</f>
        <v/>
      </c>
      <c r="AD73" s="20">
        <f>IF(R73="Yes",SUM(S73:AC73),"")</f>
        <v/>
      </c>
      <c r="AE73" s="20">
        <f>IF(R73="Yes","Score "&amp;AD73&amp;": "&amp;TRIM(IF(S73&lt;&gt;0,"−8 acrimonious; ","")&amp;IF(T73=7,"+7 shared language; ","")&amp;IF(T73=-5,"−5 shared lang(adv); ","")&amp;IF(U73=5,"+5 same-sex; ","")&amp;IF(V73=-5,"−5 online no device; ","")&amp;IF(W73=3,"+3 mode; ","")&amp;IF(X73=3,"+3 proximity; ","")&amp;IF(Y73=3,"+3 category; ","")&amp;IF(Z73=3,"+3 long wait; ","")&amp;IF(AA73=2,"+2 religion; ","")&amp;IF(AB73=2,"+2 nationality; ","")&amp;IF(AC73=2,"+2 age; ","")),"Not eligible: "&amp;IF(NOT(AH73),"tutor not pending/with-capacity",IF(NOT(AI73),"no spare capacity",IF(AJ73,"tutor blacklisted",IF($AS$25,"student blacklisted",IF(NOT(AK73),"tutor vetting incomplete",IF(NOT($AS$26),"student vetting incomplete",IF(NOT(AM73),"no overlapping 3h AEST block",IF(NOT(AN73),"A1 student needs a shared language",IF(AL73,"'do not pair' note present",""))))))))))</f>
        <v/>
      </c>
      <c r="AF73">
        <f>TRIM(IFERROR(LEFT('(B) Register of Participants'!$AR$51,FIND(" (",'(B) Register of Participants'!$AR$51)-1),'(B) Register of Participants'!$AR$51))</f>
        <v/>
      </c>
      <c r="AG73">
        <f>IF(ISNUMBER(SEARCH("Mandarin",'(B) Register of Participants'!$AR$51)),"Mandarin",IF(ISNUMBER(SEARCH("Cantonese",'(B) Register of Participants'!$AR$51)),"Cantonese",IF(OR(AF73="Dari",AF73="Farsi",AF73="Persian",AF73="Hazaragi"),"Persian",AF73)))</f>
        <v/>
      </c>
      <c r="AH73">
        <f>OR(E73="ADM-ACT-UNMAT",E73="ADM-ACT-MAT-CNE")</f>
        <v/>
      </c>
      <c r="AI73">
        <f>F73&gt;0</f>
        <v/>
      </c>
      <c r="AJ73">
        <f>LEFT('(B) Register of Participants'!$L$51,3)="Yes"</f>
        <v/>
      </c>
      <c r="AK73">
        <f>AND(OR(LEFT('(B) Register of Participants'!$AY$51,3)="Yes",LEFT('(B) Register of Participants'!$AY$51,2)="NA"),OR(LEFT('(B) Register of Participants'!$AZ$51,3)="Yes",LEFT('(B) Register of Participants'!$AZ$51,2)="NA"))</f>
        <v/>
      </c>
      <c r="AL73">
        <f>OR(ISNUMBER(SEARCH("do not pair",'(B) Register of Participants'!$BL$51)),ISNUMBER(SEARCH("do not pair",'(B) Register of Participants'!$BM$51)))</f>
        <v/>
      </c>
      <c r="AM73">
        <f>P73&gt;0</f>
        <v/>
      </c>
      <c r="AN73">
        <f>IF($AS$8="A1",Q73=1,TRUE)</f>
        <v/>
      </c>
      <c r="AO73">
        <f>TRIM(IFERROR(LEFT('(B) Register of Participants'!$AP$51,FIND(";",'(B) Register of Participants'!$AP$51)-1),'(B) Register of Participants'!$AP$51))</f>
        <v/>
      </c>
      <c r="AP73">
        <f>IF(ISNUMBER(FIND(";",'(B) Register of Participants'!$AP$51)),TRIM(MID('(B) Register of Participants'!$AP$51,FIND(";",'(B) Register of Participants'!$AP$51)+1,80)),"")</f>
        <v/>
      </c>
    </row>
    <row r="74">
      <c r="B74" s="20">
        <f>IF(R74="Yes",RANK(AD74,$AD$25:$AD$124),"")</f>
        <v/>
      </c>
      <c r="C74" s="20">
        <f>'(B) Register of Participants'!$A$52</f>
        <v/>
      </c>
      <c r="D74" s="20">
        <f>'(B) Register of Participants'!$B$52</f>
        <v/>
      </c>
      <c r="E74" s="20">
        <f>'(B) Register of Participants'!$J$52</f>
        <v/>
      </c>
      <c r="F74" s="20">
        <f>IFERROR('(B) Register of Participants'!$O$52-'(B) Register of Participants'!$P$52,0)</f>
        <v/>
      </c>
      <c r="G74" s="20">
        <f>'(B) Register of Participants'!$AL$52</f>
        <v/>
      </c>
      <c r="H74" s="20">
        <f>'(B) Register of Participants'!$AP$52</f>
        <v/>
      </c>
      <c r="I74" s="20">
        <f>TRIM(IFERROR(LEFT('(B) Register of Participants'!$AS$52,FIND(" (",'(B) Register of Participants'!$AS$52)-1),'(B) Register of Participants'!$AS$52))</f>
        <v/>
      </c>
      <c r="J74" s="20">
        <f>'(B) Register of Participants'!$AT$52</f>
        <v/>
      </c>
      <c r="K74" s="20">
        <f>'(B) Register of Participants'!$AE$52</f>
        <v/>
      </c>
      <c r="L74" s="20">
        <f>'(B) Register of Participants'!$AF$52</f>
        <v/>
      </c>
      <c r="M74" s="20">
        <f>'(B) Register of Participants'!$AJ$52</f>
        <v/>
      </c>
      <c r="N74" s="20">
        <f>'(B) Register of Participants'!$CY$52</f>
        <v/>
      </c>
      <c r="O74" s="20">
        <f>'(B) Register of Participants'!$CW$52</f>
        <v/>
      </c>
      <c r="P74" s="20">
        <f>(ISNUMBER(SEARCH("6am-9am",$AS$27))*ISNUMBER(SEARCH("6am-9am",'(B) Register of Participants'!$X$52)))+(ISNUMBER(SEARCH("9am-12pm",$AS$27))*ISNUMBER(SEARCH("9am-12pm",'(B) Register of Participants'!$X$52)))+(ISNUMBER(SEARCH("12pm-3pm",$AS$27))*ISNUMBER(SEARCH("12pm-3pm",'(B) Register of Participants'!$X$52)))+(ISNUMBER(SEARCH("3pm-6pm",$AS$27))*ISNUMBER(SEARCH("3pm-6pm",'(B) Register of Participants'!$X$52)))+(ISNUMBER(SEARCH("6pm-9pm",$AS$27))*ISNUMBER(SEARCH("6pm-9pm",'(B) Register of Participants'!$X$52)))+(ISNUMBER(SEARCH("6am-9am",$AS$28))*ISNUMBER(SEARCH("6am-9am",'(B) Register of Participants'!$Y$52)))+(ISNUMBER(SEARCH("9am-12pm",$AS$28))*ISNUMBER(SEARCH("9am-12pm",'(B) Register of Participants'!$Y$52)))+(ISNUMBER(SEARCH("12pm-3pm",$AS$28))*ISNUMBER(SEARCH("12pm-3pm",'(B) Register of Participants'!$Y$52)))+(ISNUMBER(SEARCH("3pm-6pm",$AS$28))*ISNUMBER(SEARCH("3pm-6pm",'(B) Register of Participants'!$Y$52)))+(ISNUMBER(SEARCH("6pm-9pm",$AS$28))*ISNUMBER(SEARCH("6pm-9pm",'(B) Register of Participants'!$Y$52)))+(ISNUMBER(SEARCH("6am-9am",$AS$29))*ISNUMBER(SEARCH("6am-9am",'(B) Register of Participants'!$Z$52)))+(ISNUMBER(SEARCH("9am-12pm",$AS$29))*ISNUMBER(SEARCH("9am-12pm",'(B) Register of Participants'!$Z$52)))+(ISNUMBER(SEARCH("12pm-3pm",$AS$29))*ISNUMBER(SEARCH("12pm-3pm",'(B) Register of Participants'!$Z$52)))+(ISNUMBER(SEARCH("3pm-6pm",$AS$29))*ISNUMBER(SEARCH("3pm-6pm",'(B) Register of Participants'!$Z$52)))+(ISNUMBER(SEARCH("6pm-9pm",$AS$29))*ISNUMBER(SEARCH("6pm-9pm",'(B) Register of Participants'!$Z$52)))+(ISNUMBER(SEARCH("6am-9am",$AS$30))*ISNUMBER(SEARCH("6am-9am",'(B) Register of Participants'!$AA$52)))+(ISNUMBER(SEARCH("9am-12pm",$AS$30))*ISNUMBER(SEARCH("9am-12pm",'(B) Register of Participants'!$AA$52)))+(ISNUMBER(SEARCH("12pm-3pm",$AS$30))*ISNUMBER(SEARCH("12pm-3pm",'(B) Register of Participants'!$AA$52)))+(ISNUMBER(SEARCH("3pm-6pm",$AS$30))*ISNUMBER(SEARCH("3pm-6pm",'(B) Register of Participants'!$AA$52)))+(ISNUMBER(SEARCH("6pm-9pm",$AS$30))*ISNUMBER(SEARCH("6pm-9pm",'(B) Register of Participants'!$AA$52)))+(ISNUMBER(SEARCH("6am-9am",$AS$31))*ISNUMBER(SEARCH("6am-9am",'(B) Register of Participants'!$AB$52)))+(ISNUMBER(SEARCH("9am-12pm",$AS$31))*ISNUMBER(SEARCH("9am-12pm",'(B) Register of Participants'!$AB$52)))+(ISNUMBER(SEARCH("12pm-3pm",$AS$31))*ISNUMBER(SEARCH("12pm-3pm",'(B) Register of Participants'!$AB$52)))+(ISNUMBER(SEARCH("3pm-6pm",$AS$31))*ISNUMBER(SEARCH("3pm-6pm",'(B) Register of Participants'!$AB$52)))+(ISNUMBER(SEARCH("6pm-9pm",$AS$31))*ISNUMBER(SEARCH("6pm-9pm",'(B) Register of Participants'!$AB$52)))+(ISNUMBER(SEARCH("6am-9am",$AS$32))*ISNUMBER(SEARCH("6am-9am",'(B) Register of Participants'!$AC$52)))+(ISNUMBER(SEARCH("9am-12pm",$AS$32))*ISNUMBER(SEARCH("9am-12pm",'(B) Register of Participants'!$AC$52)))+(ISNUMBER(SEARCH("12pm-3pm",$AS$32))*ISNUMBER(SEARCH("12pm-3pm",'(B) Register of Participants'!$AC$52)))+(ISNUMBER(SEARCH("3pm-6pm",$AS$32))*ISNUMBER(SEARCH("3pm-6pm",'(B) Register of Participants'!$AC$52)))+(ISNUMBER(SEARCH("6pm-9pm",$AS$32))*ISNUMBER(SEARCH("6pm-9pm",'(B) Register of Participants'!$AC$52)))+(ISNUMBER(SEARCH("6am-9am",$AS$33))*ISNUMBER(SEARCH("6am-9am",'(B) Register of Participants'!$AD$52)))+(ISNUMBER(SEARCH("9am-12pm",$AS$33))*ISNUMBER(SEARCH("9am-12pm",'(B) Register of Participants'!$AD$52)))+(ISNUMBER(SEARCH("12pm-3pm",$AS$33))*ISNUMBER(SEARCH("12pm-3pm",'(B) Register of Participants'!$AD$52)))+(ISNUMBER(SEARCH("3pm-6pm",$AS$33))*ISNUMBER(SEARCH("3pm-6pm",'(B) Register of Participants'!$AD$52)))+(ISNUMBER(SEARCH("6pm-9pm",$AS$33))*ISNUMBER(SEARCH("6pm-9pm",'(B) Register of Participants'!$AD$52)))</f>
        <v/>
      </c>
      <c r="Q74" s="20">
        <f>IF(OR(AND($AS$17&lt;&gt;"",$AS$17&lt;&gt;"English",IF($AS$17="Persian",OR(ISNUMBER(SEARCH("Dari",'(B) Register of Participants'!$AR$52)),ISNUMBER(SEARCH("Farsi",'(B) Register of Participants'!$AR$52)),ISNUMBER(SEARCH("Persian",'(B) Register of Participants'!$AR$52)),ISNUMBER(SEARCH("Hazaragi",'(B) Register of Participants'!$AR$52))),ISNUMBER(SEARCH($AS$17,'(B) Register of Participants'!$AR$52)))),AND($AS$20&lt;&gt;"",$AS$20&lt;&gt;"English",IF($AS$20="Persian",OR(ISNUMBER(SEARCH("Dari",'(B) Register of Participants'!$AR$52)),ISNUMBER(SEARCH("Farsi",'(B) Register of Participants'!$AR$52)),ISNUMBER(SEARCH("Persian",'(B) Register of Participants'!$AR$52)),ISNUMBER(SEARCH("Hazaragi",'(B) Register of Participants'!$AR$52))),ISNUMBER(SEARCH($AS$20,'(B) Register of Participants'!$AR$52))))),1,0)</f>
        <v/>
      </c>
      <c r="R74" s="20">
        <f>IF(AND(AH74,AI74,NOT(AJ74),NOT($AS$25),AK74,$AS$26,AM74,AN74,NOT(AL74)),"Yes","No")</f>
        <v/>
      </c>
      <c r="S74" s="20">
        <f>IF(OR(COUNTIF('Engine Lists'!$A:$A,$AS$14&amp;"|"&amp;AO74)&gt;0,COUNTIF('Engine Lists'!$A:$A,$AS$14&amp;"|"&amp;AP74)&gt;0,COUNTIF('Engine Lists'!$A:$A,$AS$15&amp;"|"&amp;AO74)&gt;0,COUNTIF('Engine Lists'!$A:$A,$AS$15&amp;"|"&amp;AP74)&gt;0,COUNTIF('Engine Lists'!$A:$A,$AS$21&amp;"|"&amp;I74)&gt;0),-8,0)</f>
        <v/>
      </c>
      <c r="T74" s="20">
        <f>IF(Q74=1,IF(OR($AS$8="A2",$AS$8="B1"),7,IF(OR($AS$8="B2",$AS$8="C1",$AS$8="C2"),-5,0)),0)</f>
        <v/>
      </c>
      <c r="U74" s="20">
        <f>IF(AND($AS$6=G74,OR($AS$6="Male",$AS$6="Female")),5,0)</f>
        <v/>
      </c>
      <c r="V74" s="20">
        <f>IF(AND($AS$24,$AS$11&lt;&gt;"In-Person",K74&lt;&gt;"In-Person"),-5,0)</f>
        <v/>
      </c>
      <c r="W74" s="20">
        <f>IF(OR($AS$11=K74,$AS$11="Either",K74="Either"),3,0)</f>
        <v/>
      </c>
      <c r="X74" s="20">
        <f>IF(AND($AS$11&lt;&gt;"Online",K74&lt;&gt;"Online",ISNUMBER($AS$22),ISNUMBER(IFERROR(VALUE(M74),"x"))),IF(ABS($AS$22-VALUE(M74))&lt;=50,3,0),0)</f>
        <v/>
      </c>
      <c r="Y74" s="20">
        <f>IF(AND($AS$10&lt;&gt;"",$AS$10=J74),3,0)</f>
        <v/>
      </c>
      <c r="Z74" s="20">
        <f>IF(OR(N($AS$13)&gt;=150,N(O74)&gt;=150),3,0)</f>
        <v/>
      </c>
      <c r="AA74" s="20">
        <f>IF(AND($AS$21&lt;&gt;"",$AS$21&lt;&gt;"NA",$AS$21=I74),2,0)</f>
        <v/>
      </c>
      <c r="AB74" s="20">
        <f>IF(OR(AND($AS$14&lt;&gt;"",$AS$14&lt;&gt;"NA",OR($AS$14=AO74,$AS$14=AP74)),AND($AS$15&lt;&gt;"",OR($AS$15=AO74,$AS$15=AP74))),2,0)</f>
        <v/>
      </c>
      <c r="AC74" s="20">
        <f>IF(AND(ISNUMBER($AS$12),ISNUMBER(N74),ABS($AS$12-N74)&lt;=10),2,0)</f>
        <v/>
      </c>
      <c r="AD74" s="20">
        <f>IF(R74="Yes",SUM(S74:AC74),"")</f>
        <v/>
      </c>
      <c r="AE74" s="20">
        <f>IF(R74="Yes","Score "&amp;AD74&amp;": "&amp;TRIM(IF(S74&lt;&gt;0,"−8 acrimonious; ","")&amp;IF(T74=7,"+7 shared language; ","")&amp;IF(T74=-5,"−5 shared lang(adv); ","")&amp;IF(U74=5,"+5 same-sex; ","")&amp;IF(V74=-5,"−5 online no device; ","")&amp;IF(W74=3,"+3 mode; ","")&amp;IF(X74=3,"+3 proximity; ","")&amp;IF(Y74=3,"+3 category; ","")&amp;IF(Z74=3,"+3 long wait; ","")&amp;IF(AA74=2,"+2 religion; ","")&amp;IF(AB74=2,"+2 nationality; ","")&amp;IF(AC74=2,"+2 age; ","")),"Not eligible: "&amp;IF(NOT(AH74),"tutor not pending/with-capacity",IF(NOT(AI74),"no spare capacity",IF(AJ74,"tutor blacklisted",IF($AS$25,"student blacklisted",IF(NOT(AK74),"tutor vetting incomplete",IF(NOT($AS$26),"student vetting incomplete",IF(NOT(AM74),"no overlapping 3h AEST block",IF(NOT(AN74),"A1 student needs a shared language",IF(AL74,"'do not pair' note present",""))))))))))</f>
        <v/>
      </c>
      <c r="AF74">
        <f>TRIM(IFERROR(LEFT('(B) Register of Participants'!$AR$52,FIND(" (",'(B) Register of Participants'!$AR$52)-1),'(B) Register of Participants'!$AR$52))</f>
        <v/>
      </c>
      <c r="AG74">
        <f>IF(ISNUMBER(SEARCH("Mandarin",'(B) Register of Participants'!$AR$52)),"Mandarin",IF(ISNUMBER(SEARCH("Cantonese",'(B) Register of Participants'!$AR$52)),"Cantonese",IF(OR(AF74="Dari",AF74="Farsi",AF74="Persian",AF74="Hazaragi"),"Persian",AF74)))</f>
        <v/>
      </c>
      <c r="AH74">
        <f>OR(E74="ADM-ACT-UNMAT",E74="ADM-ACT-MAT-CNE")</f>
        <v/>
      </c>
      <c r="AI74">
        <f>F74&gt;0</f>
        <v/>
      </c>
      <c r="AJ74">
        <f>LEFT('(B) Register of Participants'!$L$52,3)="Yes"</f>
        <v/>
      </c>
      <c r="AK74">
        <f>AND(OR(LEFT('(B) Register of Participants'!$AY$52,3)="Yes",LEFT('(B) Register of Participants'!$AY$52,2)="NA"),OR(LEFT('(B) Register of Participants'!$AZ$52,3)="Yes",LEFT('(B) Register of Participants'!$AZ$52,2)="NA"))</f>
        <v/>
      </c>
      <c r="AL74">
        <f>OR(ISNUMBER(SEARCH("do not pair",'(B) Register of Participants'!$BL$52)),ISNUMBER(SEARCH("do not pair",'(B) Register of Participants'!$BM$52)))</f>
        <v/>
      </c>
      <c r="AM74">
        <f>P74&gt;0</f>
        <v/>
      </c>
      <c r="AN74">
        <f>IF($AS$8="A1",Q74=1,TRUE)</f>
        <v/>
      </c>
      <c r="AO74">
        <f>TRIM(IFERROR(LEFT('(B) Register of Participants'!$AP$52,FIND(";",'(B) Register of Participants'!$AP$52)-1),'(B) Register of Participants'!$AP$52))</f>
        <v/>
      </c>
      <c r="AP74">
        <f>IF(ISNUMBER(FIND(";",'(B) Register of Participants'!$AP$52)),TRIM(MID('(B) Register of Participants'!$AP$52,FIND(";",'(B) Register of Participants'!$AP$52)+1,80)),"")</f>
        <v/>
      </c>
    </row>
    <row r="75">
      <c r="B75" s="20">
        <f>IF(R75="Yes",RANK(AD75,$AD$25:$AD$124),"")</f>
        <v/>
      </c>
      <c r="C75" s="20">
        <f>'(B) Register of Participants'!$A$53</f>
        <v/>
      </c>
      <c r="D75" s="20">
        <f>'(B) Register of Participants'!$B$53</f>
        <v/>
      </c>
      <c r="E75" s="20">
        <f>'(B) Register of Participants'!$J$53</f>
        <v/>
      </c>
      <c r="F75" s="20">
        <f>IFERROR('(B) Register of Participants'!$O$53-'(B) Register of Participants'!$P$53,0)</f>
        <v/>
      </c>
      <c r="G75" s="20">
        <f>'(B) Register of Participants'!$AL$53</f>
        <v/>
      </c>
      <c r="H75" s="20">
        <f>'(B) Register of Participants'!$AP$53</f>
        <v/>
      </c>
      <c r="I75" s="20">
        <f>TRIM(IFERROR(LEFT('(B) Register of Participants'!$AS$53,FIND(" (",'(B) Register of Participants'!$AS$53)-1),'(B) Register of Participants'!$AS$53))</f>
        <v/>
      </c>
      <c r="J75" s="20">
        <f>'(B) Register of Participants'!$AT$53</f>
        <v/>
      </c>
      <c r="K75" s="20">
        <f>'(B) Register of Participants'!$AE$53</f>
        <v/>
      </c>
      <c r="L75" s="20">
        <f>'(B) Register of Participants'!$AF$53</f>
        <v/>
      </c>
      <c r="M75" s="20">
        <f>'(B) Register of Participants'!$AJ$53</f>
        <v/>
      </c>
      <c r="N75" s="20">
        <f>'(B) Register of Participants'!$CY$53</f>
        <v/>
      </c>
      <c r="O75" s="20">
        <f>'(B) Register of Participants'!$CW$53</f>
        <v/>
      </c>
      <c r="P75" s="20">
        <f>(ISNUMBER(SEARCH("6am-9am",$AS$27))*ISNUMBER(SEARCH("6am-9am",'(B) Register of Participants'!$X$53)))+(ISNUMBER(SEARCH("9am-12pm",$AS$27))*ISNUMBER(SEARCH("9am-12pm",'(B) Register of Participants'!$X$53)))+(ISNUMBER(SEARCH("12pm-3pm",$AS$27))*ISNUMBER(SEARCH("12pm-3pm",'(B) Register of Participants'!$X$53)))+(ISNUMBER(SEARCH("3pm-6pm",$AS$27))*ISNUMBER(SEARCH("3pm-6pm",'(B) Register of Participants'!$X$53)))+(ISNUMBER(SEARCH("6pm-9pm",$AS$27))*ISNUMBER(SEARCH("6pm-9pm",'(B) Register of Participants'!$X$53)))+(ISNUMBER(SEARCH("6am-9am",$AS$28))*ISNUMBER(SEARCH("6am-9am",'(B) Register of Participants'!$Y$53)))+(ISNUMBER(SEARCH("9am-12pm",$AS$28))*ISNUMBER(SEARCH("9am-12pm",'(B) Register of Participants'!$Y$53)))+(ISNUMBER(SEARCH("12pm-3pm",$AS$28))*ISNUMBER(SEARCH("12pm-3pm",'(B) Register of Participants'!$Y$53)))+(ISNUMBER(SEARCH("3pm-6pm",$AS$28))*ISNUMBER(SEARCH("3pm-6pm",'(B) Register of Participants'!$Y$53)))+(ISNUMBER(SEARCH("6pm-9pm",$AS$28))*ISNUMBER(SEARCH("6pm-9pm",'(B) Register of Participants'!$Y$53)))+(ISNUMBER(SEARCH("6am-9am",$AS$29))*ISNUMBER(SEARCH("6am-9am",'(B) Register of Participants'!$Z$53)))+(ISNUMBER(SEARCH("9am-12pm",$AS$29))*ISNUMBER(SEARCH("9am-12pm",'(B) Register of Participants'!$Z$53)))+(ISNUMBER(SEARCH("12pm-3pm",$AS$29))*ISNUMBER(SEARCH("12pm-3pm",'(B) Register of Participants'!$Z$53)))+(ISNUMBER(SEARCH("3pm-6pm",$AS$29))*ISNUMBER(SEARCH("3pm-6pm",'(B) Register of Participants'!$Z$53)))+(ISNUMBER(SEARCH("6pm-9pm",$AS$29))*ISNUMBER(SEARCH("6pm-9pm",'(B) Register of Participants'!$Z$53)))+(ISNUMBER(SEARCH("6am-9am",$AS$30))*ISNUMBER(SEARCH("6am-9am",'(B) Register of Participants'!$AA$53)))+(ISNUMBER(SEARCH("9am-12pm",$AS$30))*ISNUMBER(SEARCH("9am-12pm",'(B) Register of Participants'!$AA$53)))+(ISNUMBER(SEARCH("12pm-3pm",$AS$30))*ISNUMBER(SEARCH("12pm-3pm",'(B) Register of Participants'!$AA$53)))+(ISNUMBER(SEARCH("3pm-6pm",$AS$30))*ISNUMBER(SEARCH("3pm-6pm",'(B) Register of Participants'!$AA$53)))+(ISNUMBER(SEARCH("6pm-9pm",$AS$30))*ISNUMBER(SEARCH("6pm-9pm",'(B) Register of Participants'!$AA$53)))+(ISNUMBER(SEARCH("6am-9am",$AS$31))*ISNUMBER(SEARCH("6am-9am",'(B) Register of Participants'!$AB$53)))+(ISNUMBER(SEARCH("9am-12pm",$AS$31))*ISNUMBER(SEARCH("9am-12pm",'(B) Register of Participants'!$AB$53)))+(ISNUMBER(SEARCH("12pm-3pm",$AS$31))*ISNUMBER(SEARCH("12pm-3pm",'(B) Register of Participants'!$AB$53)))+(ISNUMBER(SEARCH("3pm-6pm",$AS$31))*ISNUMBER(SEARCH("3pm-6pm",'(B) Register of Participants'!$AB$53)))+(ISNUMBER(SEARCH("6pm-9pm",$AS$31))*ISNUMBER(SEARCH("6pm-9pm",'(B) Register of Participants'!$AB$53)))+(ISNUMBER(SEARCH("6am-9am",$AS$32))*ISNUMBER(SEARCH("6am-9am",'(B) Register of Participants'!$AC$53)))+(ISNUMBER(SEARCH("9am-12pm",$AS$32))*ISNUMBER(SEARCH("9am-12pm",'(B) Register of Participants'!$AC$53)))+(ISNUMBER(SEARCH("12pm-3pm",$AS$32))*ISNUMBER(SEARCH("12pm-3pm",'(B) Register of Participants'!$AC$53)))+(ISNUMBER(SEARCH("3pm-6pm",$AS$32))*ISNUMBER(SEARCH("3pm-6pm",'(B) Register of Participants'!$AC$53)))+(ISNUMBER(SEARCH("6pm-9pm",$AS$32))*ISNUMBER(SEARCH("6pm-9pm",'(B) Register of Participants'!$AC$53)))+(ISNUMBER(SEARCH("6am-9am",$AS$33))*ISNUMBER(SEARCH("6am-9am",'(B) Register of Participants'!$AD$53)))+(ISNUMBER(SEARCH("9am-12pm",$AS$33))*ISNUMBER(SEARCH("9am-12pm",'(B) Register of Participants'!$AD$53)))+(ISNUMBER(SEARCH("12pm-3pm",$AS$33))*ISNUMBER(SEARCH("12pm-3pm",'(B) Register of Participants'!$AD$53)))+(ISNUMBER(SEARCH("3pm-6pm",$AS$33))*ISNUMBER(SEARCH("3pm-6pm",'(B) Register of Participants'!$AD$53)))+(ISNUMBER(SEARCH("6pm-9pm",$AS$33))*ISNUMBER(SEARCH("6pm-9pm",'(B) Register of Participants'!$AD$53)))</f>
        <v/>
      </c>
      <c r="Q75" s="20">
        <f>IF(OR(AND($AS$17&lt;&gt;"",$AS$17&lt;&gt;"English",IF($AS$17="Persian",OR(ISNUMBER(SEARCH("Dari",'(B) Register of Participants'!$AR$53)),ISNUMBER(SEARCH("Farsi",'(B) Register of Participants'!$AR$53)),ISNUMBER(SEARCH("Persian",'(B) Register of Participants'!$AR$53)),ISNUMBER(SEARCH("Hazaragi",'(B) Register of Participants'!$AR$53))),ISNUMBER(SEARCH($AS$17,'(B) Register of Participants'!$AR$53)))),AND($AS$20&lt;&gt;"",$AS$20&lt;&gt;"English",IF($AS$20="Persian",OR(ISNUMBER(SEARCH("Dari",'(B) Register of Participants'!$AR$53)),ISNUMBER(SEARCH("Farsi",'(B) Register of Participants'!$AR$53)),ISNUMBER(SEARCH("Persian",'(B) Register of Participants'!$AR$53)),ISNUMBER(SEARCH("Hazaragi",'(B) Register of Participants'!$AR$53))),ISNUMBER(SEARCH($AS$20,'(B) Register of Participants'!$AR$53))))),1,0)</f>
        <v/>
      </c>
      <c r="R75" s="20">
        <f>IF(AND(AH75,AI75,NOT(AJ75),NOT($AS$25),AK75,$AS$26,AM75,AN75,NOT(AL75)),"Yes","No")</f>
        <v/>
      </c>
      <c r="S75" s="20">
        <f>IF(OR(COUNTIF('Engine Lists'!$A:$A,$AS$14&amp;"|"&amp;AO75)&gt;0,COUNTIF('Engine Lists'!$A:$A,$AS$14&amp;"|"&amp;AP75)&gt;0,COUNTIF('Engine Lists'!$A:$A,$AS$15&amp;"|"&amp;AO75)&gt;0,COUNTIF('Engine Lists'!$A:$A,$AS$15&amp;"|"&amp;AP75)&gt;0,COUNTIF('Engine Lists'!$A:$A,$AS$21&amp;"|"&amp;I75)&gt;0),-8,0)</f>
        <v/>
      </c>
      <c r="T75" s="20">
        <f>IF(Q75=1,IF(OR($AS$8="A2",$AS$8="B1"),7,IF(OR($AS$8="B2",$AS$8="C1",$AS$8="C2"),-5,0)),0)</f>
        <v/>
      </c>
      <c r="U75" s="20">
        <f>IF(AND($AS$6=G75,OR($AS$6="Male",$AS$6="Female")),5,0)</f>
        <v/>
      </c>
      <c r="V75" s="20">
        <f>IF(AND($AS$24,$AS$11&lt;&gt;"In-Person",K75&lt;&gt;"In-Person"),-5,0)</f>
        <v/>
      </c>
      <c r="W75" s="20">
        <f>IF(OR($AS$11=K75,$AS$11="Either",K75="Either"),3,0)</f>
        <v/>
      </c>
      <c r="X75" s="20">
        <f>IF(AND($AS$11&lt;&gt;"Online",K75&lt;&gt;"Online",ISNUMBER($AS$22),ISNUMBER(IFERROR(VALUE(M75),"x"))),IF(ABS($AS$22-VALUE(M75))&lt;=50,3,0),0)</f>
        <v/>
      </c>
      <c r="Y75" s="20">
        <f>IF(AND($AS$10&lt;&gt;"",$AS$10=J75),3,0)</f>
        <v/>
      </c>
      <c r="Z75" s="20">
        <f>IF(OR(N($AS$13)&gt;=150,N(O75)&gt;=150),3,0)</f>
        <v/>
      </c>
      <c r="AA75" s="20">
        <f>IF(AND($AS$21&lt;&gt;"",$AS$21&lt;&gt;"NA",$AS$21=I75),2,0)</f>
        <v/>
      </c>
      <c r="AB75" s="20">
        <f>IF(OR(AND($AS$14&lt;&gt;"",$AS$14&lt;&gt;"NA",OR($AS$14=AO75,$AS$14=AP75)),AND($AS$15&lt;&gt;"",OR($AS$15=AO75,$AS$15=AP75))),2,0)</f>
        <v/>
      </c>
      <c r="AC75" s="20">
        <f>IF(AND(ISNUMBER($AS$12),ISNUMBER(N75),ABS($AS$12-N75)&lt;=10),2,0)</f>
        <v/>
      </c>
      <c r="AD75" s="20">
        <f>IF(R75="Yes",SUM(S75:AC75),"")</f>
        <v/>
      </c>
      <c r="AE75" s="20">
        <f>IF(R75="Yes","Score "&amp;AD75&amp;": "&amp;TRIM(IF(S75&lt;&gt;0,"−8 acrimonious; ","")&amp;IF(T75=7,"+7 shared language; ","")&amp;IF(T75=-5,"−5 shared lang(adv); ","")&amp;IF(U75=5,"+5 same-sex; ","")&amp;IF(V75=-5,"−5 online no device; ","")&amp;IF(W75=3,"+3 mode; ","")&amp;IF(X75=3,"+3 proximity; ","")&amp;IF(Y75=3,"+3 category; ","")&amp;IF(Z75=3,"+3 long wait; ","")&amp;IF(AA75=2,"+2 religion; ","")&amp;IF(AB75=2,"+2 nationality; ","")&amp;IF(AC75=2,"+2 age; ","")),"Not eligible: "&amp;IF(NOT(AH75),"tutor not pending/with-capacity",IF(NOT(AI75),"no spare capacity",IF(AJ75,"tutor blacklisted",IF($AS$25,"student blacklisted",IF(NOT(AK75),"tutor vetting incomplete",IF(NOT($AS$26),"student vetting incomplete",IF(NOT(AM75),"no overlapping 3h AEST block",IF(NOT(AN75),"A1 student needs a shared language",IF(AL75,"'do not pair' note present",""))))))))))</f>
        <v/>
      </c>
      <c r="AF75">
        <f>TRIM(IFERROR(LEFT('(B) Register of Participants'!$AR$53,FIND(" (",'(B) Register of Participants'!$AR$53)-1),'(B) Register of Participants'!$AR$53))</f>
        <v/>
      </c>
      <c r="AG75">
        <f>IF(ISNUMBER(SEARCH("Mandarin",'(B) Register of Participants'!$AR$53)),"Mandarin",IF(ISNUMBER(SEARCH("Cantonese",'(B) Register of Participants'!$AR$53)),"Cantonese",IF(OR(AF75="Dari",AF75="Farsi",AF75="Persian",AF75="Hazaragi"),"Persian",AF75)))</f>
        <v/>
      </c>
      <c r="AH75">
        <f>OR(E75="ADM-ACT-UNMAT",E75="ADM-ACT-MAT-CNE")</f>
        <v/>
      </c>
      <c r="AI75">
        <f>F75&gt;0</f>
        <v/>
      </c>
      <c r="AJ75">
        <f>LEFT('(B) Register of Participants'!$L$53,3)="Yes"</f>
        <v/>
      </c>
      <c r="AK75">
        <f>AND(OR(LEFT('(B) Register of Participants'!$AY$53,3)="Yes",LEFT('(B) Register of Participants'!$AY$53,2)="NA"),OR(LEFT('(B) Register of Participants'!$AZ$53,3)="Yes",LEFT('(B) Register of Participants'!$AZ$53,2)="NA"))</f>
        <v/>
      </c>
      <c r="AL75">
        <f>OR(ISNUMBER(SEARCH("do not pair",'(B) Register of Participants'!$BL$53)),ISNUMBER(SEARCH("do not pair",'(B) Register of Participants'!$BM$53)))</f>
        <v/>
      </c>
      <c r="AM75">
        <f>P75&gt;0</f>
        <v/>
      </c>
      <c r="AN75">
        <f>IF($AS$8="A1",Q75=1,TRUE)</f>
        <v/>
      </c>
      <c r="AO75">
        <f>TRIM(IFERROR(LEFT('(B) Register of Participants'!$AP$53,FIND(";",'(B) Register of Participants'!$AP$53)-1),'(B) Register of Participants'!$AP$53))</f>
        <v/>
      </c>
      <c r="AP75">
        <f>IF(ISNUMBER(FIND(";",'(B) Register of Participants'!$AP$53)),TRIM(MID('(B) Register of Participants'!$AP$53,FIND(";",'(B) Register of Participants'!$AP$53)+1,80)),"")</f>
        <v/>
      </c>
    </row>
    <row r="76">
      <c r="B76" s="20">
        <f>IF(R76="Yes",RANK(AD76,$AD$25:$AD$124),"")</f>
        <v/>
      </c>
      <c r="C76" s="20">
        <f>'(B) Register of Participants'!$A$54</f>
        <v/>
      </c>
      <c r="D76" s="20">
        <f>'(B) Register of Participants'!$B$54</f>
        <v/>
      </c>
      <c r="E76" s="20">
        <f>'(B) Register of Participants'!$J$54</f>
        <v/>
      </c>
      <c r="F76" s="20">
        <f>IFERROR('(B) Register of Participants'!$O$54-'(B) Register of Participants'!$P$54,0)</f>
        <v/>
      </c>
      <c r="G76" s="20">
        <f>'(B) Register of Participants'!$AL$54</f>
        <v/>
      </c>
      <c r="H76" s="20">
        <f>'(B) Register of Participants'!$AP$54</f>
        <v/>
      </c>
      <c r="I76" s="20">
        <f>TRIM(IFERROR(LEFT('(B) Register of Participants'!$AS$54,FIND(" (",'(B) Register of Participants'!$AS$54)-1),'(B) Register of Participants'!$AS$54))</f>
        <v/>
      </c>
      <c r="J76" s="20">
        <f>'(B) Register of Participants'!$AT$54</f>
        <v/>
      </c>
      <c r="K76" s="20">
        <f>'(B) Register of Participants'!$AE$54</f>
        <v/>
      </c>
      <c r="L76" s="20">
        <f>'(B) Register of Participants'!$AF$54</f>
        <v/>
      </c>
      <c r="M76" s="20">
        <f>'(B) Register of Participants'!$AJ$54</f>
        <v/>
      </c>
      <c r="N76" s="20">
        <f>'(B) Register of Participants'!$CY$54</f>
        <v/>
      </c>
      <c r="O76" s="20">
        <f>'(B) Register of Participants'!$CW$54</f>
        <v/>
      </c>
      <c r="P76" s="20">
        <f>(ISNUMBER(SEARCH("6am-9am",$AS$27))*ISNUMBER(SEARCH("6am-9am",'(B) Register of Participants'!$X$54)))+(ISNUMBER(SEARCH("9am-12pm",$AS$27))*ISNUMBER(SEARCH("9am-12pm",'(B) Register of Participants'!$X$54)))+(ISNUMBER(SEARCH("12pm-3pm",$AS$27))*ISNUMBER(SEARCH("12pm-3pm",'(B) Register of Participants'!$X$54)))+(ISNUMBER(SEARCH("3pm-6pm",$AS$27))*ISNUMBER(SEARCH("3pm-6pm",'(B) Register of Participants'!$X$54)))+(ISNUMBER(SEARCH("6pm-9pm",$AS$27))*ISNUMBER(SEARCH("6pm-9pm",'(B) Register of Participants'!$X$54)))+(ISNUMBER(SEARCH("6am-9am",$AS$28))*ISNUMBER(SEARCH("6am-9am",'(B) Register of Participants'!$Y$54)))+(ISNUMBER(SEARCH("9am-12pm",$AS$28))*ISNUMBER(SEARCH("9am-12pm",'(B) Register of Participants'!$Y$54)))+(ISNUMBER(SEARCH("12pm-3pm",$AS$28))*ISNUMBER(SEARCH("12pm-3pm",'(B) Register of Participants'!$Y$54)))+(ISNUMBER(SEARCH("3pm-6pm",$AS$28))*ISNUMBER(SEARCH("3pm-6pm",'(B) Register of Participants'!$Y$54)))+(ISNUMBER(SEARCH("6pm-9pm",$AS$28))*ISNUMBER(SEARCH("6pm-9pm",'(B) Register of Participants'!$Y$54)))+(ISNUMBER(SEARCH("6am-9am",$AS$29))*ISNUMBER(SEARCH("6am-9am",'(B) Register of Participants'!$Z$54)))+(ISNUMBER(SEARCH("9am-12pm",$AS$29))*ISNUMBER(SEARCH("9am-12pm",'(B) Register of Participants'!$Z$54)))+(ISNUMBER(SEARCH("12pm-3pm",$AS$29))*ISNUMBER(SEARCH("12pm-3pm",'(B) Register of Participants'!$Z$54)))+(ISNUMBER(SEARCH("3pm-6pm",$AS$29))*ISNUMBER(SEARCH("3pm-6pm",'(B) Register of Participants'!$Z$54)))+(ISNUMBER(SEARCH("6pm-9pm",$AS$29))*ISNUMBER(SEARCH("6pm-9pm",'(B) Register of Participants'!$Z$54)))+(ISNUMBER(SEARCH("6am-9am",$AS$30))*ISNUMBER(SEARCH("6am-9am",'(B) Register of Participants'!$AA$54)))+(ISNUMBER(SEARCH("9am-12pm",$AS$30))*ISNUMBER(SEARCH("9am-12pm",'(B) Register of Participants'!$AA$54)))+(ISNUMBER(SEARCH("12pm-3pm",$AS$30))*ISNUMBER(SEARCH("12pm-3pm",'(B) Register of Participants'!$AA$54)))+(ISNUMBER(SEARCH("3pm-6pm",$AS$30))*ISNUMBER(SEARCH("3pm-6pm",'(B) Register of Participants'!$AA$54)))+(ISNUMBER(SEARCH("6pm-9pm",$AS$30))*ISNUMBER(SEARCH("6pm-9pm",'(B) Register of Participants'!$AA$54)))+(ISNUMBER(SEARCH("6am-9am",$AS$31))*ISNUMBER(SEARCH("6am-9am",'(B) Register of Participants'!$AB$54)))+(ISNUMBER(SEARCH("9am-12pm",$AS$31))*ISNUMBER(SEARCH("9am-12pm",'(B) Register of Participants'!$AB$54)))+(ISNUMBER(SEARCH("12pm-3pm",$AS$31))*ISNUMBER(SEARCH("12pm-3pm",'(B) Register of Participants'!$AB$54)))+(ISNUMBER(SEARCH("3pm-6pm",$AS$31))*ISNUMBER(SEARCH("3pm-6pm",'(B) Register of Participants'!$AB$54)))+(ISNUMBER(SEARCH("6pm-9pm",$AS$31))*ISNUMBER(SEARCH("6pm-9pm",'(B) Register of Participants'!$AB$54)))+(ISNUMBER(SEARCH("6am-9am",$AS$32))*ISNUMBER(SEARCH("6am-9am",'(B) Register of Participants'!$AC$54)))+(ISNUMBER(SEARCH("9am-12pm",$AS$32))*ISNUMBER(SEARCH("9am-12pm",'(B) Register of Participants'!$AC$54)))+(ISNUMBER(SEARCH("12pm-3pm",$AS$32))*ISNUMBER(SEARCH("12pm-3pm",'(B) Register of Participants'!$AC$54)))+(ISNUMBER(SEARCH("3pm-6pm",$AS$32))*ISNUMBER(SEARCH("3pm-6pm",'(B) Register of Participants'!$AC$54)))+(ISNUMBER(SEARCH("6pm-9pm",$AS$32))*ISNUMBER(SEARCH("6pm-9pm",'(B) Register of Participants'!$AC$54)))+(ISNUMBER(SEARCH("6am-9am",$AS$33))*ISNUMBER(SEARCH("6am-9am",'(B) Register of Participants'!$AD$54)))+(ISNUMBER(SEARCH("9am-12pm",$AS$33))*ISNUMBER(SEARCH("9am-12pm",'(B) Register of Participants'!$AD$54)))+(ISNUMBER(SEARCH("12pm-3pm",$AS$33))*ISNUMBER(SEARCH("12pm-3pm",'(B) Register of Participants'!$AD$54)))+(ISNUMBER(SEARCH("3pm-6pm",$AS$33))*ISNUMBER(SEARCH("3pm-6pm",'(B) Register of Participants'!$AD$54)))+(ISNUMBER(SEARCH("6pm-9pm",$AS$33))*ISNUMBER(SEARCH("6pm-9pm",'(B) Register of Participants'!$AD$54)))</f>
        <v/>
      </c>
      <c r="Q76" s="20">
        <f>IF(OR(AND($AS$17&lt;&gt;"",$AS$17&lt;&gt;"English",IF($AS$17="Persian",OR(ISNUMBER(SEARCH("Dari",'(B) Register of Participants'!$AR$54)),ISNUMBER(SEARCH("Farsi",'(B) Register of Participants'!$AR$54)),ISNUMBER(SEARCH("Persian",'(B) Register of Participants'!$AR$54)),ISNUMBER(SEARCH("Hazaragi",'(B) Register of Participants'!$AR$54))),ISNUMBER(SEARCH($AS$17,'(B) Register of Participants'!$AR$54)))),AND($AS$20&lt;&gt;"",$AS$20&lt;&gt;"English",IF($AS$20="Persian",OR(ISNUMBER(SEARCH("Dari",'(B) Register of Participants'!$AR$54)),ISNUMBER(SEARCH("Farsi",'(B) Register of Participants'!$AR$54)),ISNUMBER(SEARCH("Persian",'(B) Register of Participants'!$AR$54)),ISNUMBER(SEARCH("Hazaragi",'(B) Register of Participants'!$AR$54))),ISNUMBER(SEARCH($AS$20,'(B) Register of Participants'!$AR$54))))),1,0)</f>
        <v/>
      </c>
      <c r="R76" s="20">
        <f>IF(AND(AH76,AI76,NOT(AJ76),NOT($AS$25),AK76,$AS$26,AM76,AN76,NOT(AL76)),"Yes","No")</f>
        <v/>
      </c>
      <c r="S76" s="20">
        <f>IF(OR(COUNTIF('Engine Lists'!$A:$A,$AS$14&amp;"|"&amp;AO76)&gt;0,COUNTIF('Engine Lists'!$A:$A,$AS$14&amp;"|"&amp;AP76)&gt;0,COUNTIF('Engine Lists'!$A:$A,$AS$15&amp;"|"&amp;AO76)&gt;0,COUNTIF('Engine Lists'!$A:$A,$AS$15&amp;"|"&amp;AP76)&gt;0,COUNTIF('Engine Lists'!$A:$A,$AS$21&amp;"|"&amp;I76)&gt;0),-8,0)</f>
        <v/>
      </c>
      <c r="T76" s="20">
        <f>IF(Q76=1,IF(OR($AS$8="A2",$AS$8="B1"),7,IF(OR($AS$8="B2",$AS$8="C1",$AS$8="C2"),-5,0)),0)</f>
        <v/>
      </c>
      <c r="U76" s="20">
        <f>IF(AND($AS$6=G76,OR($AS$6="Male",$AS$6="Female")),5,0)</f>
        <v/>
      </c>
      <c r="V76" s="20">
        <f>IF(AND($AS$24,$AS$11&lt;&gt;"In-Person",K76&lt;&gt;"In-Person"),-5,0)</f>
        <v/>
      </c>
      <c r="W76" s="20">
        <f>IF(OR($AS$11=K76,$AS$11="Either",K76="Either"),3,0)</f>
        <v/>
      </c>
      <c r="X76" s="20">
        <f>IF(AND($AS$11&lt;&gt;"Online",K76&lt;&gt;"Online",ISNUMBER($AS$22),ISNUMBER(IFERROR(VALUE(M76),"x"))),IF(ABS($AS$22-VALUE(M76))&lt;=50,3,0),0)</f>
        <v/>
      </c>
      <c r="Y76" s="20">
        <f>IF(AND($AS$10&lt;&gt;"",$AS$10=J76),3,0)</f>
        <v/>
      </c>
      <c r="Z76" s="20">
        <f>IF(OR(N($AS$13)&gt;=150,N(O76)&gt;=150),3,0)</f>
        <v/>
      </c>
      <c r="AA76" s="20">
        <f>IF(AND($AS$21&lt;&gt;"",$AS$21&lt;&gt;"NA",$AS$21=I76),2,0)</f>
        <v/>
      </c>
      <c r="AB76" s="20">
        <f>IF(OR(AND($AS$14&lt;&gt;"",$AS$14&lt;&gt;"NA",OR($AS$14=AO76,$AS$14=AP76)),AND($AS$15&lt;&gt;"",OR($AS$15=AO76,$AS$15=AP76))),2,0)</f>
        <v/>
      </c>
      <c r="AC76" s="20">
        <f>IF(AND(ISNUMBER($AS$12),ISNUMBER(N76),ABS($AS$12-N76)&lt;=10),2,0)</f>
        <v/>
      </c>
      <c r="AD76" s="20">
        <f>IF(R76="Yes",SUM(S76:AC76),"")</f>
        <v/>
      </c>
      <c r="AE76" s="20">
        <f>IF(R76="Yes","Score "&amp;AD76&amp;": "&amp;TRIM(IF(S76&lt;&gt;0,"−8 acrimonious; ","")&amp;IF(T76=7,"+7 shared language; ","")&amp;IF(T76=-5,"−5 shared lang(adv); ","")&amp;IF(U76=5,"+5 same-sex; ","")&amp;IF(V76=-5,"−5 online no device; ","")&amp;IF(W76=3,"+3 mode; ","")&amp;IF(X76=3,"+3 proximity; ","")&amp;IF(Y76=3,"+3 category; ","")&amp;IF(Z76=3,"+3 long wait; ","")&amp;IF(AA76=2,"+2 religion; ","")&amp;IF(AB76=2,"+2 nationality; ","")&amp;IF(AC76=2,"+2 age; ","")),"Not eligible: "&amp;IF(NOT(AH76),"tutor not pending/with-capacity",IF(NOT(AI76),"no spare capacity",IF(AJ76,"tutor blacklisted",IF($AS$25,"student blacklisted",IF(NOT(AK76),"tutor vetting incomplete",IF(NOT($AS$26),"student vetting incomplete",IF(NOT(AM76),"no overlapping 3h AEST block",IF(NOT(AN76),"A1 student needs a shared language",IF(AL76,"'do not pair' note present",""))))))))))</f>
        <v/>
      </c>
      <c r="AF76">
        <f>TRIM(IFERROR(LEFT('(B) Register of Participants'!$AR$54,FIND(" (",'(B) Register of Participants'!$AR$54)-1),'(B) Register of Participants'!$AR$54))</f>
        <v/>
      </c>
      <c r="AG76">
        <f>IF(ISNUMBER(SEARCH("Mandarin",'(B) Register of Participants'!$AR$54)),"Mandarin",IF(ISNUMBER(SEARCH("Cantonese",'(B) Register of Participants'!$AR$54)),"Cantonese",IF(OR(AF76="Dari",AF76="Farsi",AF76="Persian",AF76="Hazaragi"),"Persian",AF76)))</f>
        <v/>
      </c>
      <c r="AH76">
        <f>OR(E76="ADM-ACT-UNMAT",E76="ADM-ACT-MAT-CNE")</f>
        <v/>
      </c>
      <c r="AI76">
        <f>F76&gt;0</f>
        <v/>
      </c>
      <c r="AJ76">
        <f>LEFT('(B) Register of Participants'!$L$54,3)="Yes"</f>
        <v/>
      </c>
      <c r="AK76">
        <f>AND(OR(LEFT('(B) Register of Participants'!$AY$54,3)="Yes",LEFT('(B) Register of Participants'!$AY$54,2)="NA"),OR(LEFT('(B) Register of Participants'!$AZ$54,3)="Yes",LEFT('(B) Register of Participants'!$AZ$54,2)="NA"))</f>
        <v/>
      </c>
      <c r="AL76">
        <f>OR(ISNUMBER(SEARCH("do not pair",'(B) Register of Participants'!$BL$54)),ISNUMBER(SEARCH("do not pair",'(B) Register of Participants'!$BM$54)))</f>
        <v/>
      </c>
      <c r="AM76">
        <f>P76&gt;0</f>
        <v/>
      </c>
      <c r="AN76">
        <f>IF($AS$8="A1",Q76=1,TRUE)</f>
        <v/>
      </c>
      <c r="AO76">
        <f>TRIM(IFERROR(LEFT('(B) Register of Participants'!$AP$54,FIND(";",'(B) Register of Participants'!$AP$54)-1),'(B) Register of Participants'!$AP$54))</f>
        <v/>
      </c>
      <c r="AP76">
        <f>IF(ISNUMBER(FIND(";",'(B) Register of Participants'!$AP$54)),TRIM(MID('(B) Register of Participants'!$AP$54,FIND(";",'(B) Register of Participants'!$AP$54)+1,80)),"")</f>
        <v/>
      </c>
    </row>
    <row r="77">
      <c r="B77" s="20">
        <f>IF(R77="Yes",RANK(AD77,$AD$25:$AD$124),"")</f>
        <v/>
      </c>
      <c r="C77" s="20">
        <f>'(B) Register of Participants'!$A$55</f>
        <v/>
      </c>
      <c r="D77" s="20">
        <f>'(B) Register of Participants'!$B$55</f>
        <v/>
      </c>
      <c r="E77" s="20">
        <f>'(B) Register of Participants'!$J$55</f>
        <v/>
      </c>
      <c r="F77" s="20">
        <f>IFERROR('(B) Register of Participants'!$O$55-'(B) Register of Participants'!$P$55,0)</f>
        <v/>
      </c>
      <c r="G77" s="20">
        <f>'(B) Register of Participants'!$AL$55</f>
        <v/>
      </c>
      <c r="H77" s="20">
        <f>'(B) Register of Participants'!$AP$55</f>
        <v/>
      </c>
      <c r="I77" s="20">
        <f>TRIM(IFERROR(LEFT('(B) Register of Participants'!$AS$55,FIND(" (",'(B) Register of Participants'!$AS$55)-1),'(B) Register of Participants'!$AS$55))</f>
        <v/>
      </c>
      <c r="J77" s="20">
        <f>'(B) Register of Participants'!$AT$55</f>
        <v/>
      </c>
      <c r="K77" s="20">
        <f>'(B) Register of Participants'!$AE$55</f>
        <v/>
      </c>
      <c r="L77" s="20">
        <f>'(B) Register of Participants'!$AF$55</f>
        <v/>
      </c>
      <c r="M77" s="20">
        <f>'(B) Register of Participants'!$AJ$55</f>
        <v/>
      </c>
      <c r="N77" s="20">
        <f>'(B) Register of Participants'!$CY$55</f>
        <v/>
      </c>
      <c r="O77" s="20">
        <f>'(B) Register of Participants'!$CW$55</f>
        <v/>
      </c>
      <c r="P77" s="20">
        <f>(ISNUMBER(SEARCH("6am-9am",$AS$27))*ISNUMBER(SEARCH("6am-9am",'(B) Register of Participants'!$X$55)))+(ISNUMBER(SEARCH("9am-12pm",$AS$27))*ISNUMBER(SEARCH("9am-12pm",'(B) Register of Participants'!$X$55)))+(ISNUMBER(SEARCH("12pm-3pm",$AS$27))*ISNUMBER(SEARCH("12pm-3pm",'(B) Register of Participants'!$X$55)))+(ISNUMBER(SEARCH("3pm-6pm",$AS$27))*ISNUMBER(SEARCH("3pm-6pm",'(B) Register of Participants'!$X$55)))+(ISNUMBER(SEARCH("6pm-9pm",$AS$27))*ISNUMBER(SEARCH("6pm-9pm",'(B) Register of Participants'!$X$55)))+(ISNUMBER(SEARCH("6am-9am",$AS$28))*ISNUMBER(SEARCH("6am-9am",'(B) Register of Participants'!$Y$55)))+(ISNUMBER(SEARCH("9am-12pm",$AS$28))*ISNUMBER(SEARCH("9am-12pm",'(B) Register of Participants'!$Y$55)))+(ISNUMBER(SEARCH("12pm-3pm",$AS$28))*ISNUMBER(SEARCH("12pm-3pm",'(B) Register of Participants'!$Y$55)))+(ISNUMBER(SEARCH("3pm-6pm",$AS$28))*ISNUMBER(SEARCH("3pm-6pm",'(B) Register of Participants'!$Y$55)))+(ISNUMBER(SEARCH("6pm-9pm",$AS$28))*ISNUMBER(SEARCH("6pm-9pm",'(B) Register of Participants'!$Y$55)))+(ISNUMBER(SEARCH("6am-9am",$AS$29))*ISNUMBER(SEARCH("6am-9am",'(B) Register of Participants'!$Z$55)))+(ISNUMBER(SEARCH("9am-12pm",$AS$29))*ISNUMBER(SEARCH("9am-12pm",'(B) Register of Participants'!$Z$55)))+(ISNUMBER(SEARCH("12pm-3pm",$AS$29))*ISNUMBER(SEARCH("12pm-3pm",'(B) Register of Participants'!$Z$55)))+(ISNUMBER(SEARCH("3pm-6pm",$AS$29))*ISNUMBER(SEARCH("3pm-6pm",'(B) Register of Participants'!$Z$55)))+(ISNUMBER(SEARCH("6pm-9pm",$AS$29))*ISNUMBER(SEARCH("6pm-9pm",'(B) Register of Participants'!$Z$55)))+(ISNUMBER(SEARCH("6am-9am",$AS$30))*ISNUMBER(SEARCH("6am-9am",'(B) Register of Participants'!$AA$55)))+(ISNUMBER(SEARCH("9am-12pm",$AS$30))*ISNUMBER(SEARCH("9am-12pm",'(B) Register of Participants'!$AA$55)))+(ISNUMBER(SEARCH("12pm-3pm",$AS$30))*ISNUMBER(SEARCH("12pm-3pm",'(B) Register of Participants'!$AA$55)))+(ISNUMBER(SEARCH("3pm-6pm",$AS$30))*ISNUMBER(SEARCH("3pm-6pm",'(B) Register of Participants'!$AA$55)))+(ISNUMBER(SEARCH("6pm-9pm",$AS$30))*ISNUMBER(SEARCH("6pm-9pm",'(B) Register of Participants'!$AA$55)))+(ISNUMBER(SEARCH("6am-9am",$AS$31))*ISNUMBER(SEARCH("6am-9am",'(B) Register of Participants'!$AB$55)))+(ISNUMBER(SEARCH("9am-12pm",$AS$31))*ISNUMBER(SEARCH("9am-12pm",'(B) Register of Participants'!$AB$55)))+(ISNUMBER(SEARCH("12pm-3pm",$AS$31))*ISNUMBER(SEARCH("12pm-3pm",'(B) Register of Participants'!$AB$55)))+(ISNUMBER(SEARCH("3pm-6pm",$AS$31))*ISNUMBER(SEARCH("3pm-6pm",'(B) Register of Participants'!$AB$55)))+(ISNUMBER(SEARCH("6pm-9pm",$AS$31))*ISNUMBER(SEARCH("6pm-9pm",'(B) Register of Participants'!$AB$55)))+(ISNUMBER(SEARCH("6am-9am",$AS$32))*ISNUMBER(SEARCH("6am-9am",'(B) Register of Participants'!$AC$55)))+(ISNUMBER(SEARCH("9am-12pm",$AS$32))*ISNUMBER(SEARCH("9am-12pm",'(B) Register of Participants'!$AC$55)))+(ISNUMBER(SEARCH("12pm-3pm",$AS$32))*ISNUMBER(SEARCH("12pm-3pm",'(B) Register of Participants'!$AC$55)))+(ISNUMBER(SEARCH("3pm-6pm",$AS$32))*ISNUMBER(SEARCH("3pm-6pm",'(B) Register of Participants'!$AC$55)))+(ISNUMBER(SEARCH("6pm-9pm",$AS$32))*ISNUMBER(SEARCH("6pm-9pm",'(B) Register of Participants'!$AC$55)))+(ISNUMBER(SEARCH("6am-9am",$AS$33))*ISNUMBER(SEARCH("6am-9am",'(B) Register of Participants'!$AD$55)))+(ISNUMBER(SEARCH("9am-12pm",$AS$33))*ISNUMBER(SEARCH("9am-12pm",'(B) Register of Participants'!$AD$55)))+(ISNUMBER(SEARCH("12pm-3pm",$AS$33))*ISNUMBER(SEARCH("12pm-3pm",'(B) Register of Participants'!$AD$55)))+(ISNUMBER(SEARCH("3pm-6pm",$AS$33))*ISNUMBER(SEARCH("3pm-6pm",'(B) Register of Participants'!$AD$55)))+(ISNUMBER(SEARCH("6pm-9pm",$AS$33))*ISNUMBER(SEARCH("6pm-9pm",'(B) Register of Participants'!$AD$55)))</f>
        <v/>
      </c>
      <c r="Q77" s="20">
        <f>IF(OR(AND($AS$17&lt;&gt;"",$AS$17&lt;&gt;"English",IF($AS$17="Persian",OR(ISNUMBER(SEARCH("Dari",'(B) Register of Participants'!$AR$55)),ISNUMBER(SEARCH("Farsi",'(B) Register of Participants'!$AR$55)),ISNUMBER(SEARCH("Persian",'(B) Register of Participants'!$AR$55)),ISNUMBER(SEARCH("Hazaragi",'(B) Register of Participants'!$AR$55))),ISNUMBER(SEARCH($AS$17,'(B) Register of Participants'!$AR$55)))),AND($AS$20&lt;&gt;"",$AS$20&lt;&gt;"English",IF($AS$20="Persian",OR(ISNUMBER(SEARCH("Dari",'(B) Register of Participants'!$AR$55)),ISNUMBER(SEARCH("Farsi",'(B) Register of Participants'!$AR$55)),ISNUMBER(SEARCH("Persian",'(B) Register of Participants'!$AR$55)),ISNUMBER(SEARCH("Hazaragi",'(B) Register of Participants'!$AR$55))),ISNUMBER(SEARCH($AS$20,'(B) Register of Participants'!$AR$55))))),1,0)</f>
        <v/>
      </c>
      <c r="R77" s="20">
        <f>IF(AND(AH77,AI77,NOT(AJ77),NOT($AS$25),AK77,$AS$26,AM77,AN77,NOT(AL77)),"Yes","No")</f>
        <v/>
      </c>
      <c r="S77" s="20">
        <f>IF(OR(COUNTIF('Engine Lists'!$A:$A,$AS$14&amp;"|"&amp;AO77)&gt;0,COUNTIF('Engine Lists'!$A:$A,$AS$14&amp;"|"&amp;AP77)&gt;0,COUNTIF('Engine Lists'!$A:$A,$AS$15&amp;"|"&amp;AO77)&gt;0,COUNTIF('Engine Lists'!$A:$A,$AS$15&amp;"|"&amp;AP77)&gt;0,COUNTIF('Engine Lists'!$A:$A,$AS$21&amp;"|"&amp;I77)&gt;0),-8,0)</f>
        <v/>
      </c>
      <c r="T77" s="20">
        <f>IF(Q77=1,IF(OR($AS$8="A2",$AS$8="B1"),7,IF(OR($AS$8="B2",$AS$8="C1",$AS$8="C2"),-5,0)),0)</f>
        <v/>
      </c>
      <c r="U77" s="20">
        <f>IF(AND($AS$6=G77,OR($AS$6="Male",$AS$6="Female")),5,0)</f>
        <v/>
      </c>
      <c r="V77" s="20">
        <f>IF(AND($AS$24,$AS$11&lt;&gt;"In-Person",K77&lt;&gt;"In-Person"),-5,0)</f>
        <v/>
      </c>
      <c r="W77" s="20">
        <f>IF(OR($AS$11=K77,$AS$11="Either",K77="Either"),3,0)</f>
        <v/>
      </c>
      <c r="X77" s="20">
        <f>IF(AND($AS$11&lt;&gt;"Online",K77&lt;&gt;"Online",ISNUMBER($AS$22),ISNUMBER(IFERROR(VALUE(M77),"x"))),IF(ABS($AS$22-VALUE(M77))&lt;=50,3,0),0)</f>
        <v/>
      </c>
      <c r="Y77" s="20">
        <f>IF(AND($AS$10&lt;&gt;"",$AS$10=J77),3,0)</f>
        <v/>
      </c>
      <c r="Z77" s="20">
        <f>IF(OR(N($AS$13)&gt;=150,N(O77)&gt;=150),3,0)</f>
        <v/>
      </c>
      <c r="AA77" s="20">
        <f>IF(AND($AS$21&lt;&gt;"",$AS$21&lt;&gt;"NA",$AS$21=I77),2,0)</f>
        <v/>
      </c>
      <c r="AB77" s="20">
        <f>IF(OR(AND($AS$14&lt;&gt;"",$AS$14&lt;&gt;"NA",OR($AS$14=AO77,$AS$14=AP77)),AND($AS$15&lt;&gt;"",OR($AS$15=AO77,$AS$15=AP77))),2,0)</f>
        <v/>
      </c>
      <c r="AC77" s="20">
        <f>IF(AND(ISNUMBER($AS$12),ISNUMBER(N77),ABS($AS$12-N77)&lt;=10),2,0)</f>
        <v/>
      </c>
      <c r="AD77" s="20">
        <f>IF(R77="Yes",SUM(S77:AC77),"")</f>
        <v/>
      </c>
      <c r="AE77" s="20">
        <f>IF(R77="Yes","Score "&amp;AD77&amp;": "&amp;TRIM(IF(S77&lt;&gt;0,"−8 acrimonious; ","")&amp;IF(T77=7,"+7 shared language; ","")&amp;IF(T77=-5,"−5 shared lang(adv); ","")&amp;IF(U77=5,"+5 same-sex; ","")&amp;IF(V77=-5,"−5 online no device; ","")&amp;IF(W77=3,"+3 mode; ","")&amp;IF(X77=3,"+3 proximity; ","")&amp;IF(Y77=3,"+3 category; ","")&amp;IF(Z77=3,"+3 long wait; ","")&amp;IF(AA77=2,"+2 religion; ","")&amp;IF(AB77=2,"+2 nationality; ","")&amp;IF(AC77=2,"+2 age; ","")),"Not eligible: "&amp;IF(NOT(AH77),"tutor not pending/with-capacity",IF(NOT(AI77),"no spare capacity",IF(AJ77,"tutor blacklisted",IF($AS$25,"student blacklisted",IF(NOT(AK77),"tutor vetting incomplete",IF(NOT($AS$26),"student vetting incomplete",IF(NOT(AM77),"no overlapping 3h AEST block",IF(NOT(AN77),"A1 student needs a shared language",IF(AL77,"'do not pair' note present",""))))))))))</f>
        <v/>
      </c>
      <c r="AF77">
        <f>TRIM(IFERROR(LEFT('(B) Register of Participants'!$AR$55,FIND(" (",'(B) Register of Participants'!$AR$55)-1),'(B) Register of Participants'!$AR$55))</f>
        <v/>
      </c>
      <c r="AG77">
        <f>IF(ISNUMBER(SEARCH("Mandarin",'(B) Register of Participants'!$AR$55)),"Mandarin",IF(ISNUMBER(SEARCH("Cantonese",'(B) Register of Participants'!$AR$55)),"Cantonese",IF(OR(AF77="Dari",AF77="Farsi",AF77="Persian",AF77="Hazaragi"),"Persian",AF77)))</f>
        <v/>
      </c>
      <c r="AH77">
        <f>OR(E77="ADM-ACT-UNMAT",E77="ADM-ACT-MAT-CNE")</f>
        <v/>
      </c>
      <c r="AI77">
        <f>F77&gt;0</f>
        <v/>
      </c>
      <c r="AJ77">
        <f>LEFT('(B) Register of Participants'!$L$55,3)="Yes"</f>
        <v/>
      </c>
      <c r="AK77">
        <f>AND(OR(LEFT('(B) Register of Participants'!$AY$55,3)="Yes",LEFT('(B) Register of Participants'!$AY$55,2)="NA"),OR(LEFT('(B) Register of Participants'!$AZ$55,3)="Yes",LEFT('(B) Register of Participants'!$AZ$55,2)="NA"))</f>
        <v/>
      </c>
      <c r="AL77">
        <f>OR(ISNUMBER(SEARCH("do not pair",'(B) Register of Participants'!$BL$55)),ISNUMBER(SEARCH("do not pair",'(B) Register of Participants'!$BM$55)))</f>
        <v/>
      </c>
      <c r="AM77">
        <f>P77&gt;0</f>
        <v/>
      </c>
      <c r="AN77">
        <f>IF($AS$8="A1",Q77=1,TRUE)</f>
        <v/>
      </c>
      <c r="AO77">
        <f>TRIM(IFERROR(LEFT('(B) Register of Participants'!$AP$55,FIND(";",'(B) Register of Participants'!$AP$55)-1),'(B) Register of Participants'!$AP$55))</f>
        <v/>
      </c>
      <c r="AP77">
        <f>IF(ISNUMBER(FIND(";",'(B) Register of Participants'!$AP$55)),TRIM(MID('(B) Register of Participants'!$AP$55,FIND(";",'(B) Register of Participants'!$AP$55)+1,80)),"")</f>
        <v/>
      </c>
    </row>
    <row r="78">
      <c r="B78" s="20">
        <f>IF(R78="Yes",RANK(AD78,$AD$25:$AD$124),"")</f>
        <v/>
      </c>
      <c r="C78" s="20">
        <f>'(B) Register of Participants'!$A$56</f>
        <v/>
      </c>
      <c r="D78" s="20">
        <f>'(B) Register of Participants'!$B$56</f>
        <v/>
      </c>
      <c r="E78" s="20">
        <f>'(B) Register of Participants'!$J$56</f>
        <v/>
      </c>
      <c r="F78" s="20">
        <f>IFERROR('(B) Register of Participants'!$O$56-'(B) Register of Participants'!$P$56,0)</f>
        <v/>
      </c>
      <c r="G78" s="20">
        <f>'(B) Register of Participants'!$AL$56</f>
        <v/>
      </c>
      <c r="H78" s="20">
        <f>'(B) Register of Participants'!$AP$56</f>
        <v/>
      </c>
      <c r="I78" s="20">
        <f>TRIM(IFERROR(LEFT('(B) Register of Participants'!$AS$56,FIND(" (",'(B) Register of Participants'!$AS$56)-1),'(B) Register of Participants'!$AS$56))</f>
        <v/>
      </c>
      <c r="J78" s="20">
        <f>'(B) Register of Participants'!$AT$56</f>
        <v/>
      </c>
      <c r="K78" s="20">
        <f>'(B) Register of Participants'!$AE$56</f>
        <v/>
      </c>
      <c r="L78" s="20">
        <f>'(B) Register of Participants'!$AF$56</f>
        <v/>
      </c>
      <c r="M78" s="20">
        <f>'(B) Register of Participants'!$AJ$56</f>
        <v/>
      </c>
      <c r="N78" s="20">
        <f>'(B) Register of Participants'!$CY$56</f>
        <v/>
      </c>
      <c r="O78" s="20">
        <f>'(B) Register of Participants'!$CW$56</f>
        <v/>
      </c>
      <c r="P78" s="20">
        <f>(ISNUMBER(SEARCH("6am-9am",$AS$27))*ISNUMBER(SEARCH("6am-9am",'(B) Register of Participants'!$X$56)))+(ISNUMBER(SEARCH("9am-12pm",$AS$27))*ISNUMBER(SEARCH("9am-12pm",'(B) Register of Participants'!$X$56)))+(ISNUMBER(SEARCH("12pm-3pm",$AS$27))*ISNUMBER(SEARCH("12pm-3pm",'(B) Register of Participants'!$X$56)))+(ISNUMBER(SEARCH("3pm-6pm",$AS$27))*ISNUMBER(SEARCH("3pm-6pm",'(B) Register of Participants'!$X$56)))+(ISNUMBER(SEARCH("6pm-9pm",$AS$27))*ISNUMBER(SEARCH("6pm-9pm",'(B) Register of Participants'!$X$56)))+(ISNUMBER(SEARCH("6am-9am",$AS$28))*ISNUMBER(SEARCH("6am-9am",'(B) Register of Participants'!$Y$56)))+(ISNUMBER(SEARCH("9am-12pm",$AS$28))*ISNUMBER(SEARCH("9am-12pm",'(B) Register of Participants'!$Y$56)))+(ISNUMBER(SEARCH("12pm-3pm",$AS$28))*ISNUMBER(SEARCH("12pm-3pm",'(B) Register of Participants'!$Y$56)))+(ISNUMBER(SEARCH("3pm-6pm",$AS$28))*ISNUMBER(SEARCH("3pm-6pm",'(B) Register of Participants'!$Y$56)))+(ISNUMBER(SEARCH("6pm-9pm",$AS$28))*ISNUMBER(SEARCH("6pm-9pm",'(B) Register of Participants'!$Y$56)))+(ISNUMBER(SEARCH("6am-9am",$AS$29))*ISNUMBER(SEARCH("6am-9am",'(B) Register of Participants'!$Z$56)))+(ISNUMBER(SEARCH("9am-12pm",$AS$29))*ISNUMBER(SEARCH("9am-12pm",'(B) Register of Participants'!$Z$56)))+(ISNUMBER(SEARCH("12pm-3pm",$AS$29))*ISNUMBER(SEARCH("12pm-3pm",'(B) Register of Participants'!$Z$56)))+(ISNUMBER(SEARCH("3pm-6pm",$AS$29))*ISNUMBER(SEARCH("3pm-6pm",'(B) Register of Participants'!$Z$56)))+(ISNUMBER(SEARCH("6pm-9pm",$AS$29))*ISNUMBER(SEARCH("6pm-9pm",'(B) Register of Participants'!$Z$56)))+(ISNUMBER(SEARCH("6am-9am",$AS$30))*ISNUMBER(SEARCH("6am-9am",'(B) Register of Participants'!$AA$56)))+(ISNUMBER(SEARCH("9am-12pm",$AS$30))*ISNUMBER(SEARCH("9am-12pm",'(B) Register of Participants'!$AA$56)))+(ISNUMBER(SEARCH("12pm-3pm",$AS$30))*ISNUMBER(SEARCH("12pm-3pm",'(B) Register of Participants'!$AA$56)))+(ISNUMBER(SEARCH("3pm-6pm",$AS$30))*ISNUMBER(SEARCH("3pm-6pm",'(B) Register of Participants'!$AA$56)))+(ISNUMBER(SEARCH("6pm-9pm",$AS$30))*ISNUMBER(SEARCH("6pm-9pm",'(B) Register of Participants'!$AA$56)))+(ISNUMBER(SEARCH("6am-9am",$AS$31))*ISNUMBER(SEARCH("6am-9am",'(B) Register of Participants'!$AB$56)))+(ISNUMBER(SEARCH("9am-12pm",$AS$31))*ISNUMBER(SEARCH("9am-12pm",'(B) Register of Participants'!$AB$56)))+(ISNUMBER(SEARCH("12pm-3pm",$AS$31))*ISNUMBER(SEARCH("12pm-3pm",'(B) Register of Participants'!$AB$56)))+(ISNUMBER(SEARCH("3pm-6pm",$AS$31))*ISNUMBER(SEARCH("3pm-6pm",'(B) Register of Participants'!$AB$56)))+(ISNUMBER(SEARCH("6pm-9pm",$AS$31))*ISNUMBER(SEARCH("6pm-9pm",'(B) Register of Participants'!$AB$56)))+(ISNUMBER(SEARCH("6am-9am",$AS$32))*ISNUMBER(SEARCH("6am-9am",'(B) Register of Participants'!$AC$56)))+(ISNUMBER(SEARCH("9am-12pm",$AS$32))*ISNUMBER(SEARCH("9am-12pm",'(B) Register of Participants'!$AC$56)))+(ISNUMBER(SEARCH("12pm-3pm",$AS$32))*ISNUMBER(SEARCH("12pm-3pm",'(B) Register of Participants'!$AC$56)))+(ISNUMBER(SEARCH("3pm-6pm",$AS$32))*ISNUMBER(SEARCH("3pm-6pm",'(B) Register of Participants'!$AC$56)))+(ISNUMBER(SEARCH("6pm-9pm",$AS$32))*ISNUMBER(SEARCH("6pm-9pm",'(B) Register of Participants'!$AC$56)))+(ISNUMBER(SEARCH("6am-9am",$AS$33))*ISNUMBER(SEARCH("6am-9am",'(B) Register of Participants'!$AD$56)))+(ISNUMBER(SEARCH("9am-12pm",$AS$33))*ISNUMBER(SEARCH("9am-12pm",'(B) Register of Participants'!$AD$56)))+(ISNUMBER(SEARCH("12pm-3pm",$AS$33))*ISNUMBER(SEARCH("12pm-3pm",'(B) Register of Participants'!$AD$56)))+(ISNUMBER(SEARCH("3pm-6pm",$AS$33))*ISNUMBER(SEARCH("3pm-6pm",'(B) Register of Participants'!$AD$56)))+(ISNUMBER(SEARCH("6pm-9pm",$AS$33))*ISNUMBER(SEARCH("6pm-9pm",'(B) Register of Participants'!$AD$56)))</f>
        <v/>
      </c>
      <c r="Q78" s="20">
        <f>IF(OR(AND($AS$17&lt;&gt;"",$AS$17&lt;&gt;"English",IF($AS$17="Persian",OR(ISNUMBER(SEARCH("Dari",'(B) Register of Participants'!$AR$56)),ISNUMBER(SEARCH("Farsi",'(B) Register of Participants'!$AR$56)),ISNUMBER(SEARCH("Persian",'(B) Register of Participants'!$AR$56)),ISNUMBER(SEARCH("Hazaragi",'(B) Register of Participants'!$AR$56))),ISNUMBER(SEARCH($AS$17,'(B) Register of Participants'!$AR$56)))),AND($AS$20&lt;&gt;"",$AS$20&lt;&gt;"English",IF($AS$20="Persian",OR(ISNUMBER(SEARCH("Dari",'(B) Register of Participants'!$AR$56)),ISNUMBER(SEARCH("Farsi",'(B) Register of Participants'!$AR$56)),ISNUMBER(SEARCH("Persian",'(B) Register of Participants'!$AR$56)),ISNUMBER(SEARCH("Hazaragi",'(B) Register of Participants'!$AR$56))),ISNUMBER(SEARCH($AS$20,'(B) Register of Participants'!$AR$56))))),1,0)</f>
        <v/>
      </c>
      <c r="R78" s="20">
        <f>IF(AND(AH78,AI78,NOT(AJ78),NOT($AS$25),AK78,$AS$26,AM78,AN78,NOT(AL78)),"Yes","No")</f>
        <v/>
      </c>
      <c r="S78" s="20">
        <f>IF(OR(COUNTIF('Engine Lists'!$A:$A,$AS$14&amp;"|"&amp;AO78)&gt;0,COUNTIF('Engine Lists'!$A:$A,$AS$14&amp;"|"&amp;AP78)&gt;0,COUNTIF('Engine Lists'!$A:$A,$AS$15&amp;"|"&amp;AO78)&gt;0,COUNTIF('Engine Lists'!$A:$A,$AS$15&amp;"|"&amp;AP78)&gt;0,COUNTIF('Engine Lists'!$A:$A,$AS$21&amp;"|"&amp;I78)&gt;0),-8,0)</f>
        <v/>
      </c>
      <c r="T78" s="20">
        <f>IF(Q78=1,IF(OR($AS$8="A2",$AS$8="B1"),7,IF(OR($AS$8="B2",$AS$8="C1",$AS$8="C2"),-5,0)),0)</f>
        <v/>
      </c>
      <c r="U78" s="20">
        <f>IF(AND($AS$6=G78,OR($AS$6="Male",$AS$6="Female")),5,0)</f>
        <v/>
      </c>
      <c r="V78" s="20">
        <f>IF(AND($AS$24,$AS$11&lt;&gt;"In-Person",K78&lt;&gt;"In-Person"),-5,0)</f>
        <v/>
      </c>
      <c r="W78" s="20">
        <f>IF(OR($AS$11=K78,$AS$11="Either",K78="Either"),3,0)</f>
        <v/>
      </c>
      <c r="X78" s="20">
        <f>IF(AND($AS$11&lt;&gt;"Online",K78&lt;&gt;"Online",ISNUMBER($AS$22),ISNUMBER(IFERROR(VALUE(M78),"x"))),IF(ABS($AS$22-VALUE(M78))&lt;=50,3,0),0)</f>
        <v/>
      </c>
      <c r="Y78" s="20">
        <f>IF(AND($AS$10&lt;&gt;"",$AS$10=J78),3,0)</f>
        <v/>
      </c>
      <c r="Z78" s="20">
        <f>IF(OR(N($AS$13)&gt;=150,N(O78)&gt;=150),3,0)</f>
        <v/>
      </c>
      <c r="AA78" s="20">
        <f>IF(AND($AS$21&lt;&gt;"",$AS$21&lt;&gt;"NA",$AS$21=I78),2,0)</f>
        <v/>
      </c>
      <c r="AB78" s="20">
        <f>IF(OR(AND($AS$14&lt;&gt;"",$AS$14&lt;&gt;"NA",OR($AS$14=AO78,$AS$14=AP78)),AND($AS$15&lt;&gt;"",OR($AS$15=AO78,$AS$15=AP78))),2,0)</f>
        <v/>
      </c>
      <c r="AC78" s="20">
        <f>IF(AND(ISNUMBER($AS$12),ISNUMBER(N78),ABS($AS$12-N78)&lt;=10),2,0)</f>
        <v/>
      </c>
      <c r="AD78" s="20">
        <f>IF(R78="Yes",SUM(S78:AC78),"")</f>
        <v/>
      </c>
      <c r="AE78" s="20">
        <f>IF(R78="Yes","Score "&amp;AD78&amp;": "&amp;TRIM(IF(S78&lt;&gt;0,"−8 acrimonious; ","")&amp;IF(T78=7,"+7 shared language; ","")&amp;IF(T78=-5,"−5 shared lang(adv); ","")&amp;IF(U78=5,"+5 same-sex; ","")&amp;IF(V78=-5,"−5 online no device; ","")&amp;IF(W78=3,"+3 mode; ","")&amp;IF(X78=3,"+3 proximity; ","")&amp;IF(Y78=3,"+3 category; ","")&amp;IF(Z78=3,"+3 long wait; ","")&amp;IF(AA78=2,"+2 religion; ","")&amp;IF(AB78=2,"+2 nationality; ","")&amp;IF(AC78=2,"+2 age; ","")),"Not eligible: "&amp;IF(NOT(AH78),"tutor not pending/with-capacity",IF(NOT(AI78),"no spare capacity",IF(AJ78,"tutor blacklisted",IF($AS$25,"student blacklisted",IF(NOT(AK78),"tutor vetting incomplete",IF(NOT($AS$26),"student vetting incomplete",IF(NOT(AM78),"no overlapping 3h AEST block",IF(NOT(AN78),"A1 student needs a shared language",IF(AL78,"'do not pair' note present",""))))))))))</f>
        <v/>
      </c>
      <c r="AF78">
        <f>TRIM(IFERROR(LEFT('(B) Register of Participants'!$AR$56,FIND(" (",'(B) Register of Participants'!$AR$56)-1),'(B) Register of Participants'!$AR$56))</f>
        <v/>
      </c>
      <c r="AG78">
        <f>IF(ISNUMBER(SEARCH("Mandarin",'(B) Register of Participants'!$AR$56)),"Mandarin",IF(ISNUMBER(SEARCH("Cantonese",'(B) Register of Participants'!$AR$56)),"Cantonese",IF(OR(AF78="Dari",AF78="Farsi",AF78="Persian",AF78="Hazaragi"),"Persian",AF78)))</f>
        <v/>
      </c>
      <c r="AH78">
        <f>OR(E78="ADM-ACT-UNMAT",E78="ADM-ACT-MAT-CNE")</f>
        <v/>
      </c>
      <c r="AI78">
        <f>F78&gt;0</f>
        <v/>
      </c>
      <c r="AJ78">
        <f>LEFT('(B) Register of Participants'!$L$56,3)="Yes"</f>
        <v/>
      </c>
      <c r="AK78">
        <f>AND(OR(LEFT('(B) Register of Participants'!$AY$56,3)="Yes",LEFT('(B) Register of Participants'!$AY$56,2)="NA"),OR(LEFT('(B) Register of Participants'!$AZ$56,3)="Yes",LEFT('(B) Register of Participants'!$AZ$56,2)="NA"))</f>
        <v/>
      </c>
      <c r="AL78">
        <f>OR(ISNUMBER(SEARCH("do not pair",'(B) Register of Participants'!$BL$56)),ISNUMBER(SEARCH("do not pair",'(B) Register of Participants'!$BM$56)))</f>
        <v/>
      </c>
      <c r="AM78">
        <f>P78&gt;0</f>
        <v/>
      </c>
      <c r="AN78">
        <f>IF($AS$8="A1",Q78=1,TRUE)</f>
        <v/>
      </c>
      <c r="AO78">
        <f>TRIM(IFERROR(LEFT('(B) Register of Participants'!$AP$56,FIND(";",'(B) Register of Participants'!$AP$56)-1),'(B) Register of Participants'!$AP$56))</f>
        <v/>
      </c>
      <c r="AP78">
        <f>IF(ISNUMBER(FIND(";",'(B) Register of Participants'!$AP$56)),TRIM(MID('(B) Register of Participants'!$AP$56,FIND(";",'(B) Register of Participants'!$AP$56)+1,80)),"")</f>
        <v/>
      </c>
    </row>
    <row r="79">
      <c r="B79" s="20">
        <f>IF(R79="Yes",RANK(AD79,$AD$25:$AD$124),"")</f>
        <v/>
      </c>
      <c r="C79" s="20">
        <f>'(B) Register of Participants'!$A$57</f>
        <v/>
      </c>
      <c r="D79" s="20">
        <f>'(B) Register of Participants'!$B$57</f>
        <v/>
      </c>
      <c r="E79" s="20">
        <f>'(B) Register of Participants'!$J$57</f>
        <v/>
      </c>
      <c r="F79" s="20">
        <f>IFERROR('(B) Register of Participants'!$O$57-'(B) Register of Participants'!$P$57,0)</f>
        <v/>
      </c>
      <c r="G79" s="20">
        <f>'(B) Register of Participants'!$AL$57</f>
        <v/>
      </c>
      <c r="H79" s="20">
        <f>'(B) Register of Participants'!$AP$57</f>
        <v/>
      </c>
      <c r="I79" s="20">
        <f>TRIM(IFERROR(LEFT('(B) Register of Participants'!$AS$57,FIND(" (",'(B) Register of Participants'!$AS$57)-1),'(B) Register of Participants'!$AS$57))</f>
        <v/>
      </c>
      <c r="J79" s="20">
        <f>'(B) Register of Participants'!$AT$57</f>
        <v/>
      </c>
      <c r="K79" s="20">
        <f>'(B) Register of Participants'!$AE$57</f>
        <v/>
      </c>
      <c r="L79" s="20">
        <f>'(B) Register of Participants'!$AF$57</f>
        <v/>
      </c>
      <c r="M79" s="20">
        <f>'(B) Register of Participants'!$AJ$57</f>
        <v/>
      </c>
      <c r="N79" s="20">
        <f>'(B) Register of Participants'!$CY$57</f>
        <v/>
      </c>
      <c r="O79" s="20">
        <f>'(B) Register of Participants'!$CW$57</f>
        <v/>
      </c>
      <c r="P79" s="20">
        <f>(ISNUMBER(SEARCH("6am-9am",$AS$27))*ISNUMBER(SEARCH("6am-9am",'(B) Register of Participants'!$X$57)))+(ISNUMBER(SEARCH("9am-12pm",$AS$27))*ISNUMBER(SEARCH("9am-12pm",'(B) Register of Participants'!$X$57)))+(ISNUMBER(SEARCH("12pm-3pm",$AS$27))*ISNUMBER(SEARCH("12pm-3pm",'(B) Register of Participants'!$X$57)))+(ISNUMBER(SEARCH("3pm-6pm",$AS$27))*ISNUMBER(SEARCH("3pm-6pm",'(B) Register of Participants'!$X$57)))+(ISNUMBER(SEARCH("6pm-9pm",$AS$27))*ISNUMBER(SEARCH("6pm-9pm",'(B) Register of Participants'!$X$57)))+(ISNUMBER(SEARCH("6am-9am",$AS$28))*ISNUMBER(SEARCH("6am-9am",'(B) Register of Participants'!$Y$57)))+(ISNUMBER(SEARCH("9am-12pm",$AS$28))*ISNUMBER(SEARCH("9am-12pm",'(B) Register of Participants'!$Y$57)))+(ISNUMBER(SEARCH("12pm-3pm",$AS$28))*ISNUMBER(SEARCH("12pm-3pm",'(B) Register of Participants'!$Y$57)))+(ISNUMBER(SEARCH("3pm-6pm",$AS$28))*ISNUMBER(SEARCH("3pm-6pm",'(B) Register of Participants'!$Y$57)))+(ISNUMBER(SEARCH("6pm-9pm",$AS$28))*ISNUMBER(SEARCH("6pm-9pm",'(B) Register of Participants'!$Y$57)))+(ISNUMBER(SEARCH("6am-9am",$AS$29))*ISNUMBER(SEARCH("6am-9am",'(B) Register of Participants'!$Z$57)))+(ISNUMBER(SEARCH("9am-12pm",$AS$29))*ISNUMBER(SEARCH("9am-12pm",'(B) Register of Participants'!$Z$57)))+(ISNUMBER(SEARCH("12pm-3pm",$AS$29))*ISNUMBER(SEARCH("12pm-3pm",'(B) Register of Participants'!$Z$57)))+(ISNUMBER(SEARCH("3pm-6pm",$AS$29))*ISNUMBER(SEARCH("3pm-6pm",'(B) Register of Participants'!$Z$57)))+(ISNUMBER(SEARCH("6pm-9pm",$AS$29))*ISNUMBER(SEARCH("6pm-9pm",'(B) Register of Participants'!$Z$57)))+(ISNUMBER(SEARCH("6am-9am",$AS$30))*ISNUMBER(SEARCH("6am-9am",'(B) Register of Participants'!$AA$57)))+(ISNUMBER(SEARCH("9am-12pm",$AS$30))*ISNUMBER(SEARCH("9am-12pm",'(B) Register of Participants'!$AA$57)))+(ISNUMBER(SEARCH("12pm-3pm",$AS$30))*ISNUMBER(SEARCH("12pm-3pm",'(B) Register of Participants'!$AA$57)))+(ISNUMBER(SEARCH("3pm-6pm",$AS$30))*ISNUMBER(SEARCH("3pm-6pm",'(B) Register of Participants'!$AA$57)))+(ISNUMBER(SEARCH("6pm-9pm",$AS$30))*ISNUMBER(SEARCH("6pm-9pm",'(B) Register of Participants'!$AA$57)))+(ISNUMBER(SEARCH("6am-9am",$AS$31))*ISNUMBER(SEARCH("6am-9am",'(B) Register of Participants'!$AB$57)))+(ISNUMBER(SEARCH("9am-12pm",$AS$31))*ISNUMBER(SEARCH("9am-12pm",'(B) Register of Participants'!$AB$57)))+(ISNUMBER(SEARCH("12pm-3pm",$AS$31))*ISNUMBER(SEARCH("12pm-3pm",'(B) Register of Participants'!$AB$57)))+(ISNUMBER(SEARCH("3pm-6pm",$AS$31))*ISNUMBER(SEARCH("3pm-6pm",'(B) Register of Participants'!$AB$57)))+(ISNUMBER(SEARCH("6pm-9pm",$AS$31))*ISNUMBER(SEARCH("6pm-9pm",'(B) Register of Participants'!$AB$57)))+(ISNUMBER(SEARCH("6am-9am",$AS$32))*ISNUMBER(SEARCH("6am-9am",'(B) Register of Participants'!$AC$57)))+(ISNUMBER(SEARCH("9am-12pm",$AS$32))*ISNUMBER(SEARCH("9am-12pm",'(B) Register of Participants'!$AC$57)))+(ISNUMBER(SEARCH("12pm-3pm",$AS$32))*ISNUMBER(SEARCH("12pm-3pm",'(B) Register of Participants'!$AC$57)))+(ISNUMBER(SEARCH("3pm-6pm",$AS$32))*ISNUMBER(SEARCH("3pm-6pm",'(B) Register of Participants'!$AC$57)))+(ISNUMBER(SEARCH("6pm-9pm",$AS$32))*ISNUMBER(SEARCH("6pm-9pm",'(B) Register of Participants'!$AC$57)))+(ISNUMBER(SEARCH("6am-9am",$AS$33))*ISNUMBER(SEARCH("6am-9am",'(B) Register of Participants'!$AD$57)))+(ISNUMBER(SEARCH("9am-12pm",$AS$33))*ISNUMBER(SEARCH("9am-12pm",'(B) Register of Participants'!$AD$57)))+(ISNUMBER(SEARCH("12pm-3pm",$AS$33))*ISNUMBER(SEARCH("12pm-3pm",'(B) Register of Participants'!$AD$57)))+(ISNUMBER(SEARCH("3pm-6pm",$AS$33))*ISNUMBER(SEARCH("3pm-6pm",'(B) Register of Participants'!$AD$57)))+(ISNUMBER(SEARCH("6pm-9pm",$AS$33))*ISNUMBER(SEARCH("6pm-9pm",'(B) Register of Participants'!$AD$57)))</f>
        <v/>
      </c>
      <c r="Q79" s="20">
        <f>IF(OR(AND($AS$17&lt;&gt;"",$AS$17&lt;&gt;"English",IF($AS$17="Persian",OR(ISNUMBER(SEARCH("Dari",'(B) Register of Participants'!$AR$57)),ISNUMBER(SEARCH("Farsi",'(B) Register of Participants'!$AR$57)),ISNUMBER(SEARCH("Persian",'(B) Register of Participants'!$AR$57)),ISNUMBER(SEARCH("Hazaragi",'(B) Register of Participants'!$AR$57))),ISNUMBER(SEARCH($AS$17,'(B) Register of Participants'!$AR$57)))),AND($AS$20&lt;&gt;"",$AS$20&lt;&gt;"English",IF($AS$20="Persian",OR(ISNUMBER(SEARCH("Dari",'(B) Register of Participants'!$AR$57)),ISNUMBER(SEARCH("Farsi",'(B) Register of Participants'!$AR$57)),ISNUMBER(SEARCH("Persian",'(B) Register of Participants'!$AR$57)),ISNUMBER(SEARCH("Hazaragi",'(B) Register of Participants'!$AR$57))),ISNUMBER(SEARCH($AS$20,'(B) Register of Participants'!$AR$57))))),1,0)</f>
        <v/>
      </c>
      <c r="R79" s="20">
        <f>IF(AND(AH79,AI79,NOT(AJ79),NOT($AS$25),AK79,$AS$26,AM79,AN79,NOT(AL79)),"Yes","No")</f>
        <v/>
      </c>
      <c r="S79" s="20">
        <f>IF(OR(COUNTIF('Engine Lists'!$A:$A,$AS$14&amp;"|"&amp;AO79)&gt;0,COUNTIF('Engine Lists'!$A:$A,$AS$14&amp;"|"&amp;AP79)&gt;0,COUNTIF('Engine Lists'!$A:$A,$AS$15&amp;"|"&amp;AO79)&gt;0,COUNTIF('Engine Lists'!$A:$A,$AS$15&amp;"|"&amp;AP79)&gt;0,COUNTIF('Engine Lists'!$A:$A,$AS$21&amp;"|"&amp;I79)&gt;0),-8,0)</f>
        <v/>
      </c>
      <c r="T79" s="20">
        <f>IF(Q79=1,IF(OR($AS$8="A2",$AS$8="B1"),7,IF(OR($AS$8="B2",$AS$8="C1",$AS$8="C2"),-5,0)),0)</f>
        <v/>
      </c>
      <c r="U79" s="20">
        <f>IF(AND($AS$6=G79,OR($AS$6="Male",$AS$6="Female")),5,0)</f>
        <v/>
      </c>
      <c r="V79" s="20">
        <f>IF(AND($AS$24,$AS$11&lt;&gt;"In-Person",K79&lt;&gt;"In-Person"),-5,0)</f>
        <v/>
      </c>
      <c r="W79" s="20">
        <f>IF(OR($AS$11=K79,$AS$11="Either",K79="Either"),3,0)</f>
        <v/>
      </c>
      <c r="X79" s="20">
        <f>IF(AND($AS$11&lt;&gt;"Online",K79&lt;&gt;"Online",ISNUMBER($AS$22),ISNUMBER(IFERROR(VALUE(M79),"x"))),IF(ABS($AS$22-VALUE(M79))&lt;=50,3,0),0)</f>
        <v/>
      </c>
      <c r="Y79" s="20">
        <f>IF(AND($AS$10&lt;&gt;"",$AS$10=J79),3,0)</f>
        <v/>
      </c>
      <c r="Z79" s="20">
        <f>IF(OR(N($AS$13)&gt;=150,N(O79)&gt;=150),3,0)</f>
        <v/>
      </c>
      <c r="AA79" s="20">
        <f>IF(AND($AS$21&lt;&gt;"",$AS$21&lt;&gt;"NA",$AS$21=I79),2,0)</f>
        <v/>
      </c>
      <c r="AB79" s="20">
        <f>IF(OR(AND($AS$14&lt;&gt;"",$AS$14&lt;&gt;"NA",OR($AS$14=AO79,$AS$14=AP79)),AND($AS$15&lt;&gt;"",OR($AS$15=AO79,$AS$15=AP79))),2,0)</f>
        <v/>
      </c>
      <c r="AC79" s="20">
        <f>IF(AND(ISNUMBER($AS$12),ISNUMBER(N79),ABS($AS$12-N79)&lt;=10),2,0)</f>
        <v/>
      </c>
      <c r="AD79" s="20">
        <f>IF(R79="Yes",SUM(S79:AC79),"")</f>
        <v/>
      </c>
      <c r="AE79" s="20">
        <f>IF(R79="Yes","Score "&amp;AD79&amp;": "&amp;TRIM(IF(S79&lt;&gt;0,"−8 acrimonious; ","")&amp;IF(T79=7,"+7 shared language; ","")&amp;IF(T79=-5,"−5 shared lang(adv); ","")&amp;IF(U79=5,"+5 same-sex; ","")&amp;IF(V79=-5,"−5 online no device; ","")&amp;IF(W79=3,"+3 mode; ","")&amp;IF(X79=3,"+3 proximity; ","")&amp;IF(Y79=3,"+3 category; ","")&amp;IF(Z79=3,"+3 long wait; ","")&amp;IF(AA79=2,"+2 religion; ","")&amp;IF(AB79=2,"+2 nationality; ","")&amp;IF(AC79=2,"+2 age; ","")),"Not eligible: "&amp;IF(NOT(AH79),"tutor not pending/with-capacity",IF(NOT(AI79),"no spare capacity",IF(AJ79,"tutor blacklisted",IF($AS$25,"student blacklisted",IF(NOT(AK79),"tutor vetting incomplete",IF(NOT($AS$26),"student vetting incomplete",IF(NOT(AM79),"no overlapping 3h AEST block",IF(NOT(AN79),"A1 student needs a shared language",IF(AL79,"'do not pair' note present",""))))))))))</f>
        <v/>
      </c>
      <c r="AF79">
        <f>TRIM(IFERROR(LEFT('(B) Register of Participants'!$AR$57,FIND(" (",'(B) Register of Participants'!$AR$57)-1),'(B) Register of Participants'!$AR$57))</f>
        <v/>
      </c>
      <c r="AG79">
        <f>IF(ISNUMBER(SEARCH("Mandarin",'(B) Register of Participants'!$AR$57)),"Mandarin",IF(ISNUMBER(SEARCH("Cantonese",'(B) Register of Participants'!$AR$57)),"Cantonese",IF(OR(AF79="Dari",AF79="Farsi",AF79="Persian",AF79="Hazaragi"),"Persian",AF79)))</f>
        <v/>
      </c>
      <c r="AH79">
        <f>OR(E79="ADM-ACT-UNMAT",E79="ADM-ACT-MAT-CNE")</f>
        <v/>
      </c>
      <c r="AI79">
        <f>F79&gt;0</f>
        <v/>
      </c>
      <c r="AJ79">
        <f>LEFT('(B) Register of Participants'!$L$57,3)="Yes"</f>
        <v/>
      </c>
      <c r="AK79">
        <f>AND(OR(LEFT('(B) Register of Participants'!$AY$57,3)="Yes",LEFT('(B) Register of Participants'!$AY$57,2)="NA"),OR(LEFT('(B) Register of Participants'!$AZ$57,3)="Yes",LEFT('(B) Register of Participants'!$AZ$57,2)="NA"))</f>
        <v/>
      </c>
      <c r="AL79">
        <f>OR(ISNUMBER(SEARCH("do not pair",'(B) Register of Participants'!$BL$57)),ISNUMBER(SEARCH("do not pair",'(B) Register of Participants'!$BM$57)))</f>
        <v/>
      </c>
      <c r="AM79">
        <f>P79&gt;0</f>
        <v/>
      </c>
      <c r="AN79">
        <f>IF($AS$8="A1",Q79=1,TRUE)</f>
        <v/>
      </c>
      <c r="AO79">
        <f>TRIM(IFERROR(LEFT('(B) Register of Participants'!$AP$57,FIND(";",'(B) Register of Participants'!$AP$57)-1),'(B) Register of Participants'!$AP$57))</f>
        <v/>
      </c>
      <c r="AP79">
        <f>IF(ISNUMBER(FIND(";",'(B) Register of Participants'!$AP$57)),TRIM(MID('(B) Register of Participants'!$AP$57,FIND(";",'(B) Register of Participants'!$AP$57)+1,80)),"")</f>
        <v/>
      </c>
    </row>
    <row r="80">
      <c r="B80" s="20">
        <f>IF(R80="Yes",RANK(AD80,$AD$25:$AD$124),"")</f>
        <v/>
      </c>
      <c r="C80" s="20">
        <f>'(B) Register of Participants'!$A$58</f>
        <v/>
      </c>
      <c r="D80" s="20">
        <f>'(B) Register of Participants'!$B$58</f>
        <v/>
      </c>
      <c r="E80" s="20">
        <f>'(B) Register of Participants'!$J$58</f>
        <v/>
      </c>
      <c r="F80" s="20">
        <f>IFERROR('(B) Register of Participants'!$O$58-'(B) Register of Participants'!$P$58,0)</f>
        <v/>
      </c>
      <c r="G80" s="20">
        <f>'(B) Register of Participants'!$AL$58</f>
        <v/>
      </c>
      <c r="H80" s="20">
        <f>'(B) Register of Participants'!$AP$58</f>
        <v/>
      </c>
      <c r="I80" s="20">
        <f>TRIM(IFERROR(LEFT('(B) Register of Participants'!$AS$58,FIND(" (",'(B) Register of Participants'!$AS$58)-1),'(B) Register of Participants'!$AS$58))</f>
        <v/>
      </c>
      <c r="J80" s="20">
        <f>'(B) Register of Participants'!$AT$58</f>
        <v/>
      </c>
      <c r="K80" s="20">
        <f>'(B) Register of Participants'!$AE$58</f>
        <v/>
      </c>
      <c r="L80" s="20">
        <f>'(B) Register of Participants'!$AF$58</f>
        <v/>
      </c>
      <c r="M80" s="20">
        <f>'(B) Register of Participants'!$AJ$58</f>
        <v/>
      </c>
      <c r="N80" s="20">
        <f>'(B) Register of Participants'!$CY$58</f>
        <v/>
      </c>
      <c r="O80" s="20">
        <f>'(B) Register of Participants'!$CW$58</f>
        <v/>
      </c>
      <c r="P80" s="20">
        <f>(ISNUMBER(SEARCH("6am-9am",$AS$27))*ISNUMBER(SEARCH("6am-9am",'(B) Register of Participants'!$X$58)))+(ISNUMBER(SEARCH("9am-12pm",$AS$27))*ISNUMBER(SEARCH("9am-12pm",'(B) Register of Participants'!$X$58)))+(ISNUMBER(SEARCH("12pm-3pm",$AS$27))*ISNUMBER(SEARCH("12pm-3pm",'(B) Register of Participants'!$X$58)))+(ISNUMBER(SEARCH("3pm-6pm",$AS$27))*ISNUMBER(SEARCH("3pm-6pm",'(B) Register of Participants'!$X$58)))+(ISNUMBER(SEARCH("6pm-9pm",$AS$27))*ISNUMBER(SEARCH("6pm-9pm",'(B) Register of Participants'!$X$58)))+(ISNUMBER(SEARCH("6am-9am",$AS$28))*ISNUMBER(SEARCH("6am-9am",'(B) Register of Participants'!$Y$58)))+(ISNUMBER(SEARCH("9am-12pm",$AS$28))*ISNUMBER(SEARCH("9am-12pm",'(B) Register of Participants'!$Y$58)))+(ISNUMBER(SEARCH("12pm-3pm",$AS$28))*ISNUMBER(SEARCH("12pm-3pm",'(B) Register of Participants'!$Y$58)))+(ISNUMBER(SEARCH("3pm-6pm",$AS$28))*ISNUMBER(SEARCH("3pm-6pm",'(B) Register of Participants'!$Y$58)))+(ISNUMBER(SEARCH("6pm-9pm",$AS$28))*ISNUMBER(SEARCH("6pm-9pm",'(B) Register of Participants'!$Y$58)))+(ISNUMBER(SEARCH("6am-9am",$AS$29))*ISNUMBER(SEARCH("6am-9am",'(B) Register of Participants'!$Z$58)))+(ISNUMBER(SEARCH("9am-12pm",$AS$29))*ISNUMBER(SEARCH("9am-12pm",'(B) Register of Participants'!$Z$58)))+(ISNUMBER(SEARCH("12pm-3pm",$AS$29))*ISNUMBER(SEARCH("12pm-3pm",'(B) Register of Participants'!$Z$58)))+(ISNUMBER(SEARCH("3pm-6pm",$AS$29))*ISNUMBER(SEARCH("3pm-6pm",'(B) Register of Participants'!$Z$58)))+(ISNUMBER(SEARCH("6pm-9pm",$AS$29))*ISNUMBER(SEARCH("6pm-9pm",'(B) Register of Participants'!$Z$58)))+(ISNUMBER(SEARCH("6am-9am",$AS$30))*ISNUMBER(SEARCH("6am-9am",'(B) Register of Participants'!$AA$58)))+(ISNUMBER(SEARCH("9am-12pm",$AS$30))*ISNUMBER(SEARCH("9am-12pm",'(B) Register of Participants'!$AA$58)))+(ISNUMBER(SEARCH("12pm-3pm",$AS$30))*ISNUMBER(SEARCH("12pm-3pm",'(B) Register of Participants'!$AA$58)))+(ISNUMBER(SEARCH("3pm-6pm",$AS$30))*ISNUMBER(SEARCH("3pm-6pm",'(B) Register of Participants'!$AA$58)))+(ISNUMBER(SEARCH("6pm-9pm",$AS$30))*ISNUMBER(SEARCH("6pm-9pm",'(B) Register of Participants'!$AA$58)))+(ISNUMBER(SEARCH("6am-9am",$AS$31))*ISNUMBER(SEARCH("6am-9am",'(B) Register of Participants'!$AB$58)))+(ISNUMBER(SEARCH("9am-12pm",$AS$31))*ISNUMBER(SEARCH("9am-12pm",'(B) Register of Participants'!$AB$58)))+(ISNUMBER(SEARCH("12pm-3pm",$AS$31))*ISNUMBER(SEARCH("12pm-3pm",'(B) Register of Participants'!$AB$58)))+(ISNUMBER(SEARCH("3pm-6pm",$AS$31))*ISNUMBER(SEARCH("3pm-6pm",'(B) Register of Participants'!$AB$58)))+(ISNUMBER(SEARCH("6pm-9pm",$AS$31))*ISNUMBER(SEARCH("6pm-9pm",'(B) Register of Participants'!$AB$58)))+(ISNUMBER(SEARCH("6am-9am",$AS$32))*ISNUMBER(SEARCH("6am-9am",'(B) Register of Participants'!$AC$58)))+(ISNUMBER(SEARCH("9am-12pm",$AS$32))*ISNUMBER(SEARCH("9am-12pm",'(B) Register of Participants'!$AC$58)))+(ISNUMBER(SEARCH("12pm-3pm",$AS$32))*ISNUMBER(SEARCH("12pm-3pm",'(B) Register of Participants'!$AC$58)))+(ISNUMBER(SEARCH("3pm-6pm",$AS$32))*ISNUMBER(SEARCH("3pm-6pm",'(B) Register of Participants'!$AC$58)))+(ISNUMBER(SEARCH("6pm-9pm",$AS$32))*ISNUMBER(SEARCH("6pm-9pm",'(B) Register of Participants'!$AC$58)))+(ISNUMBER(SEARCH("6am-9am",$AS$33))*ISNUMBER(SEARCH("6am-9am",'(B) Register of Participants'!$AD$58)))+(ISNUMBER(SEARCH("9am-12pm",$AS$33))*ISNUMBER(SEARCH("9am-12pm",'(B) Register of Participants'!$AD$58)))+(ISNUMBER(SEARCH("12pm-3pm",$AS$33))*ISNUMBER(SEARCH("12pm-3pm",'(B) Register of Participants'!$AD$58)))+(ISNUMBER(SEARCH("3pm-6pm",$AS$33))*ISNUMBER(SEARCH("3pm-6pm",'(B) Register of Participants'!$AD$58)))+(ISNUMBER(SEARCH("6pm-9pm",$AS$33))*ISNUMBER(SEARCH("6pm-9pm",'(B) Register of Participants'!$AD$58)))</f>
        <v/>
      </c>
      <c r="Q80" s="20">
        <f>IF(OR(AND($AS$17&lt;&gt;"",$AS$17&lt;&gt;"English",IF($AS$17="Persian",OR(ISNUMBER(SEARCH("Dari",'(B) Register of Participants'!$AR$58)),ISNUMBER(SEARCH("Farsi",'(B) Register of Participants'!$AR$58)),ISNUMBER(SEARCH("Persian",'(B) Register of Participants'!$AR$58)),ISNUMBER(SEARCH("Hazaragi",'(B) Register of Participants'!$AR$58))),ISNUMBER(SEARCH($AS$17,'(B) Register of Participants'!$AR$58)))),AND($AS$20&lt;&gt;"",$AS$20&lt;&gt;"English",IF($AS$20="Persian",OR(ISNUMBER(SEARCH("Dari",'(B) Register of Participants'!$AR$58)),ISNUMBER(SEARCH("Farsi",'(B) Register of Participants'!$AR$58)),ISNUMBER(SEARCH("Persian",'(B) Register of Participants'!$AR$58)),ISNUMBER(SEARCH("Hazaragi",'(B) Register of Participants'!$AR$58))),ISNUMBER(SEARCH($AS$20,'(B) Register of Participants'!$AR$58))))),1,0)</f>
        <v/>
      </c>
      <c r="R80" s="20">
        <f>IF(AND(AH80,AI80,NOT(AJ80),NOT($AS$25),AK80,$AS$26,AM80,AN80,NOT(AL80)),"Yes","No")</f>
        <v/>
      </c>
      <c r="S80" s="20">
        <f>IF(OR(COUNTIF('Engine Lists'!$A:$A,$AS$14&amp;"|"&amp;AO80)&gt;0,COUNTIF('Engine Lists'!$A:$A,$AS$14&amp;"|"&amp;AP80)&gt;0,COUNTIF('Engine Lists'!$A:$A,$AS$15&amp;"|"&amp;AO80)&gt;0,COUNTIF('Engine Lists'!$A:$A,$AS$15&amp;"|"&amp;AP80)&gt;0,COUNTIF('Engine Lists'!$A:$A,$AS$21&amp;"|"&amp;I80)&gt;0),-8,0)</f>
        <v/>
      </c>
      <c r="T80" s="20">
        <f>IF(Q80=1,IF(OR($AS$8="A2",$AS$8="B1"),7,IF(OR($AS$8="B2",$AS$8="C1",$AS$8="C2"),-5,0)),0)</f>
        <v/>
      </c>
      <c r="U80" s="20">
        <f>IF(AND($AS$6=G80,OR($AS$6="Male",$AS$6="Female")),5,0)</f>
        <v/>
      </c>
      <c r="V80" s="20">
        <f>IF(AND($AS$24,$AS$11&lt;&gt;"In-Person",K80&lt;&gt;"In-Person"),-5,0)</f>
        <v/>
      </c>
      <c r="W80" s="20">
        <f>IF(OR($AS$11=K80,$AS$11="Either",K80="Either"),3,0)</f>
        <v/>
      </c>
      <c r="X80" s="20">
        <f>IF(AND($AS$11&lt;&gt;"Online",K80&lt;&gt;"Online",ISNUMBER($AS$22),ISNUMBER(IFERROR(VALUE(M80),"x"))),IF(ABS($AS$22-VALUE(M80))&lt;=50,3,0),0)</f>
        <v/>
      </c>
      <c r="Y80" s="20">
        <f>IF(AND($AS$10&lt;&gt;"",$AS$10=J80),3,0)</f>
        <v/>
      </c>
      <c r="Z80" s="20">
        <f>IF(OR(N($AS$13)&gt;=150,N(O80)&gt;=150),3,0)</f>
        <v/>
      </c>
      <c r="AA80" s="20">
        <f>IF(AND($AS$21&lt;&gt;"",$AS$21&lt;&gt;"NA",$AS$21=I80),2,0)</f>
        <v/>
      </c>
      <c r="AB80" s="20">
        <f>IF(OR(AND($AS$14&lt;&gt;"",$AS$14&lt;&gt;"NA",OR($AS$14=AO80,$AS$14=AP80)),AND($AS$15&lt;&gt;"",OR($AS$15=AO80,$AS$15=AP80))),2,0)</f>
        <v/>
      </c>
      <c r="AC80" s="20">
        <f>IF(AND(ISNUMBER($AS$12),ISNUMBER(N80),ABS($AS$12-N80)&lt;=10),2,0)</f>
        <v/>
      </c>
      <c r="AD80" s="20">
        <f>IF(R80="Yes",SUM(S80:AC80),"")</f>
        <v/>
      </c>
      <c r="AE80" s="20">
        <f>IF(R80="Yes","Score "&amp;AD80&amp;": "&amp;TRIM(IF(S80&lt;&gt;0,"−8 acrimonious; ","")&amp;IF(T80=7,"+7 shared language; ","")&amp;IF(T80=-5,"−5 shared lang(adv); ","")&amp;IF(U80=5,"+5 same-sex; ","")&amp;IF(V80=-5,"−5 online no device; ","")&amp;IF(W80=3,"+3 mode; ","")&amp;IF(X80=3,"+3 proximity; ","")&amp;IF(Y80=3,"+3 category; ","")&amp;IF(Z80=3,"+3 long wait; ","")&amp;IF(AA80=2,"+2 religion; ","")&amp;IF(AB80=2,"+2 nationality; ","")&amp;IF(AC80=2,"+2 age; ","")),"Not eligible: "&amp;IF(NOT(AH80),"tutor not pending/with-capacity",IF(NOT(AI80),"no spare capacity",IF(AJ80,"tutor blacklisted",IF($AS$25,"student blacklisted",IF(NOT(AK80),"tutor vetting incomplete",IF(NOT($AS$26),"student vetting incomplete",IF(NOT(AM80),"no overlapping 3h AEST block",IF(NOT(AN80),"A1 student needs a shared language",IF(AL80,"'do not pair' note present",""))))))))))</f>
        <v/>
      </c>
      <c r="AF80">
        <f>TRIM(IFERROR(LEFT('(B) Register of Participants'!$AR$58,FIND(" (",'(B) Register of Participants'!$AR$58)-1),'(B) Register of Participants'!$AR$58))</f>
        <v/>
      </c>
      <c r="AG80">
        <f>IF(ISNUMBER(SEARCH("Mandarin",'(B) Register of Participants'!$AR$58)),"Mandarin",IF(ISNUMBER(SEARCH("Cantonese",'(B) Register of Participants'!$AR$58)),"Cantonese",IF(OR(AF80="Dari",AF80="Farsi",AF80="Persian",AF80="Hazaragi"),"Persian",AF80)))</f>
        <v/>
      </c>
      <c r="AH80">
        <f>OR(E80="ADM-ACT-UNMAT",E80="ADM-ACT-MAT-CNE")</f>
        <v/>
      </c>
      <c r="AI80">
        <f>F80&gt;0</f>
        <v/>
      </c>
      <c r="AJ80">
        <f>LEFT('(B) Register of Participants'!$L$58,3)="Yes"</f>
        <v/>
      </c>
      <c r="AK80">
        <f>AND(OR(LEFT('(B) Register of Participants'!$AY$58,3)="Yes",LEFT('(B) Register of Participants'!$AY$58,2)="NA"),OR(LEFT('(B) Register of Participants'!$AZ$58,3)="Yes",LEFT('(B) Register of Participants'!$AZ$58,2)="NA"))</f>
        <v/>
      </c>
      <c r="AL80">
        <f>OR(ISNUMBER(SEARCH("do not pair",'(B) Register of Participants'!$BL$58)),ISNUMBER(SEARCH("do not pair",'(B) Register of Participants'!$BM$58)))</f>
        <v/>
      </c>
      <c r="AM80">
        <f>P80&gt;0</f>
        <v/>
      </c>
      <c r="AN80">
        <f>IF($AS$8="A1",Q80=1,TRUE)</f>
        <v/>
      </c>
      <c r="AO80">
        <f>TRIM(IFERROR(LEFT('(B) Register of Participants'!$AP$58,FIND(";",'(B) Register of Participants'!$AP$58)-1),'(B) Register of Participants'!$AP$58))</f>
        <v/>
      </c>
      <c r="AP80">
        <f>IF(ISNUMBER(FIND(";",'(B) Register of Participants'!$AP$58)),TRIM(MID('(B) Register of Participants'!$AP$58,FIND(";",'(B) Register of Participants'!$AP$58)+1,80)),"")</f>
        <v/>
      </c>
    </row>
    <row r="81">
      <c r="B81" s="20">
        <f>IF(R81="Yes",RANK(AD81,$AD$25:$AD$124),"")</f>
        <v/>
      </c>
      <c r="C81" s="20">
        <f>'(B) Register of Participants'!$A$59</f>
        <v/>
      </c>
      <c r="D81" s="20">
        <f>'(B) Register of Participants'!$B$59</f>
        <v/>
      </c>
      <c r="E81" s="20">
        <f>'(B) Register of Participants'!$J$59</f>
        <v/>
      </c>
      <c r="F81" s="20">
        <f>IFERROR('(B) Register of Participants'!$O$59-'(B) Register of Participants'!$P$59,0)</f>
        <v/>
      </c>
      <c r="G81" s="20">
        <f>'(B) Register of Participants'!$AL$59</f>
        <v/>
      </c>
      <c r="H81" s="20">
        <f>'(B) Register of Participants'!$AP$59</f>
        <v/>
      </c>
      <c r="I81" s="20">
        <f>TRIM(IFERROR(LEFT('(B) Register of Participants'!$AS$59,FIND(" (",'(B) Register of Participants'!$AS$59)-1),'(B) Register of Participants'!$AS$59))</f>
        <v/>
      </c>
      <c r="J81" s="20">
        <f>'(B) Register of Participants'!$AT$59</f>
        <v/>
      </c>
      <c r="K81" s="20">
        <f>'(B) Register of Participants'!$AE$59</f>
        <v/>
      </c>
      <c r="L81" s="20">
        <f>'(B) Register of Participants'!$AF$59</f>
        <v/>
      </c>
      <c r="M81" s="20">
        <f>'(B) Register of Participants'!$AJ$59</f>
        <v/>
      </c>
      <c r="N81" s="20">
        <f>'(B) Register of Participants'!$CY$59</f>
        <v/>
      </c>
      <c r="O81" s="20">
        <f>'(B) Register of Participants'!$CW$59</f>
        <v/>
      </c>
      <c r="P81" s="20">
        <f>(ISNUMBER(SEARCH("6am-9am",$AS$27))*ISNUMBER(SEARCH("6am-9am",'(B) Register of Participants'!$X$59)))+(ISNUMBER(SEARCH("9am-12pm",$AS$27))*ISNUMBER(SEARCH("9am-12pm",'(B) Register of Participants'!$X$59)))+(ISNUMBER(SEARCH("12pm-3pm",$AS$27))*ISNUMBER(SEARCH("12pm-3pm",'(B) Register of Participants'!$X$59)))+(ISNUMBER(SEARCH("3pm-6pm",$AS$27))*ISNUMBER(SEARCH("3pm-6pm",'(B) Register of Participants'!$X$59)))+(ISNUMBER(SEARCH("6pm-9pm",$AS$27))*ISNUMBER(SEARCH("6pm-9pm",'(B) Register of Participants'!$X$59)))+(ISNUMBER(SEARCH("6am-9am",$AS$28))*ISNUMBER(SEARCH("6am-9am",'(B) Register of Participants'!$Y$59)))+(ISNUMBER(SEARCH("9am-12pm",$AS$28))*ISNUMBER(SEARCH("9am-12pm",'(B) Register of Participants'!$Y$59)))+(ISNUMBER(SEARCH("12pm-3pm",$AS$28))*ISNUMBER(SEARCH("12pm-3pm",'(B) Register of Participants'!$Y$59)))+(ISNUMBER(SEARCH("3pm-6pm",$AS$28))*ISNUMBER(SEARCH("3pm-6pm",'(B) Register of Participants'!$Y$59)))+(ISNUMBER(SEARCH("6pm-9pm",$AS$28))*ISNUMBER(SEARCH("6pm-9pm",'(B) Register of Participants'!$Y$59)))+(ISNUMBER(SEARCH("6am-9am",$AS$29))*ISNUMBER(SEARCH("6am-9am",'(B) Register of Participants'!$Z$59)))+(ISNUMBER(SEARCH("9am-12pm",$AS$29))*ISNUMBER(SEARCH("9am-12pm",'(B) Register of Participants'!$Z$59)))+(ISNUMBER(SEARCH("12pm-3pm",$AS$29))*ISNUMBER(SEARCH("12pm-3pm",'(B) Register of Participants'!$Z$59)))+(ISNUMBER(SEARCH("3pm-6pm",$AS$29))*ISNUMBER(SEARCH("3pm-6pm",'(B) Register of Participants'!$Z$59)))+(ISNUMBER(SEARCH("6pm-9pm",$AS$29))*ISNUMBER(SEARCH("6pm-9pm",'(B) Register of Participants'!$Z$59)))+(ISNUMBER(SEARCH("6am-9am",$AS$30))*ISNUMBER(SEARCH("6am-9am",'(B) Register of Participants'!$AA$59)))+(ISNUMBER(SEARCH("9am-12pm",$AS$30))*ISNUMBER(SEARCH("9am-12pm",'(B) Register of Participants'!$AA$59)))+(ISNUMBER(SEARCH("12pm-3pm",$AS$30))*ISNUMBER(SEARCH("12pm-3pm",'(B) Register of Participants'!$AA$59)))+(ISNUMBER(SEARCH("3pm-6pm",$AS$30))*ISNUMBER(SEARCH("3pm-6pm",'(B) Register of Participants'!$AA$59)))+(ISNUMBER(SEARCH("6pm-9pm",$AS$30))*ISNUMBER(SEARCH("6pm-9pm",'(B) Register of Participants'!$AA$59)))+(ISNUMBER(SEARCH("6am-9am",$AS$31))*ISNUMBER(SEARCH("6am-9am",'(B) Register of Participants'!$AB$59)))+(ISNUMBER(SEARCH("9am-12pm",$AS$31))*ISNUMBER(SEARCH("9am-12pm",'(B) Register of Participants'!$AB$59)))+(ISNUMBER(SEARCH("12pm-3pm",$AS$31))*ISNUMBER(SEARCH("12pm-3pm",'(B) Register of Participants'!$AB$59)))+(ISNUMBER(SEARCH("3pm-6pm",$AS$31))*ISNUMBER(SEARCH("3pm-6pm",'(B) Register of Participants'!$AB$59)))+(ISNUMBER(SEARCH("6pm-9pm",$AS$31))*ISNUMBER(SEARCH("6pm-9pm",'(B) Register of Participants'!$AB$59)))+(ISNUMBER(SEARCH("6am-9am",$AS$32))*ISNUMBER(SEARCH("6am-9am",'(B) Register of Participants'!$AC$59)))+(ISNUMBER(SEARCH("9am-12pm",$AS$32))*ISNUMBER(SEARCH("9am-12pm",'(B) Register of Participants'!$AC$59)))+(ISNUMBER(SEARCH("12pm-3pm",$AS$32))*ISNUMBER(SEARCH("12pm-3pm",'(B) Register of Participants'!$AC$59)))+(ISNUMBER(SEARCH("3pm-6pm",$AS$32))*ISNUMBER(SEARCH("3pm-6pm",'(B) Register of Participants'!$AC$59)))+(ISNUMBER(SEARCH("6pm-9pm",$AS$32))*ISNUMBER(SEARCH("6pm-9pm",'(B) Register of Participants'!$AC$59)))+(ISNUMBER(SEARCH("6am-9am",$AS$33))*ISNUMBER(SEARCH("6am-9am",'(B) Register of Participants'!$AD$59)))+(ISNUMBER(SEARCH("9am-12pm",$AS$33))*ISNUMBER(SEARCH("9am-12pm",'(B) Register of Participants'!$AD$59)))+(ISNUMBER(SEARCH("12pm-3pm",$AS$33))*ISNUMBER(SEARCH("12pm-3pm",'(B) Register of Participants'!$AD$59)))+(ISNUMBER(SEARCH("3pm-6pm",$AS$33))*ISNUMBER(SEARCH("3pm-6pm",'(B) Register of Participants'!$AD$59)))+(ISNUMBER(SEARCH("6pm-9pm",$AS$33))*ISNUMBER(SEARCH("6pm-9pm",'(B) Register of Participants'!$AD$59)))</f>
        <v/>
      </c>
      <c r="Q81" s="20">
        <f>IF(OR(AND($AS$17&lt;&gt;"",$AS$17&lt;&gt;"English",IF($AS$17="Persian",OR(ISNUMBER(SEARCH("Dari",'(B) Register of Participants'!$AR$59)),ISNUMBER(SEARCH("Farsi",'(B) Register of Participants'!$AR$59)),ISNUMBER(SEARCH("Persian",'(B) Register of Participants'!$AR$59)),ISNUMBER(SEARCH("Hazaragi",'(B) Register of Participants'!$AR$59))),ISNUMBER(SEARCH($AS$17,'(B) Register of Participants'!$AR$59)))),AND($AS$20&lt;&gt;"",$AS$20&lt;&gt;"English",IF($AS$20="Persian",OR(ISNUMBER(SEARCH("Dari",'(B) Register of Participants'!$AR$59)),ISNUMBER(SEARCH("Farsi",'(B) Register of Participants'!$AR$59)),ISNUMBER(SEARCH("Persian",'(B) Register of Participants'!$AR$59)),ISNUMBER(SEARCH("Hazaragi",'(B) Register of Participants'!$AR$59))),ISNUMBER(SEARCH($AS$20,'(B) Register of Participants'!$AR$59))))),1,0)</f>
        <v/>
      </c>
      <c r="R81" s="20">
        <f>IF(AND(AH81,AI81,NOT(AJ81),NOT($AS$25),AK81,$AS$26,AM81,AN81,NOT(AL81)),"Yes","No")</f>
        <v/>
      </c>
      <c r="S81" s="20">
        <f>IF(OR(COUNTIF('Engine Lists'!$A:$A,$AS$14&amp;"|"&amp;AO81)&gt;0,COUNTIF('Engine Lists'!$A:$A,$AS$14&amp;"|"&amp;AP81)&gt;0,COUNTIF('Engine Lists'!$A:$A,$AS$15&amp;"|"&amp;AO81)&gt;0,COUNTIF('Engine Lists'!$A:$A,$AS$15&amp;"|"&amp;AP81)&gt;0,COUNTIF('Engine Lists'!$A:$A,$AS$21&amp;"|"&amp;I81)&gt;0),-8,0)</f>
        <v/>
      </c>
      <c r="T81" s="20">
        <f>IF(Q81=1,IF(OR($AS$8="A2",$AS$8="B1"),7,IF(OR($AS$8="B2",$AS$8="C1",$AS$8="C2"),-5,0)),0)</f>
        <v/>
      </c>
      <c r="U81" s="20">
        <f>IF(AND($AS$6=G81,OR($AS$6="Male",$AS$6="Female")),5,0)</f>
        <v/>
      </c>
      <c r="V81" s="20">
        <f>IF(AND($AS$24,$AS$11&lt;&gt;"In-Person",K81&lt;&gt;"In-Person"),-5,0)</f>
        <v/>
      </c>
      <c r="W81" s="20">
        <f>IF(OR($AS$11=K81,$AS$11="Either",K81="Either"),3,0)</f>
        <v/>
      </c>
      <c r="X81" s="20">
        <f>IF(AND($AS$11&lt;&gt;"Online",K81&lt;&gt;"Online",ISNUMBER($AS$22),ISNUMBER(IFERROR(VALUE(M81),"x"))),IF(ABS($AS$22-VALUE(M81))&lt;=50,3,0),0)</f>
        <v/>
      </c>
      <c r="Y81" s="20">
        <f>IF(AND($AS$10&lt;&gt;"",$AS$10=J81),3,0)</f>
        <v/>
      </c>
      <c r="Z81" s="20">
        <f>IF(OR(N($AS$13)&gt;=150,N(O81)&gt;=150),3,0)</f>
        <v/>
      </c>
      <c r="AA81" s="20">
        <f>IF(AND($AS$21&lt;&gt;"",$AS$21&lt;&gt;"NA",$AS$21=I81),2,0)</f>
        <v/>
      </c>
      <c r="AB81" s="20">
        <f>IF(OR(AND($AS$14&lt;&gt;"",$AS$14&lt;&gt;"NA",OR($AS$14=AO81,$AS$14=AP81)),AND($AS$15&lt;&gt;"",OR($AS$15=AO81,$AS$15=AP81))),2,0)</f>
        <v/>
      </c>
      <c r="AC81" s="20">
        <f>IF(AND(ISNUMBER($AS$12),ISNUMBER(N81),ABS($AS$12-N81)&lt;=10),2,0)</f>
        <v/>
      </c>
      <c r="AD81" s="20">
        <f>IF(R81="Yes",SUM(S81:AC81),"")</f>
        <v/>
      </c>
      <c r="AE81" s="20">
        <f>IF(R81="Yes","Score "&amp;AD81&amp;": "&amp;TRIM(IF(S81&lt;&gt;0,"−8 acrimonious; ","")&amp;IF(T81=7,"+7 shared language; ","")&amp;IF(T81=-5,"−5 shared lang(adv); ","")&amp;IF(U81=5,"+5 same-sex; ","")&amp;IF(V81=-5,"−5 online no device; ","")&amp;IF(W81=3,"+3 mode; ","")&amp;IF(X81=3,"+3 proximity; ","")&amp;IF(Y81=3,"+3 category; ","")&amp;IF(Z81=3,"+3 long wait; ","")&amp;IF(AA81=2,"+2 religion; ","")&amp;IF(AB81=2,"+2 nationality; ","")&amp;IF(AC81=2,"+2 age; ","")),"Not eligible: "&amp;IF(NOT(AH81),"tutor not pending/with-capacity",IF(NOT(AI81),"no spare capacity",IF(AJ81,"tutor blacklisted",IF($AS$25,"student blacklisted",IF(NOT(AK81),"tutor vetting incomplete",IF(NOT($AS$26),"student vetting incomplete",IF(NOT(AM81),"no overlapping 3h AEST block",IF(NOT(AN81),"A1 student needs a shared language",IF(AL81,"'do not pair' note present",""))))))))))</f>
        <v/>
      </c>
      <c r="AF81">
        <f>TRIM(IFERROR(LEFT('(B) Register of Participants'!$AR$59,FIND(" (",'(B) Register of Participants'!$AR$59)-1),'(B) Register of Participants'!$AR$59))</f>
        <v/>
      </c>
      <c r="AG81">
        <f>IF(ISNUMBER(SEARCH("Mandarin",'(B) Register of Participants'!$AR$59)),"Mandarin",IF(ISNUMBER(SEARCH("Cantonese",'(B) Register of Participants'!$AR$59)),"Cantonese",IF(OR(AF81="Dari",AF81="Farsi",AF81="Persian",AF81="Hazaragi"),"Persian",AF81)))</f>
        <v/>
      </c>
      <c r="AH81">
        <f>OR(E81="ADM-ACT-UNMAT",E81="ADM-ACT-MAT-CNE")</f>
        <v/>
      </c>
      <c r="AI81">
        <f>F81&gt;0</f>
        <v/>
      </c>
      <c r="AJ81">
        <f>LEFT('(B) Register of Participants'!$L$59,3)="Yes"</f>
        <v/>
      </c>
      <c r="AK81">
        <f>AND(OR(LEFT('(B) Register of Participants'!$AY$59,3)="Yes",LEFT('(B) Register of Participants'!$AY$59,2)="NA"),OR(LEFT('(B) Register of Participants'!$AZ$59,3)="Yes",LEFT('(B) Register of Participants'!$AZ$59,2)="NA"))</f>
        <v/>
      </c>
      <c r="AL81">
        <f>OR(ISNUMBER(SEARCH("do not pair",'(B) Register of Participants'!$BL$59)),ISNUMBER(SEARCH("do not pair",'(B) Register of Participants'!$BM$59)))</f>
        <v/>
      </c>
      <c r="AM81">
        <f>P81&gt;0</f>
        <v/>
      </c>
      <c r="AN81">
        <f>IF($AS$8="A1",Q81=1,TRUE)</f>
        <v/>
      </c>
      <c r="AO81">
        <f>TRIM(IFERROR(LEFT('(B) Register of Participants'!$AP$59,FIND(";",'(B) Register of Participants'!$AP$59)-1),'(B) Register of Participants'!$AP$59))</f>
        <v/>
      </c>
      <c r="AP81">
        <f>IF(ISNUMBER(FIND(";",'(B) Register of Participants'!$AP$59)),TRIM(MID('(B) Register of Participants'!$AP$59,FIND(";",'(B) Register of Participants'!$AP$59)+1,80)),"")</f>
        <v/>
      </c>
    </row>
    <row r="82">
      <c r="B82" s="20">
        <f>IF(R82="Yes",RANK(AD82,$AD$25:$AD$124),"")</f>
        <v/>
      </c>
      <c r="C82" s="20">
        <f>'(B) Register of Participants'!$A$60</f>
        <v/>
      </c>
      <c r="D82" s="20">
        <f>'(B) Register of Participants'!$B$60</f>
        <v/>
      </c>
      <c r="E82" s="20">
        <f>'(B) Register of Participants'!$J$60</f>
        <v/>
      </c>
      <c r="F82" s="20">
        <f>IFERROR('(B) Register of Participants'!$O$60-'(B) Register of Participants'!$P$60,0)</f>
        <v/>
      </c>
      <c r="G82" s="20">
        <f>'(B) Register of Participants'!$AL$60</f>
        <v/>
      </c>
      <c r="H82" s="20">
        <f>'(B) Register of Participants'!$AP$60</f>
        <v/>
      </c>
      <c r="I82" s="20">
        <f>TRIM(IFERROR(LEFT('(B) Register of Participants'!$AS$60,FIND(" (",'(B) Register of Participants'!$AS$60)-1),'(B) Register of Participants'!$AS$60))</f>
        <v/>
      </c>
      <c r="J82" s="20">
        <f>'(B) Register of Participants'!$AT$60</f>
        <v/>
      </c>
      <c r="K82" s="20">
        <f>'(B) Register of Participants'!$AE$60</f>
        <v/>
      </c>
      <c r="L82" s="20">
        <f>'(B) Register of Participants'!$AF$60</f>
        <v/>
      </c>
      <c r="M82" s="20">
        <f>'(B) Register of Participants'!$AJ$60</f>
        <v/>
      </c>
      <c r="N82" s="20">
        <f>'(B) Register of Participants'!$CY$60</f>
        <v/>
      </c>
      <c r="O82" s="20">
        <f>'(B) Register of Participants'!$CW$60</f>
        <v/>
      </c>
      <c r="P82" s="20">
        <f>(ISNUMBER(SEARCH("6am-9am",$AS$27))*ISNUMBER(SEARCH("6am-9am",'(B) Register of Participants'!$X$60)))+(ISNUMBER(SEARCH("9am-12pm",$AS$27))*ISNUMBER(SEARCH("9am-12pm",'(B) Register of Participants'!$X$60)))+(ISNUMBER(SEARCH("12pm-3pm",$AS$27))*ISNUMBER(SEARCH("12pm-3pm",'(B) Register of Participants'!$X$60)))+(ISNUMBER(SEARCH("3pm-6pm",$AS$27))*ISNUMBER(SEARCH("3pm-6pm",'(B) Register of Participants'!$X$60)))+(ISNUMBER(SEARCH("6pm-9pm",$AS$27))*ISNUMBER(SEARCH("6pm-9pm",'(B) Register of Participants'!$X$60)))+(ISNUMBER(SEARCH("6am-9am",$AS$28))*ISNUMBER(SEARCH("6am-9am",'(B) Register of Participants'!$Y$60)))+(ISNUMBER(SEARCH("9am-12pm",$AS$28))*ISNUMBER(SEARCH("9am-12pm",'(B) Register of Participants'!$Y$60)))+(ISNUMBER(SEARCH("12pm-3pm",$AS$28))*ISNUMBER(SEARCH("12pm-3pm",'(B) Register of Participants'!$Y$60)))+(ISNUMBER(SEARCH("3pm-6pm",$AS$28))*ISNUMBER(SEARCH("3pm-6pm",'(B) Register of Participants'!$Y$60)))+(ISNUMBER(SEARCH("6pm-9pm",$AS$28))*ISNUMBER(SEARCH("6pm-9pm",'(B) Register of Participants'!$Y$60)))+(ISNUMBER(SEARCH("6am-9am",$AS$29))*ISNUMBER(SEARCH("6am-9am",'(B) Register of Participants'!$Z$60)))+(ISNUMBER(SEARCH("9am-12pm",$AS$29))*ISNUMBER(SEARCH("9am-12pm",'(B) Register of Participants'!$Z$60)))+(ISNUMBER(SEARCH("12pm-3pm",$AS$29))*ISNUMBER(SEARCH("12pm-3pm",'(B) Register of Participants'!$Z$60)))+(ISNUMBER(SEARCH("3pm-6pm",$AS$29))*ISNUMBER(SEARCH("3pm-6pm",'(B) Register of Participants'!$Z$60)))+(ISNUMBER(SEARCH("6pm-9pm",$AS$29))*ISNUMBER(SEARCH("6pm-9pm",'(B) Register of Participants'!$Z$60)))+(ISNUMBER(SEARCH("6am-9am",$AS$30))*ISNUMBER(SEARCH("6am-9am",'(B) Register of Participants'!$AA$60)))+(ISNUMBER(SEARCH("9am-12pm",$AS$30))*ISNUMBER(SEARCH("9am-12pm",'(B) Register of Participants'!$AA$60)))+(ISNUMBER(SEARCH("12pm-3pm",$AS$30))*ISNUMBER(SEARCH("12pm-3pm",'(B) Register of Participants'!$AA$60)))+(ISNUMBER(SEARCH("3pm-6pm",$AS$30))*ISNUMBER(SEARCH("3pm-6pm",'(B) Register of Participants'!$AA$60)))+(ISNUMBER(SEARCH("6pm-9pm",$AS$30))*ISNUMBER(SEARCH("6pm-9pm",'(B) Register of Participants'!$AA$60)))+(ISNUMBER(SEARCH("6am-9am",$AS$31))*ISNUMBER(SEARCH("6am-9am",'(B) Register of Participants'!$AB$60)))+(ISNUMBER(SEARCH("9am-12pm",$AS$31))*ISNUMBER(SEARCH("9am-12pm",'(B) Register of Participants'!$AB$60)))+(ISNUMBER(SEARCH("12pm-3pm",$AS$31))*ISNUMBER(SEARCH("12pm-3pm",'(B) Register of Participants'!$AB$60)))+(ISNUMBER(SEARCH("3pm-6pm",$AS$31))*ISNUMBER(SEARCH("3pm-6pm",'(B) Register of Participants'!$AB$60)))+(ISNUMBER(SEARCH("6pm-9pm",$AS$31))*ISNUMBER(SEARCH("6pm-9pm",'(B) Register of Participants'!$AB$60)))+(ISNUMBER(SEARCH("6am-9am",$AS$32))*ISNUMBER(SEARCH("6am-9am",'(B) Register of Participants'!$AC$60)))+(ISNUMBER(SEARCH("9am-12pm",$AS$32))*ISNUMBER(SEARCH("9am-12pm",'(B) Register of Participants'!$AC$60)))+(ISNUMBER(SEARCH("12pm-3pm",$AS$32))*ISNUMBER(SEARCH("12pm-3pm",'(B) Register of Participants'!$AC$60)))+(ISNUMBER(SEARCH("3pm-6pm",$AS$32))*ISNUMBER(SEARCH("3pm-6pm",'(B) Register of Participants'!$AC$60)))+(ISNUMBER(SEARCH("6pm-9pm",$AS$32))*ISNUMBER(SEARCH("6pm-9pm",'(B) Register of Participants'!$AC$60)))+(ISNUMBER(SEARCH("6am-9am",$AS$33))*ISNUMBER(SEARCH("6am-9am",'(B) Register of Participants'!$AD$60)))+(ISNUMBER(SEARCH("9am-12pm",$AS$33))*ISNUMBER(SEARCH("9am-12pm",'(B) Register of Participants'!$AD$60)))+(ISNUMBER(SEARCH("12pm-3pm",$AS$33))*ISNUMBER(SEARCH("12pm-3pm",'(B) Register of Participants'!$AD$60)))+(ISNUMBER(SEARCH("3pm-6pm",$AS$33))*ISNUMBER(SEARCH("3pm-6pm",'(B) Register of Participants'!$AD$60)))+(ISNUMBER(SEARCH("6pm-9pm",$AS$33))*ISNUMBER(SEARCH("6pm-9pm",'(B) Register of Participants'!$AD$60)))</f>
        <v/>
      </c>
      <c r="Q82" s="20">
        <f>IF(OR(AND($AS$17&lt;&gt;"",$AS$17&lt;&gt;"English",IF($AS$17="Persian",OR(ISNUMBER(SEARCH("Dari",'(B) Register of Participants'!$AR$60)),ISNUMBER(SEARCH("Farsi",'(B) Register of Participants'!$AR$60)),ISNUMBER(SEARCH("Persian",'(B) Register of Participants'!$AR$60)),ISNUMBER(SEARCH("Hazaragi",'(B) Register of Participants'!$AR$60))),ISNUMBER(SEARCH($AS$17,'(B) Register of Participants'!$AR$60)))),AND($AS$20&lt;&gt;"",$AS$20&lt;&gt;"English",IF($AS$20="Persian",OR(ISNUMBER(SEARCH("Dari",'(B) Register of Participants'!$AR$60)),ISNUMBER(SEARCH("Farsi",'(B) Register of Participants'!$AR$60)),ISNUMBER(SEARCH("Persian",'(B) Register of Participants'!$AR$60)),ISNUMBER(SEARCH("Hazaragi",'(B) Register of Participants'!$AR$60))),ISNUMBER(SEARCH($AS$20,'(B) Register of Participants'!$AR$60))))),1,0)</f>
        <v/>
      </c>
      <c r="R82" s="20">
        <f>IF(AND(AH82,AI82,NOT(AJ82),NOT($AS$25),AK82,$AS$26,AM82,AN82,NOT(AL82)),"Yes","No")</f>
        <v/>
      </c>
      <c r="S82" s="20">
        <f>IF(OR(COUNTIF('Engine Lists'!$A:$A,$AS$14&amp;"|"&amp;AO82)&gt;0,COUNTIF('Engine Lists'!$A:$A,$AS$14&amp;"|"&amp;AP82)&gt;0,COUNTIF('Engine Lists'!$A:$A,$AS$15&amp;"|"&amp;AO82)&gt;0,COUNTIF('Engine Lists'!$A:$A,$AS$15&amp;"|"&amp;AP82)&gt;0,COUNTIF('Engine Lists'!$A:$A,$AS$21&amp;"|"&amp;I82)&gt;0),-8,0)</f>
        <v/>
      </c>
      <c r="T82" s="20">
        <f>IF(Q82=1,IF(OR($AS$8="A2",$AS$8="B1"),7,IF(OR($AS$8="B2",$AS$8="C1",$AS$8="C2"),-5,0)),0)</f>
        <v/>
      </c>
      <c r="U82" s="20">
        <f>IF(AND($AS$6=G82,OR($AS$6="Male",$AS$6="Female")),5,0)</f>
        <v/>
      </c>
      <c r="V82" s="20">
        <f>IF(AND($AS$24,$AS$11&lt;&gt;"In-Person",K82&lt;&gt;"In-Person"),-5,0)</f>
        <v/>
      </c>
      <c r="W82" s="20">
        <f>IF(OR($AS$11=K82,$AS$11="Either",K82="Either"),3,0)</f>
        <v/>
      </c>
      <c r="X82" s="20">
        <f>IF(AND($AS$11&lt;&gt;"Online",K82&lt;&gt;"Online",ISNUMBER($AS$22),ISNUMBER(IFERROR(VALUE(M82),"x"))),IF(ABS($AS$22-VALUE(M82))&lt;=50,3,0),0)</f>
        <v/>
      </c>
      <c r="Y82" s="20">
        <f>IF(AND($AS$10&lt;&gt;"",$AS$10=J82),3,0)</f>
        <v/>
      </c>
      <c r="Z82" s="20">
        <f>IF(OR(N($AS$13)&gt;=150,N(O82)&gt;=150),3,0)</f>
        <v/>
      </c>
      <c r="AA82" s="20">
        <f>IF(AND($AS$21&lt;&gt;"",$AS$21&lt;&gt;"NA",$AS$21=I82),2,0)</f>
        <v/>
      </c>
      <c r="AB82" s="20">
        <f>IF(OR(AND($AS$14&lt;&gt;"",$AS$14&lt;&gt;"NA",OR($AS$14=AO82,$AS$14=AP82)),AND($AS$15&lt;&gt;"",OR($AS$15=AO82,$AS$15=AP82))),2,0)</f>
        <v/>
      </c>
      <c r="AC82" s="20">
        <f>IF(AND(ISNUMBER($AS$12),ISNUMBER(N82),ABS($AS$12-N82)&lt;=10),2,0)</f>
        <v/>
      </c>
      <c r="AD82" s="20">
        <f>IF(R82="Yes",SUM(S82:AC82),"")</f>
        <v/>
      </c>
      <c r="AE82" s="20">
        <f>IF(R82="Yes","Score "&amp;AD82&amp;": "&amp;TRIM(IF(S82&lt;&gt;0,"−8 acrimonious; ","")&amp;IF(T82=7,"+7 shared language; ","")&amp;IF(T82=-5,"−5 shared lang(adv); ","")&amp;IF(U82=5,"+5 same-sex; ","")&amp;IF(V82=-5,"−5 online no device; ","")&amp;IF(W82=3,"+3 mode; ","")&amp;IF(X82=3,"+3 proximity; ","")&amp;IF(Y82=3,"+3 category; ","")&amp;IF(Z82=3,"+3 long wait; ","")&amp;IF(AA82=2,"+2 religion; ","")&amp;IF(AB82=2,"+2 nationality; ","")&amp;IF(AC82=2,"+2 age; ","")),"Not eligible: "&amp;IF(NOT(AH82),"tutor not pending/with-capacity",IF(NOT(AI82),"no spare capacity",IF(AJ82,"tutor blacklisted",IF($AS$25,"student blacklisted",IF(NOT(AK82),"tutor vetting incomplete",IF(NOT($AS$26),"student vetting incomplete",IF(NOT(AM82),"no overlapping 3h AEST block",IF(NOT(AN82),"A1 student needs a shared language",IF(AL82,"'do not pair' note present",""))))))))))</f>
        <v/>
      </c>
      <c r="AF82">
        <f>TRIM(IFERROR(LEFT('(B) Register of Participants'!$AR$60,FIND(" (",'(B) Register of Participants'!$AR$60)-1),'(B) Register of Participants'!$AR$60))</f>
        <v/>
      </c>
      <c r="AG82">
        <f>IF(ISNUMBER(SEARCH("Mandarin",'(B) Register of Participants'!$AR$60)),"Mandarin",IF(ISNUMBER(SEARCH("Cantonese",'(B) Register of Participants'!$AR$60)),"Cantonese",IF(OR(AF82="Dari",AF82="Farsi",AF82="Persian",AF82="Hazaragi"),"Persian",AF82)))</f>
        <v/>
      </c>
      <c r="AH82">
        <f>OR(E82="ADM-ACT-UNMAT",E82="ADM-ACT-MAT-CNE")</f>
        <v/>
      </c>
      <c r="AI82">
        <f>F82&gt;0</f>
        <v/>
      </c>
      <c r="AJ82">
        <f>LEFT('(B) Register of Participants'!$L$60,3)="Yes"</f>
        <v/>
      </c>
      <c r="AK82">
        <f>AND(OR(LEFT('(B) Register of Participants'!$AY$60,3)="Yes",LEFT('(B) Register of Participants'!$AY$60,2)="NA"),OR(LEFT('(B) Register of Participants'!$AZ$60,3)="Yes",LEFT('(B) Register of Participants'!$AZ$60,2)="NA"))</f>
        <v/>
      </c>
      <c r="AL82">
        <f>OR(ISNUMBER(SEARCH("do not pair",'(B) Register of Participants'!$BL$60)),ISNUMBER(SEARCH("do not pair",'(B) Register of Participants'!$BM$60)))</f>
        <v/>
      </c>
      <c r="AM82">
        <f>P82&gt;0</f>
        <v/>
      </c>
      <c r="AN82">
        <f>IF($AS$8="A1",Q82=1,TRUE)</f>
        <v/>
      </c>
      <c r="AO82">
        <f>TRIM(IFERROR(LEFT('(B) Register of Participants'!$AP$60,FIND(";",'(B) Register of Participants'!$AP$60)-1),'(B) Register of Participants'!$AP$60))</f>
        <v/>
      </c>
      <c r="AP82">
        <f>IF(ISNUMBER(FIND(";",'(B) Register of Participants'!$AP$60)),TRIM(MID('(B) Register of Participants'!$AP$60,FIND(";",'(B) Register of Participants'!$AP$60)+1,80)),"")</f>
        <v/>
      </c>
    </row>
    <row r="83">
      <c r="B83" s="20">
        <f>IF(R83="Yes",RANK(AD83,$AD$25:$AD$124),"")</f>
        <v/>
      </c>
      <c r="C83" s="20">
        <f>'(B) Register of Participants'!$A$61</f>
        <v/>
      </c>
      <c r="D83" s="20">
        <f>'(B) Register of Participants'!$B$61</f>
        <v/>
      </c>
      <c r="E83" s="20">
        <f>'(B) Register of Participants'!$J$61</f>
        <v/>
      </c>
      <c r="F83" s="20">
        <f>IFERROR('(B) Register of Participants'!$O$61-'(B) Register of Participants'!$P$61,0)</f>
        <v/>
      </c>
      <c r="G83" s="20">
        <f>'(B) Register of Participants'!$AL$61</f>
        <v/>
      </c>
      <c r="H83" s="20">
        <f>'(B) Register of Participants'!$AP$61</f>
        <v/>
      </c>
      <c r="I83" s="20">
        <f>TRIM(IFERROR(LEFT('(B) Register of Participants'!$AS$61,FIND(" (",'(B) Register of Participants'!$AS$61)-1),'(B) Register of Participants'!$AS$61))</f>
        <v/>
      </c>
      <c r="J83" s="20">
        <f>'(B) Register of Participants'!$AT$61</f>
        <v/>
      </c>
      <c r="K83" s="20">
        <f>'(B) Register of Participants'!$AE$61</f>
        <v/>
      </c>
      <c r="L83" s="20">
        <f>'(B) Register of Participants'!$AF$61</f>
        <v/>
      </c>
      <c r="M83" s="20">
        <f>'(B) Register of Participants'!$AJ$61</f>
        <v/>
      </c>
      <c r="N83" s="20">
        <f>'(B) Register of Participants'!$CY$61</f>
        <v/>
      </c>
      <c r="O83" s="20">
        <f>'(B) Register of Participants'!$CW$61</f>
        <v/>
      </c>
      <c r="P83" s="20">
        <f>(ISNUMBER(SEARCH("6am-9am",$AS$27))*ISNUMBER(SEARCH("6am-9am",'(B) Register of Participants'!$X$61)))+(ISNUMBER(SEARCH("9am-12pm",$AS$27))*ISNUMBER(SEARCH("9am-12pm",'(B) Register of Participants'!$X$61)))+(ISNUMBER(SEARCH("12pm-3pm",$AS$27))*ISNUMBER(SEARCH("12pm-3pm",'(B) Register of Participants'!$X$61)))+(ISNUMBER(SEARCH("3pm-6pm",$AS$27))*ISNUMBER(SEARCH("3pm-6pm",'(B) Register of Participants'!$X$61)))+(ISNUMBER(SEARCH("6pm-9pm",$AS$27))*ISNUMBER(SEARCH("6pm-9pm",'(B) Register of Participants'!$X$61)))+(ISNUMBER(SEARCH("6am-9am",$AS$28))*ISNUMBER(SEARCH("6am-9am",'(B) Register of Participants'!$Y$61)))+(ISNUMBER(SEARCH("9am-12pm",$AS$28))*ISNUMBER(SEARCH("9am-12pm",'(B) Register of Participants'!$Y$61)))+(ISNUMBER(SEARCH("12pm-3pm",$AS$28))*ISNUMBER(SEARCH("12pm-3pm",'(B) Register of Participants'!$Y$61)))+(ISNUMBER(SEARCH("3pm-6pm",$AS$28))*ISNUMBER(SEARCH("3pm-6pm",'(B) Register of Participants'!$Y$61)))+(ISNUMBER(SEARCH("6pm-9pm",$AS$28))*ISNUMBER(SEARCH("6pm-9pm",'(B) Register of Participants'!$Y$61)))+(ISNUMBER(SEARCH("6am-9am",$AS$29))*ISNUMBER(SEARCH("6am-9am",'(B) Register of Participants'!$Z$61)))+(ISNUMBER(SEARCH("9am-12pm",$AS$29))*ISNUMBER(SEARCH("9am-12pm",'(B) Register of Participants'!$Z$61)))+(ISNUMBER(SEARCH("12pm-3pm",$AS$29))*ISNUMBER(SEARCH("12pm-3pm",'(B) Register of Participants'!$Z$61)))+(ISNUMBER(SEARCH("3pm-6pm",$AS$29))*ISNUMBER(SEARCH("3pm-6pm",'(B) Register of Participants'!$Z$61)))+(ISNUMBER(SEARCH("6pm-9pm",$AS$29))*ISNUMBER(SEARCH("6pm-9pm",'(B) Register of Participants'!$Z$61)))+(ISNUMBER(SEARCH("6am-9am",$AS$30))*ISNUMBER(SEARCH("6am-9am",'(B) Register of Participants'!$AA$61)))+(ISNUMBER(SEARCH("9am-12pm",$AS$30))*ISNUMBER(SEARCH("9am-12pm",'(B) Register of Participants'!$AA$61)))+(ISNUMBER(SEARCH("12pm-3pm",$AS$30))*ISNUMBER(SEARCH("12pm-3pm",'(B) Register of Participants'!$AA$61)))+(ISNUMBER(SEARCH("3pm-6pm",$AS$30))*ISNUMBER(SEARCH("3pm-6pm",'(B) Register of Participants'!$AA$61)))+(ISNUMBER(SEARCH("6pm-9pm",$AS$30))*ISNUMBER(SEARCH("6pm-9pm",'(B) Register of Participants'!$AA$61)))+(ISNUMBER(SEARCH("6am-9am",$AS$31))*ISNUMBER(SEARCH("6am-9am",'(B) Register of Participants'!$AB$61)))+(ISNUMBER(SEARCH("9am-12pm",$AS$31))*ISNUMBER(SEARCH("9am-12pm",'(B) Register of Participants'!$AB$61)))+(ISNUMBER(SEARCH("12pm-3pm",$AS$31))*ISNUMBER(SEARCH("12pm-3pm",'(B) Register of Participants'!$AB$61)))+(ISNUMBER(SEARCH("3pm-6pm",$AS$31))*ISNUMBER(SEARCH("3pm-6pm",'(B) Register of Participants'!$AB$61)))+(ISNUMBER(SEARCH("6pm-9pm",$AS$31))*ISNUMBER(SEARCH("6pm-9pm",'(B) Register of Participants'!$AB$61)))+(ISNUMBER(SEARCH("6am-9am",$AS$32))*ISNUMBER(SEARCH("6am-9am",'(B) Register of Participants'!$AC$61)))+(ISNUMBER(SEARCH("9am-12pm",$AS$32))*ISNUMBER(SEARCH("9am-12pm",'(B) Register of Participants'!$AC$61)))+(ISNUMBER(SEARCH("12pm-3pm",$AS$32))*ISNUMBER(SEARCH("12pm-3pm",'(B) Register of Participants'!$AC$61)))+(ISNUMBER(SEARCH("3pm-6pm",$AS$32))*ISNUMBER(SEARCH("3pm-6pm",'(B) Register of Participants'!$AC$61)))+(ISNUMBER(SEARCH("6pm-9pm",$AS$32))*ISNUMBER(SEARCH("6pm-9pm",'(B) Register of Participants'!$AC$61)))+(ISNUMBER(SEARCH("6am-9am",$AS$33))*ISNUMBER(SEARCH("6am-9am",'(B) Register of Participants'!$AD$61)))+(ISNUMBER(SEARCH("9am-12pm",$AS$33))*ISNUMBER(SEARCH("9am-12pm",'(B) Register of Participants'!$AD$61)))+(ISNUMBER(SEARCH("12pm-3pm",$AS$33))*ISNUMBER(SEARCH("12pm-3pm",'(B) Register of Participants'!$AD$61)))+(ISNUMBER(SEARCH("3pm-6pm",$AS$33))*ISNUMBER(SEARCH("3pm-6pm",'(B) Register of Participants'!$AD$61)))+(ISNUMBER(SEARCH("6pm-9pm",$AS$33))*ISNUMBER(SEARCH("6pm-9pm",'(B) Register of Participants'!$AD$61)))</f>
        <v/>
      </c>
      <c r="Q83" s="20">
        <f>IF(OR(AND($AS$17&lt;&gt;"",$AS$17&lt;&gt;"English",IF($AS$17="Persian",OR(ISNUMBER(SEARCH("Dari",'(B) Register of Participants'!$AR$61)),ISNUMBER(SEARCH("Farsi",'(B) Register of Participants'!$AR$61)),ISNUMBER(SEARCH("Persian",'(B) Register of Participants'!$AR$61)),ISNUMBER(SEARCH("Hazaragi",'(B) Register of Participants'!$AR$61))),ISNUMBER(SEARCH($AS$17,'(B) Register of Participants'!$AR$61)))),AND($AS$20&lt;&gt;"",$AS$20&lt;&gt;"English",IF($AS$20="Persian",OR(ISNUMBER(SEARCH("Dari",'(B) Register of Participants'!$AR$61)),ISNUMBER(SEARCH("Farsi",'(B) Register of Participants'!$AR$61)),ISNUMBER(SEARCH("Persian",'(B) Register of Participants'!$AR$61)),ISNUMBER(SEARCH("Hazaragi",'(B) Register of Participants'!$AR$61))),ISNUMBER(SEARCH($AS$20,'(B) Register of Participants'!$AR$61))))),1,0)</f>
        <v/>
      </c>
      <c r="R83" s="20">
        <f>IF(AND(AH83,AI83,NOT(AJ83),NOT($AS$25),AK83,$AS$26,AM83,AN83,NOT(AL83)),"Yes","No")</f>
        <v/>
      </c>
      <c r="S83" s="20">
        <f>IF(OR(COUNTIF('Engine Lists'!$A:$A,$AS$14&amp;"|"&amp;AO83)&gt;0,COUNTIF('Engine Lists'!$A:$A,$AS$14&amp;"|"&amp;AP83)&gt;0,COUNTIF('Engine Lists'!$A:$A,$AS$15&amp;"|"&amp;AO83)&gt;0,COUNTIF('Engine Lists'!$A:$A,$AS$15&amp;"|"&amp;AP83)&gt;0,COUNTIF('Engine Lists'!$A:$A,$AS$21&amp;"|"&amp;I83)&gt;0),-8,0)</f>
        <v/>
      </c>
      <c r="T83" s="20">
        <f>IF(Q83=1,IF(OR($AS$8="A2",$AS$8="B1"),7,IF(OR($AS$8="B2",$AS$8="C1",$AS$8="C2"),-5,0)),0)</f>
        <v/>
      </c>
      <c r="U83" s="20">
        <f>IF(AND($AS$6=G83,OR($AS$6="Male",$AS$6="Female")),5,0)</f>
        <v/>
      </c>
      <c r="V83" s="20">
        <f>IF(AND($AS$24,$AS$11&lt;&gt;"In-Person",K83&lt;&gt;"In-Person"),-5,0)</f>
        <v/>
      </c>
      <c r="W83" s="20">
        <f>IF(OR($AS$11=K83,$AS$11="Either",K83="Either"),3,0)</f>
        <v/>
      </c>
      <c r="X83" s="20">
        <f>IF(AND($AS$11&lt;&gt;"Online",K83&lt;&gt;"Online",ISNUMBER($AS$22),ISNUMBER(IFERROR(VALUE(M83),"x"))),IF(ABS($AS$22-VALUE(M83))&lt;=50,3,0),0)</f>
        <v/>
      </c>
      <c r="Y83" s="20">
        <f>IF(AND($AS$10&lt;&gt;"",$AS$10=J83),3,0)</f>
        <v/>
      </c>
      <c r="Z83" s="20">
        <f>IF(OR(N($AS$13)&gt;=150,N(O83)&gt;=150),3,0)</f>
        <v/>
      </c>
      <c r="AA83" s="20">
        <f>IF(AND($AS$21&lt;&gt;"",$AS$21&lt;&gt;"NA",$AS$21=I83),2,0)</f>
        <v/>
      </c>
      <c r="AB83" s="20">
        <f>IF(OR(AND($AS$14&lt;&gt;"",$AS$14&lt;&gt;"NA",OR($AS$14=AO83,$AS$14=AP83)),AND($AS$15&lt;&gt;"",OR($AS$15=AO83,$AS$15=AP83))),2,0)</f>
        <v/>
      </c>
      <c r="AC83" s="20">
        <f>IF(AND(ISNUMBER($AS$12),ISNUMBER(N83),ABS($AS$12-N83)&lt;=10),2,0)</f>
        <v/>
      </c>
      <c r="AD83" s="20">
        <f>IF(R83="Yes",SUM(S83:AC83),"")</f>
        <v/>
      </c>
      <c r="AE83" s="20">
        <f>IF(R83="Yes","Score "&amp;AD83&amp;": "&amp;TRIM(IF(S83&lt;&gt;0,"−8 acrimonious; ","")&amp;IF(T83=7,"+7 shared language; ","")&amp;IF(T83=-5,"−5 shared lang(adv); ","")&amp;IF(U83=5,"+5 same-sex; ","")&amp;IF(V83=-5,"−5 online no device; ","")&amp;IF(W83=3,"+3 mode; ","")&amp;IF(X83=3,"+3 proximity; ","")&amp;IF(Y83=3,"+3 category; ","")&amp;IF(Z83=3,"+3 long wait; ","")&amp;IF(AA83=2,"+2 religion; ","")&amp;IF(AB83=2,"+2 nationality; ","")&amp;IF(AC83=2,"+2 age; ","")),"Not eligible: "&amp;IF(NOT(AH83),"tutor not pending/with-capacity",IF(NOT(AI83),"no spare capacity",IF(AJ83,"tutor blacklisted",IF($AS$25,"student blacklisted",IF(NOT(AK83),"tutor vetting incomplete",IF(NOT($AS$26),"student vetting incomplete",IF(NOT(AM83),"no overlapping 3h AEST block",IF(NOT(AN83),"A1 student needs a shared language",IF(AL83,"'do not pair' note present",""))))))))))</f>
        <v/>
      </c>
      <c r="AF83">
        <f>TRIM(IFERROR(LEFT('(B) Register of Participants'!$AR$61,FIND(" (",'(B) Register of Participants'!$AR$61)-1),'(B) Register of Participants'!$AR$61))</f>
        <v/>
      </c>
      <c r="AG83">
        <f>IF(ISNUMBER(SEARCH("Mandarin",'(B) Register of Participants'!$AR$61)),"Mandarin",IF(ISNUMBER(SEARCH("Cantonese",'(B) Register of Participants'!$AR$61)),"Cantonese",IF(OR(AF83="Dari",AF83="Farsi",AF83="Persian",AF83="Hazaragi"),"Persian",AF83)))</f>
        <v/>
      </c>
      <c r="AH83">
        <f>OR(E83="ADM-ACT-UNMAT",E83="ADM-ACT-MAT-CNE")</f>
        <v/>
      </c>
      <c r="AI83">
        <f>F83&gt;0</f>
        <v/>
      </c>
      <c r="AJ83">
        <f>LEFT('(B) Register of Participants'!$L$61,3)="Yes"</f>
        <v/>
      </c>
      <c r="AK83">
        <f>AND(OR(LEFT('(B) Register of Participants'!$AY$61,3)="Yes",LEFT('(B) Register of Participants'!$AY$61,2)="NA"),OR(LEFT('(B) Register of Participants'!$AZ$61,3)="Yes",LEFT('(B) Register of Participants'!$AZ$61,2)="NA"))</f>
        <v/>
      </c>
      <c r="AL83">
        <f>OR(ISNUMBER(SEARCH("do not pair",'(B) Register of Participants'!$BL$61)),ISNUMBER(SEARCH("do not pair",'(B) Register of Participants'!$BM$61)))</f>
        <v/>
      </c>
      <c r="AM83">
        <f>P83&gt;0</f>
        <v/>
      </c>
      <c r="AN83">
        <f>IF($AS$8="A1",Q83=1,TRUE)</f>
        <v/>
      </c>
      <c r="AO83">
        <f>TRIM(IFERROR(LEFT('(B) Register of Participants'!$AP$61,FIND(";",'(B) Register of Participants'!$AP$61)-1),'(B) Register of Participants'!$AP$61))</f>
        <v/>
      </c>
      <c r="AP83">
        <f>IF(ISNUMBER(FIND(";",'(B) Register of Participants'!$AP$61)),TRIM(MID('(B) Register of Participants'!$AP$61,FIND(";",'(B) Register of Participants'!$AP$61)+1,80)),"")</f>
        <v/>
      </c>
    </row>
    <row r="84">
      <c r="B84" s="20">
        <f>IF(R84="Yes",RANK(AD84,$AD$25:$AD$124),"")</f>
        <v/>
      </c>
      <c r="C84" s="20">
        <f>'(B) Register of Participants'!$A$62</f>
        <v/>
      </c>
      <c r="D84" s="20">
        <f>'(B) Register of Participants'!$B$62</f>
        <v/>
      </c>
      <c r="E84" s="20">
        <f>'(B) Register of Participants'!$J$62</f>
        <v/>
      </c>
      <c r="F84" s="20">
        <f>IFERROR('(B) Register of Participants'!$O$62-'(B) Register of Participants'!$P$62,0)</f>
        <v/>
      </c>
      <c r="G84" s="20">
        <f>'(B) Register of Participants'!$AL$62</f>
        <v/>
      </c>
      <c r="H84" s="20">
        <f>'(B) Register of Participants'!$AP$62</f>
        <v/>
      </c>
      <c r="I84" s="20">
        <f>TRIM(IFERROR(LEFT('(B) Register of Participants'!$AS$62,FIND(" (",'(B) Register of Participants'!$AS$62)-1),'(B) Register of Participants'!$AS$62))</f>
        <v/>
      </c>
      <c r="J84" s="20">
        <f>'(B) Register of Participants'!$AT$62</f>
        <v/>
      </c>
      <c r="K84" s="20">
        <f>'(B) Register of Participants'!$AE$62</f>
        <v/>
      </c>
      <c r="L84" s="20">
        <f>'(B) Register of Participants'!$AF$62</f>
        <v/>
      </c>
      <c r="M84" s="20">
        <f>'(B) Register of Participants'!$AJ$62</f>
        <v/>
      </c>
      <c r="N84" s="20">
        <f>'(B) Register of Participants'!$CY$62</f>
        <v/>
      </c>
      <c r="O84" s="20">
        <f>'(B) Register of Participants'!$CW$62</f>
        <v/>
      </c>
      <c r="P84" s="20">
        <f>(ISNUMBER(SEARCH("6am-9am",$AS$27))*ISNUMBER(SEARCH("6am-9am",'(B) Register of Participants'!$X$62)))+(ISNUMBER(SEARCH("9am-12pm",$AS$27))*ISNUMBER(SEARCH("9am-12pm",'(B) Register of Participants'!$X$62)))+(ISNUMBER(SEARCH("12pm-3pm",$AS$27))*ISNUMBER(SEARCH("12pm-3pm",'(B) Register of Participants'!$X$62)))+(ISNUMBER(SEARCH("3pm-6pm",$AS$27))*ISNUMBER(SEARCH("3pm-6pm",'(B) Register of Participants'!$X$62)))+(ISNUMBER(SEARCH("6pm-9pm",$AS$27))*ISNUMBER(SEARCH("6pm-9pm",'(B) Register of Participants'!$X$62)))+(ISNUMBER(SEARCH("6am-9am",$AS$28))*ISNUMBER(SEARCH("6am-9am",'(B) Register of Participants'!$Y$62)))+(ISNUMBER(SEARCH("9am-12pm",$AS$28))*ISNUMBER(SEARCH("9am-12pm",'(B) Register of Participants'!$Y$62)))+(ISNUMBER(SEARCH("12pm-3pm",$AS$28))*ISNUMBER(SEARCH("12pm-3pm",'(B) Register of Participants'!$Y$62)))+(ISNUMBER(SEARCH("3pm-6pm",$AS$28))*ISNUMBER(SEARCH("3pm-6pm",'(B) Register of Participants'!$Y$62)))+(ISNUMBER(SEARCH("6pm-9pm",$AS$28))*ISNUMBER(SEARCH("6pm-9pm",'(B) Register of Participants'!$Y$62)))+(ISNUMBER(SEARCH("6am-9am",$AS$29))*ISNUMBER(SEARCH("6am-9am",'(B) Register of Participants'!$Z$62)))+(ISNUMBER(SEARCH("9am-12pm",$AS$29))*ISNUMBER(SEARCH("9am-12pm",'(B) Register of Participants'!$Z$62)))+(ISNUMBER(SEARCH("12pm-3pm",$AS$29))*ISNUMBER(SEARCH("12pm-3pm",'(B) Register of Participants'!$Z$62)))+(ISNUMBER(SEARCH("3pm-6pm",$AS$29))*ISNUMBER(SEARCH("3pm-6pm",'(B) Register of Participants'!$Z$62)))+(ISNUMBER(SEARCH("6pm-9pm",$AS$29))*ISNUMBER(SEARCH("6pm-9pm",'(B) Register of Participants'!$Z$62)))+(ISNUMBER(SEARCH("6am-9am",$AS$30))*ISNUMBER(SEARCH("6am-9am",'(B) Register of Participants'!$AA$62)))+(ISNUMBER(SEARCH("9am-12pm",$AS$30))*ISNUMBER(SEARCH("9am-12pm",'(B) Register of Participants'!$AA$62)))+(ISNUMBER(SEARCH("12pm-3pm",$AS$30))*ISNUMBER(SEARCH("12pm-3pm",'(B) Register of Participants'!$AA$62)))+(ISNUMBER(SEARCH("3pm-6pm",$AS$30))*ISNUMBER(SEARCH("3pm-6pm",'(B) Register of Participants'!$AA$62)))+(ISNUMBER(SEARCH("6pm-9pm",$AS$30))*ISNUMBER(SEARCH("6pm-9pm",'(B) Register of Participants'!$AA$62)))+(ISNUMBER(SEARCH("6am-9am",$AS$31))*ISNUMBER(SEARCH("6am-9am",'(B) Register of Participants'!$AB$62)))+(ISNUMBER(SEARCH("9am-12pm",$AS$31))*ISNUMBER(SEARCH("9am-12pm",'(B) Register of Participants'!$AB$62)))+(ISNUMBER(SEARCH("12pm-3pm",$AS$31))*ISNUMBER(SEARCH("12pm-3pm",'(B) Register of Participants'!$AB$62)))+(ISNUMBER(SEARCH("3pm-6pm",$AS$31))*ISNUMBER(SEARCH("3pm-6pm",'(B) Register of Participants'!$AB$62)))+(ISNUMBER(SEARCH("6pm-9pm",$AS$31))*ISNUMBER(SEARCH("6pm-9pm",'(B) Register of Participants'!$AB$62)))+(ISNUMBER(SEARCH("6am-9am",$AS$32))*ISNUMBER(SEARCH("6am-9am",'(B) Register of Participants'!$AC$62)))+(ISNUMBER(SEARCH("9am-12pm",$AS$32))*ISNUMBER(SEARCH("9am-12pm",'(B) Register of Participants'!$AC$62)))+(ISNUMBER(SEARCH("12pm-3pm",$AS$32))*ISNUMBER(SEARCH("12pm-3pm",'(B) Register of Participants'!$AC$62)))+(ISNUMBER(SEARCH("3pm-6pm",$AS$32))*ISNUMBER(SEARCH("3pm-6pm",'(B) Register of Participants'!$AC$62)))+(ISNUMBER(SEARCH("6pm-9pm",$AS$32))*ISNUMBER(SEARCH("6pm-9pm",'(B) Register of Participants'!$AC$62)))+(ISNUMBER(SEARCH("6am-9am",$AS$33))*ISNUMBER(SEARCH("6am-9am",'(B) Register of Participants'!$AD$62)))+(ISNUMBER(SEARCH("9am-12pm",$AS$33))*ISNUMBER(SEARCH("9am-12pm",'(B) Register of Participants'!$AD$62)))+(ISNUMBER(SEARCH("12pm-3pm",$AS$33))*ISNUMBER(SEARCH("12pm-3pm",'(B) Register of Participants'!$AD$62)))+(ISNUMBER(SEARCH("3pm-6pm",$AS$33))*ISNUMBER(SEARCH("3pm-6pm",'(B) Register of Participants'!$AD$62)))+(ISNUMBER(SEARCH("6pm-9pm",$AS$33))*ISNUMBER(SEARCH("6pm-9pm",'(B) Register of Participants'!$AD$62)))</f>
        <v/>
      </c>
      <c r="Q84" s="20">
        <f>IF(OR(AND($AS$17&lt;&gt;"",$AS$17&lt;&gt;"English",IF($AS$17="Persian",OR(ISNUMBER(SEARCH("Dari",'(B) Register of Participants'!$AR$62)),ISNUMBER(SEARCH("Farsi",'(B) Register of Participants'!$AR$62)),ISNUMBER(SEARCH("Persian",'(B) Register of Participants'!$AR$62)),ISNUMBER(SEARCH("Hazaragi",'(B) Register of Participants'!$AR$62))),ISNUMBER(SEARCH($AS$17,'(B) Register of Participants'!$AR$62)))),AND($AS$20&lt;&gt;"",$AS$20&lt;&gt;"English",IF($AS$20="Persian",OR(ISNUMBER(SEARCH("Dari",'(B) Register of Participants'!$AR$62)),ISNUMBER(SEARCH("Farsi",'(B) Register of Participants'!$AR$62)),ISNUMBER(SEARCH("Persian",'(B) Register of Participants'!$AR$62)),ISNUMBER(SEARCH("Hazaragi",'(B) Register of Participants'!$AR$62))),ISNUMBER(SEARCH($AS$20,'(B) Register of Participants'!$AR$62))))),1,0)</f>
        <v/>
      </c>
      <c r="R84" s="20">
        <f>IF(AND(AH84,AI84,NOT(AJ84),NOT($AS$25),AK84,$AS$26,AM84,AN84,NOT(AL84)),"Yes","No")</f>
        <v/>
      </c>
      <c r="S84" s="20">
        <f>IF(OR(COUNTIF('Engine Lists'!$A:$A,$AS$14&amp;"|"&amp;AO84)&gt;0,COUNTIF('Engine Lists'!$A:$A,$AS$14&amp;"|"&amp;AP84)&gt;0,COUNTIF('Engine Lists'!$A:$A,$AS$15&amp;"|"&amp;AO84)&gt;0,COUNTIF('Engine Lists'!$A:$A,$AS$15&amp;"|"&amp;AP84)&gt;0,COUNTIF('Engine Lists'!$A:$A,$AS$21&amp;"|"&amp;I84)&gt;0),-8,0)</f>
        <v/>
      </c>
      <c r="T84" s="20">
        <f>IF(Q84=1,IF(OR($AS$8="A2",$AS$8="B1"),7,IF(OR($AS$8="B2",$AS$8="C1",$AS$8="C2"),-5,0)),0)</f>
        <v/>
      </c>
      <c r="U84" s="20">
        <f>IF(AND($AS$6=G84,OR($AS$6="Male",$AS$6="Female")),5,0)</f>
        <v/>
      </c>
      <c r="V84" s="20">
        <f>IF(AND($AS$24,$AS$11&lt;&gt;"In-Person",K84&lt;&gt;"In-Person"),-5,0)</f>
        <v/>
      </c>
      <c r="W84" s="20">
        <f>IF(OR($AS$11=K84,$AS$11="Either",K84="Either"),3,0)</f>
        <v/>
      </c>
      <c r="X84" s="20">
        <f>IF(AND($AS$11&lt;&gt;"Online",K84&lt;&gt;"Online",ISNUMBER($AS$22),ISNUMBER(IFERROR(VALUE(M84),"x"))),IF(ABS($AS$22-VALUE(M84))&lt;=50,3,0),0)</f>
        <v/>
      </c>
      <c r="Y84" s="20">
        <f>IF(AND($AS$10&lt;&gt;"",$AS$10=J84),3,0)</f>
        <v/>
      </c>
      <c r="Z84" s="20">
        <f>IF(OR(N($AS$13)&gt;=150,N(O84)&gt;=150),3,0)</f>
        <v/>
      </c>
      <c r="AA84" s="20">
        <f>IF(AND($AS$21&lt;&gt;"",$AS$21&lt;&gt;"NA",$AS$21=I84),2,0)</f>
        <v/>
      </c>
      <c r="AB84" s="20">
        <f>IF(OR(AND($AS$14&lt;&gt;"",$AS$14&lt;&gt;"NA",OR($AS$14=AO84,$AS$14=AP84)),AND($AS$15&lt;&gt;"",OR($AS$15=AO84,$AS$15=AP84))),2,0)</f>
        <v/>
      </c>
      <c r="AC84" s="20">
        <f>IF(AND(ISNUMBER($AS$12),ISNUMBER(N84),ABS($AS$12-N84)&lt;=10),2,0)</f>
        <v/>
      </c>
      <c r="AD84" s="20">
        <f>IF(R84="Yes",SUM(S84:AC84),"")</f>
        <v/>
      </c>
      <c r="AE84" s="20">
        <f>IF(R84="Yes","Score "&amp;AD84&amp;": "&amp;TRIM(IF(S84&lt;&gt;0,"−8 acrimonious; ","")&amp;IF(T84=7,"+7 shared language; ","")&amp;IF(T84=-5,"−5 shared lang(adv); ","")&amp;IF(U84=5,"+5 same-sex; ","")&amp;IF(V84=-5,"−5 online no device; ","")&amp;IF(W84=3,"+3 mode; ","")&amp;IF(X84=3,"+3 proximity; ","")&amp;IF(Y84=3,"+3 category; ","")&amp;IF(Z84=3,"+3 long wait; ","")&amp;IF(AA84=2,"+2 religion; ","")&amp;IF(AB84=2,"+2 nationality; ","")&amp;IF(AC84=2,"+2 age; ","")),"Not eligible: "&amp;IF(NOT(AH84),"tutor not pending/with-capacity",IF(NOT(AI84),"no spare capacity",IF(AJ84,"tutor blacklisted",IF($AS$25,"student blacklisted",IF(NOT(AK84),"tutor vetting incomplete",IF(NOT($AS$26),"student vetting incomplete",IF(NOT(AM84),"no overlapping 3h AEST block",IF(NOT(AN84),"A1 student needs a shared language",IF(AL84,"'do not pair' note present",""))))))))))</f>
        <v/>
      </c>
      <c r="AF84">
        <f>TRIM(IFERROR(LEFT('(B) Register of Participants'!$AR$62,FIND(" (",'(B) Register of Participants'!$AR$62)-1),'(B) Register of Participants'!$AR$62))</f>
        <v/>
      </c>
      <c r="AG84">
        <f>IF(ISNUMBER(SEARCH("Mandarin",'(B) Register of Participants'!$AR$62)),"Mandarin",IF(ISNUMBER(SEARCH("Cantonese",'(B) Register of Participants'!$AR$62)),"Cantonese",IF(OR(AF84="Dari",AF84="Farsi",AF84="Persian",AF84="Hazaragi"),"Persian",AF84)))</f>
        <v/>
      </c>
      <c r="AH84">
        <f>OR(E84="ADM-ACT-UNMAT",E84="ADM-ACT-MAT-CNE")</f>
        <v/>
      </c>
      <c r="AI84">
        <f>F84&gt;0</f>
        <v/>
      </c>
      <c r="AJ84">
        <f>LEFT('(B) Register of Participants'!$L$62,3)="Yes"</f>
        <v/>
      </c>
      <c r="AK84">
        <f>AND(OR(LEFT('(B) Register of Participants'!$AY$62,3)="Yes",LEFT('(B) Register of Participants'!$AY$62,2)="NA"),OR(LEFT('(B) Register of Participants'!$AZ$62,3)="Yes",LEFT('(B) Register of Participants'!$AZ$62,2)="NA"))</f>
        <v/>
      </c>
      <c r="AL84">
        <f>OR(ISNUMBER(SEARCH("do not pair",'(B) Register of Participants'!$BL$62)),ISNUMBER(SEARCH("do not pair",'(B) Register of Participants'!$BM$62)))</f>
        <v/>
      </c>
      <c r="AM84">
        <f>P84&gt;0</f>
        <v/>
      </c>
      <c r="AN84">
        <f>IF($AS$8="A1",Q84=1,TRUE)</f>
        <v/>
      </c>
      <c r="AO84">
        <f>TRIM(IFERROR(LEFT('(B) Register of Participants'!$AP$62,FIND(";",'(B) Register of Participants'!$AP$62)-1),'(B) Register of Participants'!$AP$62))</f>
        <v/>
      </c>
      <c r="AP84">
        <f>IF(ISNUMBER(FIND(";",'(B) Register of Participants'!$AP$62)),TRIM(MID('(B) Register of Participants'!$AP$62,FIND(";",'(B) Register of Participants'!$AP$62)+1,80)),"")</f>
        <v/>
      </c>
    </row>
    <row r="85">
      <c r="B85" s="20">
        <f>IF(R85="Yes",RANK(AD85,$AD$25:$AD$124),"")</f>
        <v/>
      </c>
      <c r="C85" s="20">
        <f>'(B) Register of Participants'!$A$63</f>
        <v/>
      </c>
      <c r="D85" s="20">
        <f>'(B) Register of Participants'!$B$63</f>
        <v/>
      </c>
      <c r="E85" s="20">
        <f>'(B) Register of Participants'!$J$63</f>
        <v/>
      </c>
      <c r="F85" s="20">
        <f>IFERROR('(B) Register of Participants'!$O$63-'(B) Register of Participants'!$P$63,0)</f>
        <v/>
      </c>
      <c r="G85" s="20">
        <f>'(B) Register of Participants'!$AL$63</f>
        <v/>
      </c>
      <c r="H85" s="20">
        <f>'(B) Register of Participants'!$AP$63</f>
        <v/>
      </c>
      <c r="I85" s="20">
        <f>TRIM(IFERROR(LEFT('(B) Register of Participants'!$AS$63,FIND(" (",'(B) Register of Participants'!$AS$63)-1),'(B) Register of Participants'!$AS$63))</f>
        <v/>
      </c>
      <c r="J85" s="20">
        <f>'(B) Register of Participants'!$AT$63</f>
        <v/>
      </c>
      <c r="K85" s="20">
        <f>'(B) Register of Participants'!$AE$63</f>
        <v/>
      </c>
      <c r="L85" s="20">
        <f>'(B) Register of Participants'!$AF$63</f>
        <v/>
      </c>
      <c r="M85" s="20">
        <f>'(B) Register of Participants'!$AJ$63</f>
        <v/>
      </c>
      <c r="N85" s="20">
        <f>'(B) Register of Participants'!$CY$63</f>
        <v/>
      </c>
      <c r="O85" s="20">
        <f>'(B) Register of Participants'!$CW$63</f>
        <v/>
      </c>
      <c r="P85" s="20">
        <f>(ISNUMBER(SEARCH("6am-9am",$AS$27))*ISNUMBER(SEARCH("6am-9am",'(B) Register of Participants'!$X$63)))+(ISNUMBER(SEARCH("9am-12pm",$AS$27))*ISNUMBER(SEARCH("9am-12pm",'(B) Register of Participants'!$X$63)))+(ISNUMBER(SEARCH("12pm-3pm",$AS$27))*ISNUMBER(SEARCH("12pm-3pm",'(B) Register of Participants'!$X$63)))+(ISNUMBER(SEARCH("3pm-6pm",$AS$27))*ISNUMBER(SEARCH("3pm-6pm",'(B) Register of Participants'!$X$63)))+(ISNUMBER(SEARCH("6pm-9pm",$AS$27))*ISNUMBER(SEARCH("6pm-9pm",'(B) Register of Participants'!$X$63)))+(ISNUMBER(SEARCH("6am-9am",$AS$28))*ISNUMBER(SEARCH("6am-9am",'(B) Register of Participants'!$Y$63)))+(ISNUMBER(SEARCH("9am-12pm",$AS$28))*ISNUMBER(SEARCH("9am-12pm",'(B) Register of Participants'!$Y$63)))+(ISNUMBER(SEARCH("12pm-3pm",$AS$28))*ISNUMBER(SEARCH("12pm-3pm",'(B) Register of Participants'!$Y$63)))+(ISNUMBER(SEARCH("3pm-6pm",$AS$28))*ISNUMBER(SEARCH("3pm-6pm",'(B) Register of Participants'!$Y$63)))+(ISNUMBER(SEARCH("6pm-9pm",$AS$28))*ISNUMBER(SEARCH("6pm-9pm",'(B) Register of Participants'!$Y$63)))+(ISNUMBER(SEARCH("6am-9am",$AS$29))*ISNUMBER(SEARCH("6am-9am",'(B) Register of Participants'!$Z$63)))+(ISNUMBER(SEARCH("9am-12pm",$AS$29))*ISNUMBER(SEARCH("9am-12pm",'(B) Register of Participants'!$Z$63)))+(ISNUMBER(SEARCH("12pm-3pm",$AS$29))*ISNUMBER(SEARCH("12pm-3pm",'(B) Register of Participants'!$Z$63)))+(ISNUMBER(SEARCH("3pm-6pm",$AS$29))*ISNUMBER(SEARCH("3pm-6pm",'(B) Register of Participants'!$Z$63)))+(ISNUMBER(SEARCH("6pm-9pm",$AS$29))*ISNUMBER(SEARCH("6pm-9pm",'(B) Register of Participants'!$Z$63)))+(ISNUMBER(SEARCH("6am-9am",$AS$30))*ISNUMBER(SEARCH("6am-9am",'(B) Register of Participants'!$AA$63)))+(ISNUMBER(SEARCH("9am-12pm",$AS$30))*ISNUMBER(SEARCH("9am-12pm",'(B) Register of Participants'!$AA$63)))+(ISNUMBER(SEARCH("12pm-3pm",$AS$30))*ISNUMBER(SEARCH("12pm-3pm",'(B) Register of Participants'!$AA$63)))+(ISNUMBER(SEARCH("3pm-6pm",$AS$30))*ISNUMBER(SEARCH("3pm-6pm",'(B) Register of Participants'!$AA$63)))+(ISNUMBER(SEARCH("6pm-9pm",$AS$30))*ISNUMBER(SEARCH("6pm-9pm",'(B) Register of Participants'!$AA$63)))+(ISNUMBER(SEARCH("6am-9am",$AS$31))*ISNUMBER(SEARCH("6am-9am",'(B) Register of Participants'!$AB$63)))+(ISNUMBER(SEARCH("9am-12pm",$AS$31))*ISNUMBER(SEARCH("9am-12pm",'(B) Register of Participants'!$AB$63)))+(ISNUMBER(SEARCH("12pm-3pm",$AS$31))*ISNUMBER(SEARCH("12pm-3pm",'(B) Register of Participants'!$AB$63)))+(ISNUMBER(SEARCH("3pm-6pm",$AS$31))*ISNUMBER(SEARCH("3pm-6pm",'(B) Register of Participants'!$AB$63)))+(ISNUMBER(SEARCH("6pm-9pm",$AS$31))*ISNUMBER(SEARCH("6pm-9pm",'(B) Register of Participants'!$AB$63)))+(ISNUMBER(SEARCH("6am-9am",$AS$32))*ISNUMBER(SEARCH("6am-9am",'(B) Register of Participants'!$AC$63)))+(ISNUMBER(SEARCH("9am-12pm",$AS$32))*ISNUMBER(SEARCH("9am-12pm",'(B) Register of Participants'!$AC$63)))+(ISNUMBER(SEARCH("12pm-3pm",$AS$32))*ISNUMBER(SEARCH("12pm-3pm",'(B) Register of Participants'!$AC$63)))+(ISNUMBER(SEARCH("3pm-6pm",$AS$32))*ISNUMBER(SEARCH("3pm-6pm",'(B) Register of Participants'!$AC$63)))+(ISNUMBER(SEARCH("6pm-9pm",$AS$32))*ISNUMBER(SEARCH("6pm-9pm",'(B) Register of Participants'!$AC$63)))+(ISNUMBER(SEARCH("6am-9am",$AS$33))*ISNUMBER(SEARCH("6am-9am",'(B) Register of Participants'!$AD$63)))+(ISNUMBER(SEARCH("9am-12pm",$AS$33))*ISNUMBER(SEARCH("9am-12pm",'(B) Register of Participants'!$AD$63)))+(ISNUMBER(SEARCH("12pm-3pm",$AS$33))*ISNUMBER(SEARCH("12pm-3pm",'(B) Register of Participants'!$AD$63)))+(ISNUMBER(SEARCH("3pm-6pm",$AS$33))*ISNUMBER(SEARCH("3pm-6pm",'(B) Register of Participants'!$AD$63)))+(ISNUMBER(SEARCH("6pm-9pm",$AS$33))*ISNUMBER(SEARCH("6pm-9pm",'(B) Register of Participants'!$AD$63)))</f>
        <v/>
      </c>
      <c r="Q85" s="20">
        <f>IF(OR(AND($AS$17&lt;&gt;"",$AS$17&lt;&gt;"English",IF($AS$17="Persian",OR(ISNUMBER(SEARCH("Dari",'(B) Register of Participants'!$AR$63)),ISNUMBER(SEARCH("Farsi",'(B) Register of Participants'!$AR$63)),ISNUMBER(SEARCH("Persian",'(B) Register of Participants'!$AR$63)),ISNUMBER(SEARCH("Hazaragi",'(B) Register of Participants'!$AR$63))),ISNUMBER(SEARCH($AS$17,'(B) Register of Participants'!$AR$63)))),AND($AS$20&lt;&gt;"",$AS$20&lt;&gt;"English",IF($AS$20="Persian",OR(ISNUMBER(SEARCH("Dari",'(B) Register of Participants'!$AR$63)),ISNUMBER(SEARCH("Farsi",'(B) Register of Participants'!$AR$63)),ISNUMBER(SEARCH("Persian",'(B) Register of Participants'!$AR$63)),ISNUMBER(SEARCH("Hazaragi",'(B) Register of Participants'!$AR$63))),ISNUMBER(SEARCH($AS$20,'(B) Register of Participants'!$AR$63))))),1,0)</f>
        <v/>
      </c>
      <c r="R85" s="20">
        <f>IF(AND(AH85,AI85,NOT(AJ85),NOT($AS$25),AK85,$AS$26,AM85,AN85,NOT(AL85)),"Yes","No")</f>
        <v/>
      </c>
      <c r="S85" s="20">
        <f>IF(OR(COUNTIF('Engine Lists'!$A:$A,$AS$14&amp;"|"&amp;AO85)&gt;0,COUNTIF('Engine Lists'!$A:$A,$AS$14&amp;"|"&amp;AP85)&gt;0,COUNTIF('Engine Lists'!$A:$A,$AS$15&amp;"|"&amp;AO85)&gt;0,COUNTIF('Engine Lists'!$A:$A,$AS$15&amp;"|"&amp;AP85)&gt;0,COUNTIF('Engine Lists'!$A:$A,$AS$21&amp;"|"&amp;I85)&gt;0),-8,0)</f>
        <v/>
      </c>
      <c r="T85" s="20">
        <f>IF(Q85=1,IF(OR($AS$8="A2",$AS$8="B1"),7,IF(OR($AS$8="B2",$AS$8="C1",$AS$8="C2"),-5,0)),0)</f>
        <v/>
      </c>
      <c r="U85" s="20">
        <f>IF(AND($AS$6=G85,OR($AS$6="Male",$AS$6="Female")),5,0)</f>
        <v/>
      </c>
      <c r="V85" s="20">
        <f>IF(AND($AS$24,$AS$11&lt;&gt;"In-Person",K85&lt;&gt;"In-Person"),-5,0)</f>
        <v/>
      </c>
      <c r="W85" s="20">
        <f>IF(OR($AS$11=K85,$AS$11="Either",K85="Either"),3,0)</f>
        <v/>
      </c>
      <c r="X85" s="20">
        <f>IF(AND($AS$11&lt;&gt;"Online",K85&lt;&gt;"Online",ISNUMBER($AS$22),ISNUMBER(IFERROR(VALUE(M85),"x"))),IF(ABS($AS$22-VALUE(M85))&lt;=50,3,0),0)</f>
        <v/>
      </c>
      <c r="Y85" s="20">
        <f>IF(AND($AS$10&lt;&gt;"",$AS$10=J85),3,0)</f>
        <v/>
      </c>
      <c r="Z85" s="20">
        <f>IF(OR(N($AS$13)&gt;=150,N(O85)&gt;=150),3,0)</f>
        <v/>
      </c>
      <c r="AA85" s="20">
        <f>IF(AND($AS$21&lt;&gt;"",$AS$21&lt;&gt;"NA",$AS$21=I85),2,0)</f>
        <v/>
      </c>
      <c r="AB85" s="20">
        <f>IF(OR(AND($AS$14&lt;&gt;"",$AS$14&lt;&gt;"NA",OR($AS$14=AO85,$AS$14=AP85)),AND($AS$15&lt;&gt;"",OR($AS$15=AO85,$AS$15=AP85))),2,0)</f>
        <v/>
      </c>
      <c r="AC85" s="20">
        <f>IF(AND(ISNUMBER($AS$12),ISNUMBER(N85),ABS($AS$12-N85)&lt;=10),2,0)</f>
        <v/>
      </c>
      <c r="AD85" s="20">
        <f>IF(R85="Yes",SUM(S85:AC85),"")</f>
        <v/>
      </c>
      <c r="AE85" s="20">
        <f>IF(R85="Yes","Score "&amp;AD85&amp;": "&amp;TRIM(IF(S85&lt;&gt;0,"−8 acrimonious; ","")&amp;IF(T85=7,"+7 shared language; ","")&amp;IF(T85=-5,"−5 shared lang(adv); ","")&amp;IF(U85=5,"+5 same-sex; ","")&amp;IF(V85=-5,"−5 online no device; ","")&amp;IF(W85=3,"+3 mode; ","")&amp;IF(X85=3,"+3 proximity; ","")&amp;IF(Y85=3,"+3 category; ","")&amp;IF(Z85=3,"+3 long wait; ","")&amp;IF(AA85=2,"+2 religion; ","")&amp;IF(AB85=2,"+2 nationality; ","")&amp;IF(AC85=2,"+2 age; ","")),"Not eligible: "&amp;IF(NOT(AH85),"tutor not pending/with-capacity",IF(NOT(AI85),"no spare capacity",IF(AJ85,"tutor blacklisted",IF($AS$25,"student blacklisted",IF(NOT(AK85),"tutor vetting incomplete",IF(NOT($AS$26),"student vetting incomplete",IF(NOT(AM85),"no overlapping 3h AEST block",IF(NOT(AN85),"A1 student needs a shared language",IF(AL85,"'do not pair' note present",""))))))))))</f>
        <v/>
      </c>
      <c r="AF85">
        <f>TRIM(IFERROR(LEFT('(B) Register of Participants'!$AR$63,FIND(" (",'(B) Register of Participants'!$AR$63)-1),'(B) Register of Participants'!$AR$63))</f>
        <v/>
      </c>
      <c r="AG85">
        <f>IF(ISNUMBER(SEARCH("Mandarin",'(B) Register of Participants'!$AR$63)),"Mandarin",IF(ISNUMBER(SEARCH("Cantonese",'(B) Register of Participants'!$AR$63)),"Cantonese",IF(OR(AF85="Dari",AF85="Farsi",AF85="Persian",AF85="Hazaragi"),"Persian",AF85)))</f>
        <v/>
      </c>
      <c r="AH85">
        <f>OR(E85="ADM-ACT-UNMAT",E85="ADM-ACT-MAT-CNE")</f>
        <v/>
      </c>
      <c r="AI85">
        <f>F85&gt;0</f>
        <v/>
      </c>
      <c r="AJ85">
        <f>LEFT('(B) Register of Participants'!$L$63,3)="Yes"</f>
        <v/>
      </c>
      <c r="AK85">
        <f>AND(OR(LEFT('(B) Register of Participants'!$AY$63,3)="Yes",LEFT('(B) Register of Participants'!$AY$63,2)="NA"),OR(LEFT('(B) Register of Participants'!$AZ$63,3)="Yes",LEFT('(B) Register of Participants'!$AZ$63,2)="NA"))</f>
        <v/>
      </c>
      <c r="AL85">
        <f>OR(ISNUMBER(SEARCH("do not pair",'(B) Register of Participants'!$BL$63)),ISNUMBER(SEARCH("do not pair",'(B) Register of Participants'!$BM$63)))</f>
        <v/>
      </c>
      <c r="AM85">
        <f>P85&gt;0</f>
        <v/>
      </c>
      <c r="AN85">
        <f>IF($AS$8="A1",Q85=1,TRUE)</f>
        <v/>
      </c>
      <c r="AO85">
        <f>TRIM(IFERROR(LEFT('(B) Register of Participants'!$AP$63,FIND(";",'(B) Register of Participants'!$AP$63)-1),'(B) Register of Participants'!$AP$63))</f>
        <v/>
      </c>
      <c r="AP85">
        <f>IF(ISNUMBER(FIND(";",'(B) Register of Participants'!$AP$63)),TRIM(MID('(B) Register of Participants'!$AP$63,FIND(";",'(B) Register of Participants'!$AP$63)+1,80)),"")</f>
        <v/>
      </c>
    </row>
    <row r="86">
      <c r="B86" s="20">
        <f>IF(R86="Yes",RANK(AD86,$AD$25:$AD$124),"")</f>
        <v/>
      </c>
      <c r="C86" s="20">
        <f>'(B) Register of Participants'!$A$64</f>
        <v/>
      </c>
      <c r="D86" s="20">
        <f>'(B) Register of Participants'!$B$64</f>
        <v/>
      </c>
      <c r="E86" s="20">
        <f>'(B) Register of Participants'!$J$64</f>
        <v/>
      </c>
      <c r="F86" s="20">
        <f>IFERROR('(B) Register of Participants'!$O$64-'(B) Register of Participants'!$P$64,0)</f>
        <v/>
      </c>
      <c r="G86" s="20">
        <f>'(B) Register of Participants'!$AL$64</f>
        <v/>
      </c>
      <c r="H86" s="20">
        <f>'(B) Register of Participants'!$AP$64</f>
        <v/>
      </c>
      <c r="I86" s="20">
        <f>TRIM(IFERROR(LEFT('(B) Register of Participants'!$AS$64,FIND(" (",'(B) Register of Participants'!$AS$64)-1),'(B) Register of Participants'!$AS$64))</f>
        <v/>
      </c>
      <c r="J86" s="20">
        <f>'(B) Register of Participants'!$AT$64</f>
        <v/>
      </c>
      <c r="K86" s="20">
        <f>'(B) Register of Participants'!$AE$64</f>
        <v/>
      </c>
      <c r="L86" s="20">
        <f>'(B) Register of Participants'!$AF$64</f>
        <v/>
      </c>
      <c r="M86" s="20">
        <f>'(B) Register of Participants'!$AJ$64</f>
        <v/>
      </c>
      <c r="N86" s="20">
        <f>'(B) Register of Participants'!$CY$64</f>
        <v/>
      </c>
      <c r="O86" s="20">
        <f>'(B) Register of Participants'!$CW$64</f>
        <v/>
      </c>
      <c r="P86" s="20">
        <f>(ISNUMBER(SEARCH("6am-9am",$AS$27))*ISNUMBER(SEARCH("6am-9am",'(B) Register of Participants'!$X$64)))+(ISNUMBER(SEARCH("9am-12pm",$AS$27))*ISNUMBER(SEARCH("9am-12pm",'(B) Register of Participants'!$X$64)))+(ISNUMBER(SEARCH("12pm-3pm",$AS$27))*ISNUMBER(SEARCH("12pm-3pm",'(B) Register of Participants'!$X$64)))+(ISNUMBER(SEARCH("3pm-6pm",$AS$27))*ISNUMBER(SEARCH("3pm-6pm",'(B) Register of Participants'!$X$64)))+(ISNUMBER(SEARCH("6pm-9pm",$AS$27))*ISNUMBER(SEARCH("6pm-9pm",'(B) Register of Participants'!$X$64)))+(ISNUMBER(SEARCH("6am-9am",$AS$28))*ISNUMBER(SEARCH("6am-9am",'(B) Register of Participants'!$Y$64)))+(ISNUMBER(SEARCH("9am-12pm",$AS$28))*ISNUMBER(SEARCH("9am-12pm",'(B) Register of Participants'!$Y$64)))+(ISNUMBER(SEARCH("12pm-3pm",$AS$28))*ISNUMBER(SEARCH("12pm-3pm",'(B) Register of Participants'!$Y$64)))+(ISNUMBER(SEARCH("3pm-6pm",$AS$28))*ISNUMBER(SEARCH("3pm-6pm",'(B) Register of Participants'!$Y$64)))+(ISNUMBER(SEARCH("6pm-9pm",$AS$28))*ISNUMBER(SEARCH("6pm-9pm",'(B) Register of Participants'!$Y$64)))+(ISNUMBER(SEARCH("6am-9am",$AS$29))*ISNUMBER(SEARCH("6am-9am",'(B) Register of Participants'!$Z$64)))+(ISNUMBER(SEARCH("9am-12pm",$AS$29))*ISNUMBER(SEARCH("9am-12pm",'(B) Register of Participants'!$Z$64)))+(ISNUMBER(SEARCH("12pm-3pm",$AS$29))*ISNUMBER(SEARCH("12pm-3pm",'(B) Register of Participants'!$Z$64)))+(ISNUMBER(SEARCH("3pm-6pm",$AS$29))*ISNUMBER(SEARCH("3pm-6pm",'(B) Register of Participants'!$Z$64)))+(ISNUMBER(SEARCH("6pm-9pm",$AS$29))*ISNUMBER(SEARCH("6pm-9pm",'(B) Register of Participants'!$Z$64)))+(ISNUMBER(SEARCH("6am-9am",$AS$30))*ISNUMBER(SEARCH("6am-9am",'(B) Register of Participants'!$AA$64)))+(ISNUMBER(SEARCH("9am-12pm",$AS$30))*ISNUMBER(SEARCH("9am-12pm",'(B) Register of Participants'!$AA$64)))+(ISNUMBER(SEARCH("12pm-3pm",$AS$30))*ISNUMBER(SEARCH("12pm-3pm",'(B) Register of Participants'!$AA$64)))+(ISNUMBER(SEARCH("3pm-6pm",$AS$30))*ISNUMBER(SEARCH("3pm-6pm",'(B) Register of Participants'!$AA$64)))+(ISNUMBER(SEARCH("6pm-9pm",$AS$30))*ISNUMBER(SEARCH("6pm-9pm",'(B) Register of Participants'!$AA$64)))+(ISNUMBER(SEARCH("6am-9am",$AS$31))*ISNUMBER(SEARCH("6am-9am",'(B) Register of Participants'!$AB$64)))+(ISNUMBER(SEARCH("9am-12pm",$AS$31))*ISNUMBER(SEARCH("9am-12pm",'(B) Register of Participants'!$AB$64)))+(ISNUMBER(SEARCH("12pm-3pm",$AS$31))*ISNUMBER(SEARCH("12pm-3pm",'(B) Register of Participants'!$AB$64)))+(ISNUMBER(SEARCH("3pm-6pm",$AS$31))*ISNUMBER(SEARCH("3pm-6pm",'(B) Register of Participants'!$AB$64)))+(ISNUMBER(SEARCH("6pm-9pm",$AS$31))*ISNUMBER(SEARCH("6pm-9pm",'(B) Register of Participants'!$AB$64)))+(ISNUMBER(SEARCH("6am-9am",$AS$32))*ISNUMBER(SEARCH("6am-9am",'(B) Register of Participants'!$AC$64)))+(ISNUMBER(SEARCH("9am-12pm",$AS$32))*ISNUMBER(SEARCH("9am-12pm",'(B) Register of Participants'!$AC$64)))+(ISNUMBER(SEARCH("12pm-3pm",$AS$32))*ISNUMBER(SEARCH("12pm-3pm",'(B) Register of Participants'!$AC$64)))+(ISNUMBER(SEARCH("3pm-6pm",$AS$32))*ISNUMBER(SEARCH("3pm-6pm",'(B) Register of Participants'!$AC$64)))+(ISNUMBER(SEARCH("6pm-9pm",$AS$32))*ISNUMBER(SEARCH("6pm-9pm",'(B) Register of Participants'!$AC$64)))+(ISNUMBER(SEARCH("6am-9am",$AS$33))*ISNUMBER(SEARCH("6am-9am",'(B) Register of Participants'!$AD$64)))+(ISNUMBER(SEARCH("9am-12pm",$AS$33))*ISNUMBER(SEARCH("9am-12pm",'(B) Register of Participants'!$AD$64)))+(ISNUMBER(SEARCH("12pm-3pm",$AS$33))*ISNUMBER(SEARCH("12pm-3pm",'(B) Register of Participants'!$AD$64)))+(ISNUMBER(SEARCH("3pm-6pm",$AS$33))*ISNUMBER(SEARCH("3pm-6pm",'(B) Register of Participants'!$AD$64)))+(ISNUMBER(SEARCH("6pm-9pm",$AS$33))*ISNUMBER(SEARCH("6pm-9pm",'(B) Register of Participants'!$AD$64)))</f>
        <v/>
      </c>
      <c r="Q86" s="20">
        <f>IF(OR(AND($AS$17&lt;&gt;"",$AS$17&lt;&gt;"English",IF($AS$17="Persian",OR(ISNUMBER(SEARCH("Dari",'(B) Register of Participants'!$AR$64)),ISNUMBER(SEARCH("Farsi",'(B) Register of Participants'!$AR$64)),ISNUMBER(SEARCH("Persian",'(B) Register of Participants'!$AR$64)),ISNUMBER(SEARCH("Hazaragi",'(B) Register of Participants'!$AR$64))),ISNUMBER(SEARCH($AS$17,'(B) Register of Participants'!$AR$64)))),AND($AS$20&lt;&gt;"",$AS$20&lt;&gt;"English",IF($AS$20="Persian",OR(ISNUMBER(SEARCH("Dari",'(B) Register of Participants'!$AR$64)),ISNUMBER(SEARCH("Farsi",'(B) Register of Participants'!$AR$64)),ISNUMBER(SEARCH("Persian",'(B) Register of Participants'!$AR$64)),ISNUMBER(SEARCH("Hazaragi",'(B) Register of Participants'!$AR$64))),ISNUMBER(SEARCH($AS$20,'(B) Register of Participants'!$AR$64))))),1,0)</f>
        <v/>
      </c>
      <c r="R86" s="20">
        <f>IF(AND(AH86,AI86,NOT(AJ86),NOT($AS$25),AK86,$AS$26,AM86,AN86,NOT(AL86)),"Yes","No")</f>
        <v/>
      </c>
      <c r="S86" s="20">
        <f>IF(OR(COUNTIF('Engine Lists'!$A:$A,$AS$14&amp;"|"&amp;AO86)&gt;0,COUNTIF('Engine Lists'!$A:$A,$AS$14&amp;"|"&amp;AP86)&gt;0,COUNTIF('Engine Lists'!$A:$A,$AS$15&amp;"|"&amp;AO86)&gt;0,COUNTIF('Engine Lists'!$A:$A,$AS$15&amp;"|"&amp;AP86)&gt;0,COUNTIF('Engine Lists'!$A:$A,$AS$21&amp;"|"&amp;I86)&gt;0),-8,0)</f>
        <v/>
      </c>
      <c r="T86" s="20">
        <f>IF(Q86=1,IF(OR($AS$8="A2",$AS$8="B1"),7,IF(OR($AS$8="B2",$AS$8="C1",$AS$8="C2"),-5,0)),0)</f>
        <v/>
      </c>
      <c r="U86" s="20">
        <f>IF(AND($AS$6=G86,OR($AS$6="Male",$AS$6="Female")),5,0)</f>
        <v/>
      </c>
      <c r="V86" s="20">
        <f>IF(AND($AS$24,$AS$11&lt;&gt;"In-Person",K86&lt;&gt;"In-Person"),-5,0)</f>
        <v/>
      </c>
      <c r="W86" s="20">
        <f>IF(OR($AS$11=K86,$AS$11="Either",K86="Either"),3,0)</f>
        <v/>
      </c>
      <c r="X86" s="20">
        <f>IF(AND($AS$11&lt;&gt;"Online",K86&lt;&gt;"Online",ISNUMBER($AS$22),ISNUMBER(IFERROR(VALUE(M86),"x"))),IF(ABS($AS$22-VALUE(M86))&lt;=50,3,0),0)</f>
        <v/>
      </c>
      <c r="Y86" s="20">
        <f>IF(AND($AS$10&lt;&gt;"",$AS$10=J86),3,0)</f>
        <v/>
      </c>
      <c r="Z86" s="20">
        <f>IF(OR(N($AS$13)&gt;=150,N(O86)&gt;=150),3,0)</f>
        <v/>
      </c>
      <c r="AA86" s="20">
        <f>IF(AND($AS$21&lt;&gt;"",$AS$21&lt;&gt;"NA",$AS$21=I86),2,0)</f>
        <v/>
      </c>
      <c r="AB86" s="20">
        <f>IF(OR(AND($AS$14&lt;&gt;"",$AS$14&lt;&gt;"NA",OR($AS$14=AO86,$AS$14=AP86)),AND($AS$15&lt;&gt;"",OR($AS$15=AO86,$AS$15=AP86))),2,0)</f>
        <v/>
      </c>
      <c r="AC86" s="20">
        <f>IF(AND(ISNUMBER($AS$12),ISNUMBER(N86),ABS($AS$12-N86)&lt;=10),2,0)</f>
        <v/>
      </c>
      <c r="AD86" s="20">
        <f>IF(R86="Yes",SUM(S86:AC86),"")</f>
        <v/>
      </c>
      <c r="AE86" s="20">
        <f>IF(R86="Yes","Score "&amp;AD86&amp;": "&amp;TRIM(IF(S86&lt;&gt;0,"−8 acrimonious; ","")&amp;IF(T86=7,"+7 shared language; ","")&amp;IF(T86=-5,"−5 shared lang(adv); ","")&amp;IF(U86=5,"+5 same-sex; ","")&amp;IF(V86=-5,"−5 online no device; ","")&amp;IF(W86=3,"+3 mode; ","")&amp;IF(X86=3,"+3 proximity; ","")&amp;IF(Y86=3,"+3 category; ","")&amp;IF(Z86=3,"+3 long wait; ","")&amp;IF(AA86=2,"+2 religion; ","")&amp;IF(AB86=2,"+2 nationality; ","")&amp;IF(AC86=2,"+2 age; ","")),"Not eligible: "&amp;IF(NOT(AH86),"tutor not pending/with-capacity",IF(NOT(AI86),"no spare capacity",IF(AJ86,"tutor blacklisted",IF($AS$25,"student blacklisted",IF(NOT(AK86),"tutor vetting incomplete",IF(NOT($AS$26),"student vetting incomplete",IF(NOT(AM86),"no overlapping 3h AEST block",IF(NOT(AN86),"A1 student needs a shared language",IF(AL86,"'do not pair' note present",""))))))))))</f>
        <v/>
      </c>
      <c r="AF86">
        <f>TRIM(IFERROR(LEFT('(B) Register of Participants'!$AR$64,FIND(" (",'(B) Register of Participants'!$AR$64)-1),'(B) Register of Participants'!$AR$64))</f>
        <v/>
      </c>
      <c r="AG86">
        <f>IF(ISNUMBER(SEARCH("Mandarin",'(B) Register of Participants'!$AR$64)),"Mandarin",IF(ISNUMBER(SEARCH("Cantonese",'(B) Register of Participants'!$AR$64)),"Cantonese",IF(OR(AF86="Dari",AF86="Farsi",AF86="Persian",AF86="Hazaragi"),"Persian",AF86)))</f>
        <v/>
      </c>
      <c r="AH86">
        <f>OR(E86="ADM-ACT-UNMAT",E86="ADM-ACT-MAT-CNE")</f>
        <v/>
      </c>
      <c r="AI86">
        <f>F86&gt;0</f>
        <v/>
      </c>
      <c r="AJ86">
        <f>LEFT('(B) Register of Participants'!$L$64,3)="Yes"</f>
        <v/>
      </c>
      <c r="AK86">
        <f>AND(OR(LEFT('(B) Register of Participants'!$AY$64,3)="Yes",LEFT('(B) Register of Participants'!$AY$64,2)="NA"),OR(LEFT('(B) Register of Participants'!$AZ$64,3)="Yes",LEFT('(B) Register of Participants'!$AZ$64,2)="NA"))</f>
        <v/>
      </c>
      <c r="AL86">
        <f>OR(ISNUMBER(SEARCH("do not pair",'(B) Register of Participants'!$BL$64)),ISNUMBER(SEARCH("do not pair",'(B) Register of Participants'!$BM$64)))</f>
        <v/>
      </c>
      <c r="AM86">
        <f>P86&gt;0</f>
        <v/>
      </c>
      <c r="AN86">
        <f>IF($AS$8="A1",Q86=1,TRUE)</f>
        <v/>
      </c>
      <c r="AO86">
        <f>TRIM(IFERROR(LEFT('(B) Register of Participants'!$AP$64,FIND(";",'(B) Register of Participants'!$AP$64)-1),'(B) Register of Participants'!$AP$64))</f>
        <v/>
      </c>
      <c r="AP86">
        <f>IF(ISNUMBER(FIND(";",'(B) Register of Participants'!$AP$64)),TRIM(MID('(B) Register of Participants'!$AP$64,FIND(";",'(B) Register of Participants'!$AP$64)+1,80)),"")</f>
        <v/>
      </c>
    </row>
    <row r="87">
      <c r="B87" s="20">
        <f>IF(R87="Yes",RANK(AD87,$AD$25:$AD$124),"")</f>
        <v/>
      </c>
      <c r="C87" s="20">
        <f>'(B) Register of Participants'!$A$65</f>
        <v/>
      </c>
      <c r="D87" s="20">
        <f>'(B) Register of Participants'!$B$65</f>
        <v/>
      </c>
      <c r="E87" s="20">
        <f>'(B) Register of Participants'!$J$65</f>
        <v/>
      </c>
      <c r="F87" s="20">
        <f>IFERROR('(B) Register of Participants'!$O$65-'(B) Register of Participants'!$P$65,0)</f>
        <v/>
      </c>
      <c r="G87" s="20">
        <f>'(B) Register of Participants'!$AL$65</f>
        <v/>
      </c>
      <c r="H87" s="20">
        <f>'(B) Register of Participants'!$AP$65</f>
        <v/>
      </c>
      <c r="I87" s="20">
        <f>TRIM(IFERROR(LEFT('(B) Register of Participants'!$AS$65,FIND(" (",'(B) Register of Participants'!$AS$65)-1),'(B) Register of Participants'!$AS$65))</f>
        <v/>
      </c>
      <c r="J87" s="20">
        <f>'(B) Register of Participants'!$AT$65</f>
        <v/>
      </c>
      <c r="K87" s="20">
        <f>'(B) Register of Participants'!$AE$65</f>
        <v/>
      </c>
      <c r="L87" s="20">
        <f>'(B) Register of Participants'!$AF$65</f>
        <v/>
      </c>
      <c r="M87" s="20">
        <f>'(B) Register of Participants'!$AJ$65</f>
        <v/>
      </c>
      <c r="N87" s="20">
        <f>'(B) Register of Participants'!$CY$65</f>
        <v/>
      </c>
      <c r="O87" s="20">
        <f>'(B) Register of Participants'!$CW$65</f>
        <v/>
      </c>
      <c r="P87" s="20">
        <f>(ISNUMBER(SEARCH("6am-9am",$AS$27))*ISNUMBER(SEARCH("6am-9am",'(B) Register of Participants'!$X$65)))+(ISNUMBER(SEARCH("9am-12pm",$AS$27))*ISNUMBER(SEARCH("9am-12pm",'(B) Register of Participants'!$X$65)))+(ISNUMBER(SEARCH("12pm-3pm",$AS$27))*ISNUMBER(SEARCH("12pm-3pm",'(B) Register of Participants'!$X$65)))+(ISNUMBER(SEARCH("3pm-6pm",$AS$27))*ISNUMBER(SEARCH("3pm-6pm",'(B) Register of Participants'!$X$65)))+(ISNUMBER(SEARCH("6pm-9pm",$AS$27))*ISNUMBER(SEARCH("6pm-9pm",'(B) Register of Participants'!$X$65)))+(ISNUMBER(SEARCH("6am-9am",$AS$28))*ISNUMBER(SEARCH("6am-9am",'(B) Register of Participants'!$Y$65)))+(ISNUMBER(SEARCH("9am-12pm",$AS$28))*ISNUMBER(SEARCH("9am-12pm",'(B) Register of Participants'!$Y$65)))+(ISNUMBER(SEARCH("12pm-3pm",$AS$28))*ISNUMBER(SEARCH("12pm-3pm",'(B) Register of Participants'!$Y$65)))+(ISNUMBER(SEARCH("3pm-6pm",$AS$28))*ISNUMBER(SEARCH("3pm-6pm",'(B) Register of Participants'!$Y$65)))+(ISNUMBER(SEARCH("6pm-9pm",$AS$28))*ISNUMBER(SEARCH("6pm-9pm",'(B) Register of Participants'!$Y$65)))+(ISNUMBER(SEARCH("6am-9am",$AS$29))*ISNUMBER(SEARCH("6am-9am",'(B) Register of Participants'!$Z$65)))+(ISNUMBER(SEARCH("9am-12pm",$AS$29))*ISNUMBER(SEARCH("9am-12pm",'(B) Register of Participants'!$Z$65)))+(ISNUMBER(SEARCH("12pm-3pm",$AS$29))*ISNUMBER(SEARCH("12pm-3pm",'(B) Register of Participants'!$Z$65)))+(ISNUMBER(SEARCH("3pm-6pm",$AS$29))*ISNUMBER(SEARCH("3pm-6pm",'(B) Register of Participants'!$Z$65)))+(ISNUMBER(SEARCH("6pm-9pm",$AS$29))*ISNUMBER(SEARCH("6pm-9pm",'(B) Register of Participants'!$Z$65)))+(ISNUMBER(SEARCH("6am-9am",$AS$30))*ISNUMBER(SEARCH("6am-9am",'(B) Register of Participants'!$AA$65)))+(ISNUMBER(SEARCH("9am-12pm",$AS$30))*ISNUMBER(SEARCH("9am-12pm",'(B) Register of Participants'!$AA$65)))+(ISNUMBER(SEARCH("12pm-3pm",$AS$30))*ISNUMBER(SEARCH("12pm-3pm",'(B) Register of Participants'!$AA$65)))+(ISNUMBER(SEARCH("3pm-6pm",$AS$30))*ISNUMBER(SEARCH("3pm-6pm",'(B) Register of Participants'!$AA$65)))+(ISNUMBER(SEARCH("6pm-9pm",$AS$30))*ISNUMBER(SEARCH("6pm-9pm",'(B) Register of Participants'!$AA$65)))+(ISNUMBER(SEARCH("6am-9am",$AS$31))*ISNUMBER(SEARCH("6am-9am",'(B) Register of Participants'!$AB$65)))+(ISNUMBER(SEARCH("9am-12pm",$AS$31))*ISNUMBER(SEARCH("9am-12pm",'(B) Register of Participants'!$AB$65)))+(ISNUMBER(SEARCH("12pm-3pm",$AS$31))*ISNUMBER(SEARCH("12pm-3pm",'(B) Register of Participants'!$AB$65)))+(ISNUMBER(SEARCH("3pm-6pm",$AS$31))*ISNUMBER(SEARCH("3pm-6pm",'(B) Register of Participants'!$AB$65)))+(ISNUMBER(SEARCH("6pm-9pm",$AS$31))*ISNUMBER(SEARCH("6pm-9pm",'(B) Register of Participants'!$AB$65)))+(ISNUMBER(SEARCH("6am-9am",$AS$32))*ISNUMBER(SEARCH("6am-9am",'(B) Register of Participants'!$AC$65)))+(ISNUMBER(SEARCH("9am-12pm",$AS$32))*ISNUMBER(SEARCH("9am-12pm",'(B) Register of Participants'!$AC$65)))+(ISNUMBER(SEARCH("12pm-3pm",$AS$32))*ISNUMBER(SEARCH("12pm-3pm",'(B) Register of Participants'!$AC$65)))+(ISNUMBER(SEARCH("3pm-6pm",$AS$32))*ISNUMBER(SEARCH("3pm-6pm",'(B) Register of Participants'!$AC$65)))+(ISNUMBER(SEARCH("6pm-9pm",$AS$32))*ISNUMBER(SEARCH("6pm-9pm",'(B) Register of Participants'!$AC$65)))+(ISNUMBER(SEARCH("6am-9am",$AS$33))*ISNUMBER(SEARCH("6am-9am",'(B) Register of Participants'!$AD$65)))+(ISNUMBER(SEARCH("9am-12pm",$AS$33))*ISNUMBER(SEARCH("9am-12pm",'(B) Register of Participants'!$AD$65)))+(ISNUMBER(SEARCH("12pm-3pm",$AS$33))*ISNUMBER(SEARCH("12pm-3pm",'(B) Register of Participants'!$AD$65)))+(ISNUMBER(SEARCH("3pm-6pm",$AS$33))*ISNUMBER(SEARCH("3pm-6pm",'(B) Register of Participants'!$AD$65)))+(ISNUMBER(SEARCH("6pm-9pm",$AS$33))*ISNUMBER(SEARCH("6pm-9pm",'(B) Register of Participants'!$AD$65)))</f>
        <v/>
      </c>
      <c r="Q87" s="20">
        <f>IF(OR(AND($AS$17&lt;&gt;"",$AS$17&lt;&gt;"English",IF($AS$17="Persian",OR(ISNUMBER(SEARCH("Dari",'(B) Register of Participants'!$AR$65)),ISNUMBER(SEARCH("Farsi",'(B) Register of Participants'!$AR$65)),ISNUMBER(SEARCH("Persian",'(B) Register of Participants'!$AR$65)),ISNUMBER(SEARCH("Hazaragi",'(B) Register of Participants'!$AR$65))),ISNUMBER(SEARCH($AS$17,'(B) Register of Participants'!$AR$65)))),AND($AS$20&lt;&gt;"",$AS$20&lt;&gt;"English",IF($AS$20="Persian",OR(ISNUMBER(SEARCH("Dari",'(B) Register of Participants'!$AR$65)),ISNUMBER(SEARCH("Farsi",'(B) Register of Participants'!$AR$65)),ISNUMBER(SEARCH("Persian",'(B) Register of Participants'!$AR$65)),ISNUMBER(SEARCH("Hazaragi",'(B) Register of Participants'!$AR$65))),ISNUMBER(SEARCH($AS$20,'(B) Register of Participants'!$AR$65))))),1,0)</f>
        <v/>
      </c>
      <c r="R87" s="20">
        <f>IF(AND(AH87,AI87,NOT(AJ87),NOT($AS$25),AK87,$AS$26,AM87,AN87,NOT(AL87)),"Yes","No")</f>
        <v/>
      </c>
      <c r="S87" s="20">
        <f>IF(OR(COUNTIF('Engine Lists'!$A:$A,$AS$14&amp;"|"&amp;AO87)&gt;0,COUNTIF('Engine Lists'!$A:$A,$AS$14&amp;"|"&amp;AP87)&gt;0,COUNTIF('Engine Lists'!$A:$A,$AS$15&amp;"|"&amp;AO87)&gt;0,COUNTIF('Engine Lists'!$A:$A,$AS$15&amp;"|"&amp;AP87)&gt;0,COUNTIF('Engine Lists'!$A:$A,$AS$21&amp;"|"&amp;I87)&gt;0),-8,0)</f>
        <v/>
      </c>
      <c r="T87" s="20">
        <f>IF(Q87=1,IF(OR($AS$8="A2",$AS$8="B1"),7,IF(OR($AS$8="B2",$AS$8="C1",$AS$8="C2"),-5,0)),0)</f>
        <v/>
      </c>
      <c r="U87" s="20">
        <f>IF(AND($AS$6=G87,OR($AS$6="Male",$AS$6="Female")),5,0)</f>
        <v/>
      </c>
      <c r="V87" s="20">
        <f>IF(AND($AS$24,$AS$11&lt;&gt;"In-Person",K87&lt;&gt;"In-Person"),-5,0)</f>
        <v/>
      </c>
      <c r="W87" s="20">
        <f>IF(OR($AS$11=K87,$AS$11="Either",K87="Either"),3,0)</f>
        <v/>
      </c>
      <c r="X87" s="20">
        <f>IF(AND($AS$11&lt;&gt;"Online",K87&lt;&gt;"Online",ISNUMBER($AS$22),ISNUMBER(IFERROR(VALUE(M87),"x"))),IF(ABS($AS$22-VALUE(M87))&lt;=50,3,0),0)</f>
        <v/>
      </c>
      <c r="Y87" s="20">
        <f>IF(AND($AS$10&lt;&gt;"",$AS$10=J87),3,0)</f>
        <v/>
      </c>
      <c r="Z87" s="20">
        <f>IF(OR(N($AS$13)&gt;=150,N(O87)&gt;=150),3,0)</f>
        <v/>
      </c>
      <c r="AA87" s="20">
        <f>IF(AND($AS$21&lt;&gt;"",$AS$21&lt;&gt;"NA",$AS$21=I87),2,0)</f>
        <v/>
      </c>
      <c r="AB87" s="20">
        <f>IF(OR(AND($AS$14&lt;&gt;"",$AS$14&lt;&gt;"NA",OR($AS$14=AO87,$AS$14=AP87)),AND($AS$15&lt;&gt;"",OR($AS$15=AO87,$AS$15=AP87))),2,0)</f>
        <v/>
      </c>
      <c r="AC87" s="20">
        <f>IF(AND(ISNUMBER($AS$12),ISNUMBER(N87),ABS($AS$12-N87)&lt;=10),2,0)</f>
        <v/>
      </c>
      <c r="AD87" s="20">
        <f>IF(R87="Yes",SUM(S87:AC87),"")</f>
        <v/>
      </c>
      <c r="AE87" s="20">
        <f>IF(R87="Yes","Score "&amp;AD87&amp;": "&amp;TRIM(IF(S87&lt;&gt;0,"−8 acrimonious; ","")&amp;IF(T87=7,"+7 shared language; ","")&amp;IF(T87=-5,"−5 shared lang(adv); ","")&amp;IF(U87=5,"+5 same-sex; ","")&amp;IF(V87=-5,"−5 online no device; ","")&amp;IF(W87=3,"+3 mode; ","")&amp;IF(X87=3,"+3 proximity; ","")&amp;IF(Y87=3,"+3 category; ","")&amp;IF(Z87=3,"+3 long wait; ","")&amp;IF(AA87=2,"+2 religion; ","")&amp;IF(AB87=2,"+2 nationality; ","")&amp;IF(AC87=2,"+2 age; ","")),"Not eligible: "&amp;IF(NOT(AH87),"tutor not pending/with-capacity",IF(NOT(AI87),"no spare capacity",IF(AJ87,"tutor blacklisted",IF($AS$25,"student blacklisted",IF(NOT(AK87),"tutor vetting incomplete",IF(NOT($AS$26),"student vetting incomplete",IF(NOT(AM87),"no overlapping 3h AEST block",IF(NOT(AN87),"A1 student needs a shared language",IF(AL87,"'do not pair' note present",""))))))))))</f>
        <v/>
      </c>
      <c r="AF87">
        <f>TRIM(IFERROR(LEFT('(B) Register of Participants'!$AR$65,FIND(" (",'(B) Register of Participants'!$AR$65)-1),'(B) Register of Participants'!$AR$65))</f>
        <v/>
      </c>
      <c r="AG87">
        <f>IF(ISNUMBER(SEARCH("Mandarin",'(B) Register of Participants'!$AR$65)),"Mandarin",IF(ISNUMBER(SEARCH("Cantonese",'(B) Register of Participants'!$AR$65)),"Cantonese",IF(OR(AF87="Dari",AF87="Farsi",AF87="Persian",AF87="Hazaragi"),"Persian",AF87)))</f>
        <v/>
      </c>
      <c r="AH87">
        <f>OR(E87="ADM-ACT-UNMAT",E87="ADM-ACT-MAT-CNE")</f>
        <v/>
      </c>
      <c r="AI87">
        <f>F87&gt;0</f>
        <v/>
      </c>
      <c r="AJ87">
        <f>LEFT('(B) Register of Participants'!$L$65,3)="Yes"</f>
        <v/>
      </c>
      <c r="AK87">
        <f>AND(OR(LEFT('(B) Register of Participants'!$AY$65,3)="Yes",LEFT('(B) Register of Participants'!$AY$65,2)="NA"),OR(LEFT('(B) Register of Participants'!$AZ$65,3)="Yes",LEFT('(B) Register of Participants'!$AZ$65,2)="NA"))</f>
        <v/>
      </c>
      <c r="AL87">
        <f>OR(ISNUMBER(SEARCH("do not pair",'(B) Register of Participants'!$BL$65)),ISNUMBER(SEARCH("do not pair",'(B) Register of Participants'!$BM$65)))</f>
        <v/>
      </c>
      <c r="AM87">
        <f>P87&gt;0</f>
        <v/>
      </c>
      <c r="AN87">
        <f>IF($AS$8="A1",Q87=1,TRUE)</f>
        <v/>
      </c>
      <c r="AO87">
        <f>TRIM(IFERROR(LEFT('(B) Register of Participants'!$AP$65,FIND(";",'(B) Register of Participants'!$AP$65)-1),'(B) Register of Participants'!$AP$65))</f>
        <v/>
      </c>
      <c r="AP87">
        <f>IF(ISNUMBER(FIND(";",'(B) Register of Participants'!$AP$65)),TRIM(MID('(B) Register of Participants'!$AP$65,FIND(";",'(B) Register of Participants'!$AP$65)+1,80)),"")</f>
        <v/>
      </c>
    </row>
    <row r="88">
      <c r="B88" s="20">
        <f>IF(R88="Yes",RANK(AD88,$AD$25:$AD$124),"")</f>
        <v/>
      </c>
      <c r="C88" s="20">
        <f>'(B) Register of Participants'!$A$66</f>
        <v/>
      </c>
      <c r="D88" s="20">
        <f>'(B) Register of Participants'!$B$66</f>
        <v/>
      </c>
      <c r="E88" s="20">
        <f>'(B) Register of Participants'!$J$66</f>
        <v/>
      </c>
      <c r="F88" s="20">
        <f>IFERROR('(B) Register of Participants'!$O$66-'(B) Register of Participants'!$P$66,0)</f>
        <v/>
      </c>
      <c r="G88" s="20">
        <f>'(B) Register of Participants'!$AL$66</f>
        <v/>
      </c>
      <c r="H88" s="20">
        <f>'(B) Register of Participants'!$AP$66</f>
        <v/>
      </c>
      <c r="I88" s="20">
        <f>TRIM(IFERROR(LEFT('(B) Register of Participants'!$AS$66,FIND(" (",'(B) Register of Participants'!$AS$66)-1),'(B) Register of Participants'!$AS$66))</f>
        <v/>
      </c>
      <c r="J88" s="20">
        <f>'(B) Register of Participants'!$AT$66</f>
        <v/>
      </c>
      <c r="K88" s="20">
        <f>'(B) Register of Participants'!$AE$66</f>
        <v/>
      </c>
      <c r="L88" s="20">
        <f>'(B) Register of Participants'!$AF$66</f>
        <v/>
      </c>
      <c r="M88" s="20">
        <f>'(B) Register of Participants'!$AJ$66</f>
        <v/>
      </c>
      <c r="N88" s="20">
        <f>'(B) Register of Participants'!$CY$66</f>
        <v/>
      </c>
      <c r="O88" s="20">
        <f>'(B) Register of Participants'!$CW$66</f>
        <v/>
      </c>
      <c r="P88" s="20">
        <f>(ISNUMBER(SEARCH("6am-9am",$AS$27))*ISNUMBER(SEARCH("6am-9am",'(B) Register of Participants'!$X$66)))+(ISNUMBER(SEARCH("9am-12pm",$AS$27))*ISNUMBER(SEARCH("9am-12pm",'(B) Register of Participants'!$X$66)))+(ISNUMBER(SEARCH("12pm-3pm",$AS$27))*ISNUMBER(SEARCH("12pm-3pm",'(B) Register of Participants'!$X$66)))+(ISNUMBER(SEARCH("3pm-6pm",$AS$27))*ISNUMBER(SEARCH("3pm-6pm",'(B) Register of Participants'!$X$66)))+(ISNUMBER(SEARCH("6pm-9pm",$AS$27))*ISNUMBER(SEARCH("6pm-9pm",'(B) Register of Participants'!$X$66)))+(ISNUMBER(SEARCH("6am-9am",$AS$28))*ISNUMBER(SEARCH("6am-9am",'(B) Register of Participants'!$Y$66)))+(ISNUMBER(SEARCH("9am-12pm",$AS$28))*ISNUMBER(SEARCH("9am-12pm",'(B) Register of Participants'!$Y$66)))+(ISNUMBER(SEARCH("12pm-3pm",$AS$28))*ISNUMBER(SEARCH("12pm-3pm",'(B) Register of Participants'!$Y$66)))+(ISNUMBER(SEARCH("3pm-6pm",$AS$28))*ISNUMBER(SEARCH("3pm-6pm",'(B) Register of Participants'!$Y$66)))+(ISNUMBER(SEARCH("6pm-9pm",$AS$28))*ISNUMBER(SEARCH("6pm-9pm",'(B) Register of Participants'!$Y$66)))+(ISNUMBER(SEARCH("6am-9am",$AS$29))*ISNUMBER(SEARCH("6am-9am",'(B) Register of Participants'!$Z$66)))+(ISNUMBER(SEARCH("9am-12pm",$AS$29))*ISNUMBER(SEARCH("9am-12pm",'(B) Register of Participants'!$Z$66)))+(ISNUMBER(SEARCH("12pm-3pm",$AS$29))*ISNUMBER(SEARCH("12pm-3pm",'(B) Register of Participants'!$Z$66)))+(ISNUMBER(SEARCH("3pm-6pm",$AS$29))*ISNUMBER(SEARCH("3pm-6pm",'(B) Register of Participants'!$Z$66)))+(ISNUMBER(SEARCH("6pm-9pm",$AS$29))*ISNUMBER(SEARCH("6pm-9pm",'(B) Register of Participants'!$Z$66)))+(ISNUMBER(SEARCH("6am-9am",$AS$30))*ISNUMBER(SEARCH("6am-9am",'(B) Register of Participants'!$AA$66)))+(ISNUMBER(SEARCH("9am-12pm",$AS$30))*ISNUMBER(SEARCH("9am-12pm",'(B) Register of Participants'!$AA$66)))+(ISNUMBER(SEARCH("12pm-3pm",$AS$30))*ISNUMBER(SEARCH("12pm-3pm",'(B) Register of Participants'!$AA$66)))+(ISNUMBER(SEARCH("3pm-6pm",$AS$30))*ISNUMBER(SEARCH("3pm-6pm",'(B) Register of Participants'!$AA$66)))+(ISNUMBER(SEARCH("6pm-9pm",$AS$30))*ISNUMBER(SEARCH("6pm-9pm",'(B) Register of Participants'!$AA$66)))+(ISNUMBER(SEARCH("6am-9am",$AS$31))*ISNUMBER(SEARCH("6am-9am",'(B) Register of Participants'!$AB$66)))+(ISNUMBER(SEARCH("9am-12pm",$AS$31))*ISNUMBER(SEARCH("9am-12pm",'(B) Register of Participants'!$AB$66)))+(ISNUMBER(SEARCH("12pm-3pm",$AS$31))*ISNUMBER(SEARCH("12pm-3pm",'(B) Register of Participants'!$AB$66)))+(ISNUMBER(SEARCH("3pm-6pm",$AS$31))*ISNUMBER(SEARCH("3pm-6pm",'(B) Register of Participants'!$AB$66)))+(ISNUMBER(SEARCH("6pm-9pm",$AS$31))*ISNUMBER(SEARCH("6pm-9pm",'(B) Register of Participants'!$AB$66)))+(ISNUMBER(SEARCH("6am-9am",$AS$32))*ISNUMBER(SEARCH("6am-9am",'(B) Register of Participants'!$AC$66)))+(ISNUMBER(SEARCH("9am-12pm",$AS$32))*ISNUMBER(SEARCH("9am-12pm",'(B) Register of Participants'!$AC$66)))+(ISNUMBER(SEARCH("12pm-3pm",$AS$32))*ISNUMBER(SEARCH("12pm-3pm",'(B) Register of Participants'!$AC$66)))+(ISNUMBER(SEARCH("3pm-6pm",$AS$32))*ISNUMBER(SEARCH("3pm-6pm",'(B) Register of Participants'!$AC$66)))+(ISNUMBER(SEARCH("6pm-9pm",$AS$32))*ISNUMBER(SEARCH("6pm-9pm",'(B) Register of Participants'!$AC$66)))+(ISNUMBER(SEARCH("6am-9am",$AS$33))*ISNUMBER(SEARCH("6am-9am",'(B) Register of Participants'!$AD$66)))+(ISNUMBER(SEARCH("9am-12pm",$AS$33))*ISNUMBER(SEARCH("9am-12pm",'(B) Register of Participants'!$AD$66)))+(ISNUMBER(SEARCH("12pm-3pm",$AS$33))*ISNUMBER(SEARCH("12pm-3pm",'(B) Register of Participants'!$AD$66)))+(ISNUMBER(SEARCH("3pm-6pm",$AS$33))*ISNUMBER(SEARCH("3pm-6pm",'(B) Register of Participants'!$AD$66)))+(ISNUMBER(SEARCH("6pm-9pm",$AS$33))*ISNUMBER(SEARCH("6pm-9pm",'(B) Register of Participants'!$AD$66)))</f>
        <v/>
      </c>
      <c r="Q88" s="20">
        <f>IF(OR(AND($AS$17&lt;&gt;"",$AS$17&lt;&gt;"English",IF($AS$17="Persian",OR(ISNUMBER(SEARCH("Dari",'(B) Register of Participants'!$AR$66)),ISNUMBER(SEARCH("Farsi",'(B) Register of Participants'!$AR$66)),ISNUMBER(SEARCH("Persian",'(B) Register of Participants'!$AR$66)),ISNUMBER(SEARCH("Hazaragi",'(B) Register of Participants'!$AR$66))),ISNUMBER(SEARCH($AS$17,'(B) Register of Participants'!$AR$66)))),AND($AS$20&lt;&gt;"",$AS$20&lt;&gt;"English",IF($AS$20="Persian",OR(ISNUMBER(SEARCH("Dari",'(B) Register of Participants'!$AR$66)),ISNUMBER(SEARCH("Farsi",'(B) Register of Participants'!$AR$66)),ISNUMBER(SEARCH("Persian",'(B) Register of Participants'!$AR$66)),ISNUMBER(SEARCH("Hazaragi",'(B) Register of Participants'!$AR$66))),ISNUMBER(SEARCH($AS$20,'(B) Register of Participants'!$AR$66))))),1,0)</f>
        <v/>
      </c>
      <c r="R88" s="20">
        <f>IF(AND(AH88,AI88,NOT(AJ88),NOT($AS$25),AK88,$AS$26,AM88,AN88,NOT(AL88)),"Yes","No")</f>
        <v/>
      </c>
      <c r="S88" s="20">
        <f>IF(OR(COUNTIF('Engine Lists'!$A:$A,$AS$14&amp;"|"&amp;AO88)&gt;0,COUNTIF('Engine Lists'!$A:$A,$AS$14&amp;"|"&amp;AP88)&gt;0,COUNTIF('Engine Lists'!$A:$A,$AS$15&amp;"|"&amp;AO88)&gt;0,COUNTIF('Engine Lists'!$A:$A,$AS$15&amp;"|"&amp;AP88)&gt;0,COUNTIF('Engine Lists'!$A:$A,$AS$21&amp;"|"&amp;I88)&gt;0),-8,0)</f>
        <v/>
      </c>
      <c r="T88" s="20">
        <f>IF(Q88=1,IF(OR($AS$8="A2",$AS$8="B1"),7,IF(OR($AS$8="B2",$AS$8="C1",$AS$8="C2"),-5,0)),0)</f>
        <v/>
      </c>
      <c r="U88" s="20">
        <f>IF(AND($AS$6=G88,OR($AS$6="Male",$AS$6="Female")),5,0)</f>
        <v/>
      </c>
      <c r="V88" s="20">
        <f>IF(AND($AS$24,$AS$11&lt;&gt;"In-Person",K88&lt;&gt;"In-Person"),-5,0)</f>
        <v/>
      </c>
      <c r="W88" s="20">
        <f>IF(OR($AS$11=K88,$AS$11="Either",K88="Either"),3,0)</f>
        <v/>
      </c>
      <c r="X88" s="20">
        <f>IF(AND($AS$11&lt;&gt;"Online",K88&lt;&gt;"Online",ISNUMBER($AS$22),ISNUMBER(IFERROR(VALUE(M88),"x"))),IF(ABS($AS$22-VALUE(M88))&lt;=50,3,0),0)</f>
        <v/>
      </c>
      <c r="Y88" s="20">
        <f>IF(AND($AS$10&lt;&gt;"",$AS$10=J88),3,0)</f>
        <v/>
      </c>
      <c r="Z88" s="20">
        <f>IF(OR(N($AS$13)&gt;=150,N(O88)&gt;=150),3,0)</f>
        <v/>
      </c>
      <c r="AA88" s="20">
        <f>IF(AND($AS$21&lt;&gt;"",$AS$21&lt;&gt;"NA",$AS$21=I88),2,0)</f>
        <v/>
      </c>
      <c r="AB88" s="20">
        <f>IF(OR(AND($AS$14&lt;&gt;"",$AS$14&lt;&gt;"NA",OR($AS$14=AO88,$AS$14=AP88)),AND($AS$15&lt;&gt;"",OR($AS$15=AO88,$AS$15=AP88))),2,0)</f>
        <v/>
      </c>
      <c r="AC88" s="20">
        <f>IF(AND(ISNUMBER($AS$12),ISNUMBER(N88),ABS($AS$12-N88)&lt;=10),2,0)</f>
        <v/>
      </c>
      <c r="AD88" s="20">
        <f>IF(R88="Yes",SUM(S88:AC88),"")</f>
        <v/>
      </c>
      <c r="AE88" s="20">
        <f>IF(R88="Yes","Score "&amp;AD88&amp;": "&amp;TRIM(IF(S88&lt;&gt;0,"−8 acrimonious; ","")&amp;IF(T88=7,"+7 shared language; ","")&amp;IF(T88=-5,"−5 shared lang(adv); ","")&amp;IF(U88=5,"+5 same-sex; ","")&amp;IF(V88=-5,"−5 online no device; ","")&amp;IF(W88=3,"+3 mode; ","")&amp;IF(X88=3,"+3 proximity; ","")&amp;IF(Y88=3,"+3 category; ","")&amp;IF(Z88=3,"+3 long wait; ","")&amp;IF(AA88=2,"+2 religion; ","")&amp;IF(AB88=2,"+2 nationality; ","")&amp;IF(AC88=2,"+2 age; ","")),"Not eligible: "&amp;IF(NOT(AH88),"tutor not pending/with-capacity",IF(NOT(AI88),"no spare capacity",IF(AJ88,"tutor blacklisted",IF($AS$25,"student blacklisted",IF(NOT(AK88),"tutor vetting incomplete",IF(NOT($AS$26),"student vetting incomplete",IF(NOT(AM88),"no overlapping 3h AEST block",IF(NOT(AN88),"A1 student needs a shared language",IF(AL88,"'do not pair' note present",""))))))))))</f>
        <v/>
      </c>
      <c r="AF88">
        <f>TRIM(IFERROR(LEFT('(B) Register of Participants'!$AR$66,FIND(" (",'(B) Register of Participants'!$AR$66)-1),'(B) Register of Participants'!$AR$66))</f>
        <v/>
      </c>
      <c r="AG88">
        <f>IF(ISNUMBER(SEARCH("Mandarin",'(B) Register of Participants'!$AR$66)),"Mandarin",IF(ISNUMBER(SEARCH("Cantonese",'(B) Register of Participants'!$AR$66)),"Cantonese",IF(OR(AF88="Dari",AF88="Farsi",AF88="Persian",AF88="Hazaragi"),"Persian",AF88)))</f>
        <v/>
      </c>
      <c r="AH88">
        <f>OR(E88="ADM-ACT-UNMAT",E88="ADM-ACT-MAT-CNE")</f>
        <v/>
      </c>
      <c r="AI88">
        <f>F88&gt;0</f>
        <v/>
      </c>
      <c r="AJ88">
        <f>LEFT('(B) Register of Participants'!$L$66,3)="Yes"</f>
        <v/>
      </c>
      <c r="AK88">
        <f>AND(OR(LEFT('(B) Register of Participants'!$AY$66,3)="Yes",LEFT('(B) Register of Participants'!$AY$66,2)="NA"),OR(LEFT('(B) Register of Participants'!$AZ$66,3)="Yes",LEFT('(B) Register of Participants'!$AZ$66,2)="NA"))</f>
        <v/>
      </c>
      <c r="AL88">
        <f>OR(ISNUMBER(SEARCH("do not pair",'(B) Register of Participants'!$BL$66)),ISNUMBER(SEARCH("do not pair",'(B) Register of Participants'!$BM$66)))</f>
        <v/>
      </c>
      <c r="AM88">
        <f>P88&gt;0</f>
        <v/>
      </c>
      <c r="AN88">
        <f>IF($AS$8="A1",Q88=1,TRUE)</f>
        <v/>
      </c>
      <c r="AO88">
        <f>TRIM(IFERROR(LEFT('(B) Register of Participants'!$AP$66,FIND(";",'(B) Register of Participants'!$AP$66)-1),'(B) Register of Participants'!$AP$66))</f>
        <v/>
      </c>
      <c r="AP88">
        <f>IF(ISNUMBER(FIND(";",'(B) Register of Participants'!$AP$66)),TRIM(MID('(B) Register of Participants'!$AP$66,FIND(";",'(B) Register of Participants'!$AP$66)+1,80)),"")</f>
        <v/>
      </c>
    </row>
    <row r="89">
      <c r="B89" s="20">
        <f>IF(R89="Yes",RANK(AD89,$AD$25:$AD$124),"")</f>
        <v/>
      </c>
      <c r="C89" s="20">
        <f>'(B) Register of Participants'!$A$67</f>
        <v/>
      </c>
      <c r="D89" s="20">
        <f>'(B) Register of Participants'!$B$67</f>
        <v/>
      </c>
      <c r="E89" s="20">
        <f>'(B) Register of Participants'!$J$67</f>
        <v/>
      </c>
      <c r="F89" s="20">
        <f>IFERROR('(B) Register of Participants'!$O$67-'(B) Register of Participants'!$P$67,0)</f>
        <v/>
      </c>
      <c r="G89" s="20">
        <f>'(B) Register of Participants'!$AL$67</f>
        <v/>
      </c>
      <c r="H89" s="20">
        <f>'(B) Register of Participants'!$AP$67</f>
        <v/>
      </c>
      <c r="I89" s="20">
        <f>TRIM(IFERROR(LEFT('(B) Register of Participants'!$AS$67,FIND(" (",'(B) Register of Participants'!$AS$67)-1),'(B) Register of Participants'!$AS$67))</f>
        <v/>
      </c>
      <c r="J89" s="20">
        <f>'(B) Register of Participants'!$AT$67</f>
        <v/>
      </c>
      <c r="K89" s="20">
        <f>'(B) Register of Participants'!$AE$67</f>
        <v/>
      </c>
      <c r="L89" s="20">
        <f>'(B) Register of Participants'!$AF$67</f>
        <v/>
      </c>
      <c r="M89" s="20">
        <f>'(B) Register of Participants'!$AJ$67</f>
        <v/>
      </c>
      <c r="N89" s="20">
        <f>'(B) Register of Participants'!$CY$67</f>
        <v/>
      </c>
      <c r="O89" s="20">
        <f>'(B) Register of Participants'!$CW$67</f>
        <v/>
      </c>
      <c r="P89" s="20">
        <f>(ISNUMBER(SEARCH("6am-9am",$AS$27))*ISNUMBER(SEARCH("6am-9am",'(B) Register of Participants'!$X$67)))+(ISNUMBER(SEARCH("9am-12pm",$AS$27))*ISNUMBER(SEARCH("9am-12pm",'(B) Register of Participants'!$X$67)))+(ISNUMBER(SEARCH("12pm-3pm",$AS$27))*ISNUMBER(SEARCH("12pm-3pm",'(B) Register of Participants'!$X$67)))+(ISNUMBER(SEARCH("3pm-6pm",$AS$27))*ISNUMBER(SEARCH("3pm-6pm",'(B) Register of Participants'!$X$67)))+(ISNUMBER(SEARCH("6pm-9pm",$AS$27))*ISNUMBER(SEARCH("6pm-9pm",'(B) Register of Participants'!$X$67)))+(ISNUMBER(SEARCH("6am-9am",$AS$28))*ISNUMBER(SEARCH("6am-9am",'(B) Register of Participants'!$Y$67)))+(ISNUMBER(SEARCH("9am-12pm",$AS$28))*ISNUMBER(SEARCH("9am-12pm",'(B) Register of Participants'!$Y$67)))+(ISNUMBER(SEARCH("12pm-3pm",$AS$28))*ISNUMBER(SEARCH("12pm-3pm",'(B) Register of Participants'!$Y$67)))+(ISNUMBER(SEARCH("3pm-6pm",$AS$28))*ISNUMBER(SEARCH("3pm-6pm",'(B) Register of Participants'!$Y$67)))+(ISNUMBER(SEARCH("6pm-9pm",$AS$28))*ISNUMBER(SEARCH("6pm-9pm",'(B) Register of Participants'!$Y$67)))+(ISNUMBER(SEARCH("6am-9am",$AS$29))*ISNUMBER(SEARCH("6am-9am",'(B) Register of Participants'!$Z$67)))+(ISNUMBER(SEARCH("9am-12pm",$AS$29))*ISNUMBER(SEARCH("9am-12pm",'(B) Register of Participants'!$Z$67)))+(ISNUMBER(SEARCH("12pm-3pm",$AS$29))*ISNUMBER(SEARCH("12pm-3pm",'(B) Register of Participants'!$Z$67)))+(ISNUMBER(SEARCH("3pm-6pm",$AS$29))*ISNUMBER(SEARCH("3pm-6pm",'(B) Register of Participants'!$Z$67)))+(ISNUMBER(SEARCH("6pm-9pm",$AS$29))*ISNUMBER(SEARCH("6pm-9pm",'(B) Register of Participants'!$Z$67)))+(ISNUMBER(SEARCH("6am-9am",$AS$30))*ISNUMBER(SEARCH("6am-9am",'(B) Register of Participants'!$AA$67)))+(ISNUMBER(SEARCH("9am-12pm",$AS$30))*ISNUMBER(SEARCH("9am-12pm",'(B) Register of Participants'!$AA$67)))+(ISNUMBER(SEARCH("12pm-3pm",$AS$30))*ISNUMBER(SEARCH("12pm-3pm",'(B) Register of Participants'!$AA$67)))+(ISNUMBER(SEARCH("3pm-6pm",$AS$30))*ISNUMBER(SEARCH("3pm-6pm",'(B) Register of Participants'!$AA$67)))+(ISNUMBER(SEARCH("6pm-9pm",$AS$30))*ISNUMBER(SEARCH("6pm-9pm",'(B) Register of Participants'!$AA$67)))+(ISNUMBER(SEARCH("6am-9am",$AS$31))*ISNUMBER(SEARCH("6am-9am",'(B) Register of Participants'!$AB$67)))+(ISNUMBER(SEARCH("9am-12pm",$AS$31))*ISNUMBER(SEARCH("9am-12pm",'(B) Register of Participants'!$AB$67)))+(ISNUMBER(SEARCH("12pm-3pm",$AS$31))*ISNUMBER(SEARCH("12pm-3pm",'(B) Register of Participants'!$AB$67)))+(ISNUMBER(SEARCH("3pm-6pm",$AS$31))*ISNUMBER(SEARCH("3pm-6pm",'(B) Register of Participants'!$AB$67)))+(ISNUMBER(SEARCH("6pm-9pm",$AS$31))*ISNUMBER(SEARCH("6pm-9pm",'(B) Register of Participants'!$AB$67)))+(ISNUMBER(SEARCH("6am-9am",$AS$32))*ISNUMBER(SEARCH("6am-9am",'(B) Register of Participants'!$AC$67)))+(ISNUMBER(SEARCH("9am-12pm",$AS$32))*ISNUMBER(SEARCH("9am-12pm",'(B) Register of Participants'!$AC$67)))+(ISNUMBER(SEARCH("12pm-3pm",$AS$32))*ISNUMBER(SEARCH("12pm-3pm",'(B) Register of Participants'!$AC$67)))+(ISNUMBER(SEARCH("3pm-6pm",$AS$32))*ISNUMBER(SEARCH("3pm-6pm",'(B) Register of Participants'!$AC$67)))+(ISNUMBER(SEARCH("6pm-9pm",$AS$32))*ISNUMBER(SEARCH("6pm-9pm",'(B) Register of Participants'!$AC$67)))+(ISNUMBER(SEARCH("6am-9am",$AS$33))*ISNUMBER(SEARCH("6am-9am",'(B) Register of Participants'!$AD$67)))+(ISNUMBER(SEARCH("9am-12pm",$AS$33))*ISNUMBER(SEARCH("9am-12pm",'(B) Register of Participants'!$AD$67)))+(ISNUMBER(SEARCH("12pm-3pm",$AS$33))*ISNUMBER(SEARCH("12pm-3pm",'(B) Register of Participants'!$AD$67)))+(ISNUMBER(SEARCH("3pm-6pm",$AS$33))*ISNUMBER(SEARCH("3pm-6pm",'(B) Register of Participants'!$AD$67)))+(ISNUMBER(SEARCH("6pm-9pm",$AS$33))*ISNUMBER(SEARCH("6pm-9pm",'(B) Register of Participants'!$AD$67)))</f>
        <v/>
      </c>
      <c r="Q89" s="20">
        <f>IF(OR(AND($AS$17&lt;&gt;"",$AS$17&lt;&gt;"English",IF($AS$17="Persian",OR(ISNUMBER(SEARCH("Dari",'(B) Register of Participants'!$AR$67)),ISNUMBER(SEARCH("Farsi",'(B) Register of Participants'!$AR$67)),ISNUMBER(SEARCH("Persian",'(B) Register of Participants'!$AR$67)),ISNUMBER(SEARCH("Hazaragi",'(B) Register of Participants'!$AR$67))),ISNUMBER(SEARCH($AS$17,'(B) Register of Participants'!$AR$67)))),AND($AS$20&lt;&gt;"",$AS$20&lt;&gt;"English",IF($AS$20="Persian",OR(ISNUMBER(SEARCH("Dari",'(B) Register of Participants'!$AR$67)),ISNUMBER(SEARCH("Farsi",'(B) Register of Participants'!$AR$67)),ISNUMBER(SEARCH("Persian",'(B) Register of Participants'!$AR$67)),ISNUMBER(SEARCH("Hazaragi",'(B) Register of Participants'!$AR$67))),ISNUMBER(SEARCH($AS$20,'(B) Register of Participants'!$AR$67))))),1,0)</f>
        <v/>
      </c>
      <c r="R89" s="20">
        <f>IF(AND(AH89,AI89,NOT(AJ89),NOT($AS$25),AK89,$AS$26,AM89,AN89,NOT(AL89)),"Yes","No")</f>
        <v/>
      </c>
      <c r="S89" s="20">
        <f>IF(OR(COUNTIF('Engine Lists'!$A:$A,$AS$14&amp;"|"&amp;AO89)&gt;0,COUNTIF('Engine Lists'!$A:$A,$AS$14&amp;"|"&amp;AP89)&gt;0,COUNTIF('Engine Lists'!$A:$A,$AS$15&amp;"|"&amp;AO89)&gt;0,COUNTIF('Engine Lists'!$A:$A,$AS$15&amp;"|"&amp;AP89)&gt;0,COUNTIF('Engine Lists'!$A:$A,$AS$21&amp;"|"&amp;I89)&gt;0),-8,0)</f>
        <v/>
      </c>
      <c r="T89" s="20">
        <f>IF(Q89=1,IF(OR($AS$8="A2",$AS$8="B1"),7,IF(OR($AS$8="B2",$AS$8="C1",$AS$8="C2"),-5,0)),0)</f>
        <v/>
      </c>
      <c r="U89" s="20">
        <f>IF(AND($AS$6=G89,OR($AS$6="Male",$AS$6="Female")),5,0)</f>
        <v/>
      </c>
      <c r="V89" s="20">
        <f>IF(AND($AS$24,$AS$11&lt;&gt;"In-Person",K89&lt;&gt;"In-Person"),-5,0)</f>
        <v/>
      </c>
      <c r="W89" s="20">
        <f>IF(OR($AS$11=K89,$AS$11="Either",K89="Either"),3,0)</f>
        <v/>
      </c>
      <c r="X89" s="20">
        <f>IF(AND($AS$11&lt;&gt;"Online",K89&lt;&gt;"Online",ISNUMBER($AS$22),ISNUMBER(IFERROR(VALUE(M89),"x"))),IF(ABS($AS$22-VALUE(M89))&lt;=50,3,0),0)</f>
        <v/>
      </c>
      <c r="Y89" s="20">
        <f>IF(AND($AS$10&lt;&gt;"",$AS$10=J89),3,0)</f>
        <v/>
      </c>
      <c r="Z89" s="20">
        <f>IF(OR(N($AS$13)&gt;=150,N(O89)&gt;=150),3,0)</f>
        <v/>
      </c>
      <c r="AA89" s="20">
        <f>IF(AND($AS$21&lt;&gt;"",$AS$21&lt;&gt;"NA",$AS$21=I89),2,0)</f>
        <v/>
      </c>
      <c r="AB89" s="20">
        <f>IF(OR(AND($AS$14&lt;&gt;"",$AS$14&lt;&gt;"NA",OR($AS$14=AO89,$AS$14=AP89)),AND($AS$15&lt;&gt;"",OR($AS$15=AO89,$AS$15=AP89))),2,0)</f>
        <v/>
      </c>
      <c r="AC89" s="20">
        <f>IF(AND(ISNUMBER($AS$12),ISNUMBER(N89),ABS($AS$12-N89)&lt;=10),2,0)</f>
        <v/>
      </c>
      <c r="AD89" s="20">
        <f>IF(R89="Yes",SUM(S89:AC89),"")</f>
        <v/>
      </c>
      <c r="AE89" s="20">
        <f>IF(R89="Yes","Score "&amp;AD89&amp;": "&amp;TRIM(IF(S89&lt;&gt;0,"−8 acrimonious; ","")&amp;IF(T89=7,"+7 shared language; ","")&amp;IF(T89=-5,"−5 shared lang(adv); ","")&amp;IF(U89=5,"+5 same-sex; ","")&amp;IF(V89=-5,"−5 online no device; ","")&amp;IF(W89=3,"+3 mode; ","")&amp;IF(X89=3,"+3 proximity; ","")&amp;IF(Y89=3,"+3 category; ","")&amp;IF(Z89=3,"+3 long wait; ","")&amp;IF(AA89=2,"+2 religion; ","")&amp;IF(AB89=2,"+2 nationality; ","")&amp;IF(AC89=2,"+2 age; ","")),"Not eligible: "&amp;IF(NOT(AH89),"tutor not pending/with-capacity",IF(NOT(AI89),"no spare capacity",IF(AJ89,"tutor blacklisted",IF($AS$25,"student blacklisted",IF(NOT(AK89),"tutor vetting incomplete",IF(NOT($AS$26),"student vetting incomplete",IF(NOT(AM89),"no overlapping 3h AEST block",IF(NOT(AN89),"A1 student needs a shared language",IF(AL89,"'do not pair' note present",""))))))))))</f>
        <v/>
      </c>
      <c r="AF89">
        <f>TRIM(IFERROR(LEFT('(B) Register of Participants'!$AR$67,FIND(" (",'(B) Register of Participants'!$AR$67)-1),'(B) Register of Participants'!$AR$67))</f>
        <v/>
      </c>
      <c r="AG89">
        <f>IF(ISNUMBER(SEARCH("Mandarin",'(B) Register of Participants'!$AR$67)),"Mandarin",IF(ISNUMBER(SEARCH("Cantonese",'(B) Register of Participants'!$AR$67)),"Cantonese",IF(OR(AF89="Dari",AF89="Farsi",AF89="Persian",AF89="Hazaragi"),"Persian",AF89)))</f>
        <v/>
      </c>
      <c r="AH89">
        <f>OR(E89="ADM-ACT-UNMAT",E89="ADM-ACT-MAT-CNE")</f>
        <v/>
      </c>
      <c r="AI89">
        <f>F89&gt;0</f>
        <v/>
      </c>
      <c r="AJ89">
        <f>LEFT('(B) Register of Participants'!$L$67,3)="Yes"</f>
        <v/>
      </c>
      <c r="AK89">
        <f>AND(OR(LEFT('(B) Register of Participants'!$AY$67,3)="Yes",LEFT('(B) Register of Participants'!$AY$67,2)="NA"),OR(LEFT('(B) Register of Participants'!$AZ$67,3)="Yes",LEFT('(B) Register of Participants'!$AZ$67,2)="NA"))</f>
        <v/>
      </c>
      <c r="AL89">
        <f>OR(ISNUMBER(SEARCH("do not pair",'(B) Register of Participants'!$BL$67)),ISNUMBER(SEARCH("do not pair",'(B) Register of Participants'!$BM$67)))</f>
        <v/>
      </c>
      <c r="AM89">
        <f>P89&gt;0</f>
        <v/>
      </c>
      <c r="AN89">
        <f>IF($AS$8="A1",Q89=1,TRUE)</f>
        <v/>
      </c>
      <c r="AO89">
        <f>TRIM(IFERROR(LEFT('(B) Register of Participants'!$AP$67,FIND(";",'(B) Register of Participants'!$AP$67)-1),'(B) Register of Participants'!$AP$67))</f>
        <v/>
      </c>
      <c r="AP89">
        <f>IF(ISNUMBER(FIND(";",'(B) Register of Participants'!$AP$67)),TRIM(MID('(B) Register of Participants'!$AP$67,FIND(";",'(B) Register of Participants'!$AP$67)+1,80)),"")</f>
        <v/>
      </c>
    </row>
    <row r="90">
      <c r="B90" s="20">
        <f>IF(R90="Yes",RANK(AD90,$AD$25:$AD$124),"")</f>
        <v/>
      </c>
      <c r="C90" s="20">
        <f>'(B) Register of Participants'!$A$68</f>
        <v/>
      </c>
      <c r="D90" s="20">
        <f>'(B) Register of Participants'!$B$68</f>
        <v/>
      </c>
      <c r="E90" s="20">
        <f>'(B) Register of Participants'!$J$68</f>
        <v/>
      </c>
      <c r="F90" s="20">
        <f>IFERROR('(B) Register of Participants'!$O$68-'(B) Register of Participants'!$P$68,0)</f>
        <v/>
      </c>
      <c r="G90" s="20">
        <f>'(B) Register of Participants'!$AL$68</f>
        <v/>
      </c>
      <c r="H90" s="20">
        <f>'(B) Register of Participants'!$AP$68</f>
        <v/>
      </c>
      <c r="I90" s="20">
        <f>TRIM(IFERROR(LEFT('(B) Register of Participants'!$AS$68,FIND(" (",'(B) Register of Participants'!$AS$68)-1),'(B) Register of Participants'!$AS$68))</f>
        <v/>
      </c>
      <c r="J90" s="20">
        <f>'(B) Register of Participants'!$AT$68</f>
        <v/>
      </c>
      <c r="K90" s="20">
        <f>'(B) Register of Participants'!$AE$68</f>
        <v/>
      </c>
      <c r="L90" s="20">
        <f>'(B) Register of Participants'!$AF$68</f>
        <v/>
      </c>
      <c r="M90" s="20">
        <f>'(B) Register of Participants'!$AJ$68</f>
        <v/>
      </c>
      <c r="N90" s="20">
        <f>'(B) Register of Participants'!$CY$68</f>
        <v/>
      </c>
      <c r="O90" s="20">
        <f>'(B) Register of Participants'!$CW$68</f>
        <v/>
      </c>
      <c r="P90" s="20">
        <f>(ISNUMBER(SEARCH("6am-9am",$AS$27))*ISNUMBER(SEARCH("6am-9am",'(B) Register of Participants'!$X$68)))+(ISNUMBER(SEARCH("9am-12pm",$AS$27))*ISNUMBER(SEARCH("9am-12pm",'(B) Register of Participants'!$X$68)))+(ISNUMBER(SEARCH("12pm-3pm",$AS$27))*ISNUMBER(SEARCH("12pm-3pm",'(B) Register of Participants'!$X$68)))+(ISNUMBER(SEARCH("3pm-6pm",$AS$27))*ISNUMBER(SEARCH("3pm-6pm",'(B) Register of Participants'!$X$68)))+(ISNUMBER(SEARCH("6pm-9pm",$AS$27))*ISNUMBER(SEARCH("6pm-9pm",'(B) Register of Participants'!$X$68)))+(ISNUMBER(SEARCH("6am-9am",$AS$28))*ISNUMBER(SEARCH("6am-9am",'(B) Register of Participants'!$Y$68)))+(ISNUMBER(SEARCH("9am-12pm",$AS$28))*ISNUMBER(SEARCH("9am-12pm",'(B) Register of Participants'!$Y$68)))+(ISNUMBER(SEARCH("12pm-3pm",$AS$28))*ISNUMBER(SEARCH("12pm-3pm",'(B) Register of Participants'!$Y$68)))+(ISNUMBER(SEARCH("3pm-6pm",$AS$28))*ISNUMBER(SEARCH("3pm-6pm",'(B) Register of Participants'!$Y$68)))+(ISNUMBER(SEARCH("6pm-9pm",$AS$28))*ISNUMBER(SEARCH("6pm-9pm",'(B) Register of Participants'!$Y$68)))+(ISNUMBER(SEARCH("6am-9am",$AS$29))*ISNUMBER(SEARCH("6am-9am",'(B) Register of Participants'!$Z$68)))+(ISNUMBER(SEARCH("9am-12pm",$AS$29))*ISNUMBER(SEARCH("9am-12pm",'(B) Register of Participants'!$Z$68)))+(ISNUMBER(SEARCH("12pm-3pm",$AS$29))*ISNUMBER(SEARCH("12pm-3pm",'(B) Register of Participants'!$Z$68)))+(ISNUMBER(SEARCH("3pm-6pm",$AS$29))*ISNUMBER(SEARCH("3pm-6pm",'(B) Register of Participants'!$Z$68)))+(ISNUMBER(SEARCH("6pm-9pm",$AS$29))*ISNUMBER(SEARCH("6pm-9pm",'(B) Register of Participants'!$Z$68)))+(ISNUMBER(SEARCH("6am-9am",$AS$30))*ISNUMBER(SEARCH("6am-9am",'(B) Register of Participants'!$AA$68)))+(ISNUMBER(SEARCH("9am-12pm",$AS$30))*ISNUMBER(SEARCH("9am-12pm",'(B) Register of Participants'!$AA$68)))+(ISNUMBER(SEARCH("12pm-3pm",$AS$30))*ISNUMBER(SEARCH("12pm-3pm",'(B) Register of Participants'!$AA$68)))+(ISNUMBER(SEARCH("3pm-6pm",$AS$30))*ISNUMBER(SEARCH("3pm-6pm",'(B) Register of Participants'!$AA$68)))+(ISNUMBER(SEARCH("6pm-9pm",$AS$30))*ISNUMBER(SEARCH("6pm-9pm",'(B) Register of Participants'!$AA$68)))+(ISNUMBER(SEARCH("6am-9am",$AS$31))*ISNUMBER(SEARCH("6am-9am",'(B) Register of Participants'!$AB$68)))+(ISNUMBER(SEARCH("9am-12pm",$AS$31))*ISNUMBER(SEARCH("9am-12pm",'(B) Register of Participants'!$AB$68)))+(ISNUMBER(SEARCH("12pm-3pm",$AS$31))*ISNUMBER(SEARCH("12pm-3pm",'(B) Register of Participants'!$AB$68)))+(ISNUMBER(SEARCH("3pm-6pm",$AS$31))*ISNUMBER(SEARCH("3pm-6pm",'(B) Register of Participants'!$AB$68)))+(ISNUMBER(SEARCH("6pm-9pm",$AS$31))*ISNUMBER(SEARCH("6pm-9pm",'(B) Register of Participants'!$AB$68)))+(ISNUMBER(SEARCH("6am-9am",$AS$32))*ISNUMBER(SEARCH("6am-9am",'(B) Register of Participants'!$AC$68)))+(ISNUMBER(SEARCH("9am-12pm",$AS$32))*ISNUMBER(SEARCH("9am-12pm",'(B) Register of Participants'!$AC$68)))+(ISNUMBER(SEARCH("12pm-3pm",$AS$32))*ISNUMBER(SEARCH("12pm-3pm",'(B) Register of Participants'!$AC$68)))+(ISNUMBER(SEARCH("3pm-6pm",$AS$32))*ISNUMBER(SEARCH("3pm-6pm",'(B) Register of Participants'!$AC$68)))+(ISNUMBER(SEARCH("6pm-9pm",$AS$32))*ISNUMBER(SEARCH("6pm-9pm",'(B) Register of Participants'!$AC$68)))+(ISNUMBER(SEARCH("6am-9am",$AS$33))*ISNUMBER(SEARCH("6am-9am",'(B) Register of Participants'!$AD$68)))+(ISNUMBER(SEARCH("9am-12pm",$AS$33))*ISNUMBER(SEARCH("9am-12pm",'(B) Register of Participants'!$AD$68)))+(ISNUMBER(SEARCH("12pm-3pm",$AS$33))*ISNUMBER(SEARCH("12pm-3pm",'(B) Register of Participants'!$AD$68)))+(ISNUMBER(SEARCH("3pm-6pm",$AS$33))*ISNUMBER(SEARCH("3pm-6pm",'(B) Register of Participants'!$AD$68)))+(ISNUMBER(SEARCH("6pm-9pm",$AS$33))*ISNUMBER(SEARCH("6pm-9pm",'(B) Register of Participants'!$AD$68)))</f>
        <v/>
      </c>
      <c r="Q90" s="20">
        <f>IF(OR(AND($AS$17&lt;&gt;"",$AS$17&lt;&gt;"English",IF($AS$17="Persian",OR(ISNUMBER(SEARCH("Dari",'(B) Register of Participants'!$AR$68)),ISNUMBER(SEARCH("Farsi",'(B) Register of Participants'!$AR$68)),ISNUMBER(SEARCH("Persian",'(B) Register of Participants'!$AR$68)),ISNUMBER(SEARCH("Hazaragi",'(B) Register of Participants'!$AR$68))),ISNUMBER(SEARCH($AS$17,'(B) Register of Participants'!$AR$68)))),AND($AS$20&lt;&gt;"",$AS$20&lt;&gt;"English",IF($AS$20="Persian",OR(ISNUMBER(SEARCH("Dari",'(B) Register of Participants'!$AR$68)),ISNUMBER(SEARCH("Farsi",'(B) Register of Participants'!$AR$68)),ISNUMBER(SEARCH("Persian",'(B) Register of Participants'!$AR$68)),ISNUMBER(SEARCH("Hazaragi",'(B) Register of Participants'!$AR$68))),ISNUMBER(SEARCH($AS$20,'(B) Register of Participants'!$AR$68))))),1,0)</f>
        <v/>
      </c>
      <c r="R90" s="20">
        <f>IF(AND(AH90,AI90,NOT(AJ90),NOT($AS$25),AK90,$AS$26,AM90,AN90,NOT(AL90)),"Yes","No")</f>
        <v/>
      </c>
      <c r="S90" s="20">
        <f>IF(OR(COUNTIF('Engine Lists'!$A:$A,$AS$14&amp;"|"&amp;AO90)&gt;0,COUNTIF('Engine Lists'!$A:$A,$AS$14&amp;"|"&amp;AP90)&gt;0,COUNTIF('Engine Lists'!$A:$A,$AS$15&amp;"|"&amp;AO90)&gt;0,COUNTIF('Engine Lists'!$A:$A,$AS$15&amp;"|"&amp;AP90)&gt;0,COUNTIF('Engine Lists'!$A:$A,$AS$21&amp;"|"&amp;I90)&gt;0),-8,0)</f>
        <v/>
      </c>
      <c r="T90" s="20">
        <f>IF(Q90=1,IF(OR($AS$8="A2",$AS$8="B1"),7,IF(OR($AS$8="B2",$AS$8="C1",$AS$8="C2"),-5,0)),0)</f>
        <v/>
      </c>
      <c r="U90" s="20">
        <f>IF(AND($AS$6=G90,OR($AS$6="Male",$AS$6="Female")),5,0)</f>
        <v/>
      </c>
      <c r="V90" s="20">
        <f>IF(AND($AS$24,$AS$11&lt;&gt;"In-Person",K90&lt;&gt;"In-Person"),-5,0)</f>
        <v/>
      </c>
      <c r="W90" s="20">
        <f>IF(OR($AS$11=K90,$AS$11="Either",K90="Either"),3,0)</f>
        <v/>
      </c>
      <c r="X90" s="20">
        <f>IF(AND($AS$11&lt;&gt;"Online",K90&lt;&gt;"Online",ISNUMBER($AS$22),ISNUMBER(IFERROR(VALUE(M90),"x"))),IF(ABS($AS$22-VALUE(M90))&lt;=50,3,0),0)</f>
        <v/>
      </c>
      <c r="Y90" s="20">
        <f>IF(AND($AS$10&lt;&gt;"",$AS$10=J90),3,0)</f>
        <v/>
      </c>
      <c r="Z90" s="20">
        <f>IF(OR(N($AS$13)&gt;=150,N(O90)&gt;=150),3,0)</f>
        <v/>
      </c>
      <c r="AA90" s="20">
        <f>IF(AND($AS$21&lt;&gt;"",$AS$21&lt;&gt;"NA",$AS$21=I90),2,0)</f>
        <v/>
      </c>
      <c r="AB90" s="20">
        <f>IF(OR(AND($AS$14&lt;&gt;"",$AS$14&lt;&gt;"NA",OR($AS$14=AO90,$AS$14=AP90)),AND($AS$15&lt;&gt;"",OR($AS$15=AO90,$AS$15=AP90))),2,0)</f>
        <v/>
      </c>
      <c r="AC90" s="20">
        <f>IF(AND(ISNUMBER($AS$12),ISNUMBER(N90),ABS($AS$12-N90)&lt;=10),2,0)</f>
        <v/>
      </c>
      <c r="AD90" s="20">
        <f>IF(R90="Yes",SUM(S90:AC90),"")</f>
        <v/>
      </c>
      <c r="AE90" s="20">
        <f>IF(R90="Yes","Score "&amp;AD90&amp;": "&amp;TRIM(IF(S90&lt;&gt;0,"−8 acrimonious; ","")&amp;IF(T90=7,"+7 shared language; ","")&amp;IF(T90=-5,"−5 shared lang(adv); ","")&amp;IF(U90=5,"+5 same-sex; ","")&amp;IF(V90=-5,"−5 online no device; ","")&amp;IF(W90=3,"+3 mode; ","")&amp;IF(X90=3,"+3 proximity; ","")&amp;IF(Y90=3,"+3 category; ","")&amp;IF(Z90=3,"+3 long wait; ","")&amp;IF(AA90=2,"+2 religion; ","")&amp;IF(AB90=2,"+2 nationality; ","")&amp;IF(AC90=2,"+2 age; ","")),"Not eligible: "&amp;IF(NOT(AH90),"tutor not pending/with-capacity",IF(NOT(AI90),"no spare capacity",IF(AJ90,"tutor blacklisted",IF($AS$25,"student blacklisted",IF(NOT(AK90),"tutor vetting incomplete",IF(NOT($AS$26),"student vetting incomplete",IF(NOT(AM90),"no overlapping 3h AEST block",IF(NOT(AN90),"A1 student needs a shared language",IF(AL90,"'do not pair' note present",""))))))))))</f>
        <v/>
      </c>
      <c r="AF90">
        <f>TRIM(IFERROR(LEFT('(B) Register of Participants'!$AR$68,FIND(" (",'(B) Register of Participants'!$AR$68)-1),'(B) Register of Participants'!$AR$68))</f>
        <v/>
      </c>
      <c r="AG90">
        <f>IF(ISNUMBER(SEARCH("Mandarin",'(B) Register of Participants'!$AR$68)),"Mandarin",IF(ISNUMBER(SEARCH("Cantonese",'(B) Register of Participants'!$AR$68)),"Cantonese",IF(OR(AF90="Dari",AF90="Farsi",AF90="Persian",AF90="Hazaragi"),"Persian",AF90)))</f>
        <v/>
      </c>
      <c r="AH90">
        <f>OR(E90="ADM-ACT-UNMAT",E90="ADM-ACT-MAT-CNE")</f>
        <v/>
      </c>
      <c r="AI90">
        <f>F90&gt;0</f>
        <v/>
      </c>
      <c r="AJ90">
        <f>LEFT('(B) Register of Participants'!$L$68,3)="Yes"</f>
        <v/>
      </c>
      <c r="AK90">
        <f>AND(OR(LEFT('(B) Register of Participants'!$AY$68,3)="Yes",LEFT('(B) Register of Participants'!$AY$68,2)="NA"),OR(LEFT('(B) Register of Participants'!$AZ$68,3)="Yes",LEFT('(B) Register of Participants'!$AZ$68,2)="NA"))</f>
        <v/>
      </c>
      <c r="AL90">
        <f>OR(ISNUMBER(SEARCH("do not pair",'(B) Register of Participants'!$BL$68)),ISNUMBER(SEARCH("do not pair",'(B) Register of Participants'!$BM$68)))</f>
        <v/>
      </c>
      <c r="AM90">
        <f>P90&gt;0</f>
        <v/>
      </c>
      <c r="AN90">
        <f>IF($AS$8="A1",Q90=1,TRUE)</f>
        <v/>
      </c>
      <c r="AO90">
        <f>TRIM(IFERROR(LEFT('(B) Register of Participants'!$AP$68,FIND(";",'(B) Register of Participants'!$AP$68)-1),'(B) Register of Participants'!$AP$68))</f>
        <v/>
      </c>
      <c r="AP90">
        <f>IF(ISNUMBER(FIND(";",'(B) Register of Participants'!$AP$68)),TRIM(MID('(B) Register of Participants'!$AP$68,FIND(";",'(B) Register of Participants'!$AP$68)+1,80)),"")</f>
        <v/>
      </c>
    </row>
    <row r="91">
      <c r="B91" s="20">
        <f>IF(R91="Yes",RANK(AD91,$AD$25:$AD$124),"")</f>
        <v/>
      </c>
      <c r="C91" s="20">
        <f>'(B) Register of Participants'!$A$69</f>
        <v/>
      </c>
      <c r="D91" s="20">
        <f>'(B) Register of Participants'!$B$69</f>
        <v/>
      </c>
      <c r="E91" s="20">
        <f>'(B) Register of Participants'!$J$69</f>
        <v/>
      </c>
      <c r="F91" s="20">
        <f>IFERROR('(B) Register of Participants'!$O$69-'(B) Register of Participants'!$P$69,0)</f>
        <v/>
      </c>
      <c r="G91" s="20">
        <f>'(B) Register of Participants'!$AL$69</f>
        <v/>
      </c>
      <c r="H91" s="20">
        <f>'(B) Register of Participants'!$AP$69</f>
        <v/>
      </c>
      <c r="I91" s="20">
        <f>TRIM(IFERROR(LEFT('(B) Register of Participants'!$AS$69,FIND(" (",'(B) Register of Participants'!$AS$69)-1),'(B) Register of Participants'!$AS$69))</f>
        <v/>
      </c>
      <c r="J91" s="20">
        <f>'(B) Register of Participants'!$AT$69</f>
        <v/>
      </c>
      <c r="K91" s="20">
        <f>'(B) Register of Participants'!$AE$69</f>
        <v/>
      </c>
      <c r="L91" s="20">
        <f>'(B) Register of Participants'!$AF$69</f>
        <v/>
      </c>
      <c r="M91" s="20">
        <f>'(B) Register of Participants'!$AJ$69</f>
        <v/>
      </c>
      <c r="N91" s="20">
        <f>'(B) Register of Participants'!$CY$69</f>
        <v/>
      </c>
      <c r="O91" s="20">
        <f>'(B) Register of Participants'!$CW$69</f>
        <v/>
      </c>
      <c r="P91" s="20">
        <f>(ISNUMBER(SEARCH("6am-9am",$AS$27))*ISNUMBER(SEARCH("6am-9am",'(B) Register of Participants'!$X$69)))+(ISNUMBER(SEARCH("9am-12pm",$AS$27))*ISNUMBER(SEARCH("9am-12pm",'(B) Register of Participants'!$X$69)))+(ISNUMBER(SEARCH("12pm-3pm",$AS$27))*ISNUMBER(SEARCH("12pm-3pm",'(B) Register of Participants'!$X$69)))+(ISNUMBER(SEARCH("3pm-6pm",$AS$27))*ISNUMBER(SEARCH("3pm-6pm",'(B) Register of Participants'!$X$69)))+(ISNUMBER(SEARCH("6pm-9pm",$AS$27))*ISNUMBER(SEARCH("6pm-9pm",'(B) Register of Participants'!$X$69)))+(ISNUMBER(SEARCH("6am-9am",$AS$28))*ISNUMBER(SEARCH("6am-9am",'(B) Register of Participants'!$Y$69)))+(ISNUMBER(SEARCH("9am-12pm",$AS$28))*ISNUMBER(SEARCH("9am-12pm",'(B) Register of Participants'!$Y$69)))+(ISNUMBER(SEARCH("12pm-3pm",$AS$28))*ISNUMBER(SEARCH("12pm-3pm",'(B) Register of Participants'!$Y$69)))+(ISNUMBER(SEARCH("3pm-6pm",$AS$28))*ISNUMBER(SEARCH("3pm-6pm",'(B) Register of Participants'!$Y$69)))+(ISNUMBER(SEARCH("6pm-9pm",$AS$28))*ISNUMBER(SEARCH("6pm-9pm",'(B) Register of Participants'!$Y$69)))+(ISNUMBER(SEARCH("6am-9am",$AS$29))*ISNUMBER(SEARCH("6am-9am",'(B) Register of Participants'!$Z$69)))+(ISNUMBER(SEARCH("9am-12pm",$AS$29))*ISNUMBER(SEARCH("9am-12pm",'(B) Register of Participants'!$Z$69)))+(ISNUMBER(SEARCH("12pm-3pm",$AS$29))*ISNUMBER(SEARCH("12pm-3pm",'(B) Register of Participants'!$Z$69)))+(ISNUMBER(SEARCH("3pm-6pm",$AS$29))*ISNUMBER(SEARCH("3pm-6pm",'(B) Register of Participants'!$Z$69)))+(ISNUMBER(SEARCH("6pm-9pm",$AS$29))*ISNUMBER(SEARCH("6pm-9pm",'(B) Register of Participants'!$Z$69)))+(ISNUMBER(SEARCH("6am-9am",$AS$30))*ISNUMBER(SEARCH("6am-9am",'(B) Register of Participants'!$AA$69)))+(ISNUMBER(SEARCH("9am-12pm",$AS$30))*ISNUMBER(SEARCH("9am-12pm",'(B) Register of Participants'!$AA$69)))+(ISNUMBER(SEARCH("12pm-3pm",$AS$30))*ISNUMBER(SEARCH("12pm-3pm",'(B) Register of Participants'!$AA$69)))+(ISNUMBER(SEARCH("3pm-6pm",$AS$30))*ISNUMBER(SEARCH("3pm-6pm",'(B) Register of Participants'!$AA$69)))+(ISNUMBER(SEARCH("6pm-9pm",$AS$30))*ISNUMBER(SEARCH("6pm-9pm",'(B) Register of Participants'!$AA$69)))+(ISNUMBER(SEARCH("6am-9am",$AS$31))*ISNUMBER(SEARCH("6am-9am",'(B) Register of Participants'!$AB$69)))+(ISNUMBER(SEARCH("9am-12pm",$AS$31))*ISNUMBER(SEARCH("9am-12pm",'(B) Register of Participants'!$AB$69)))+(ISNUMBER(SEARCH("12pm-3pm",$AS$31))*ISNUMBER(SEARCH("12pm-3pm",'(B) Register of Participants'!$AB$69)))+(ISNUMBER(SEARCH("3pm-6pm",$AS$31))*ISNUMBER(SEARCH("3pm-6pm",'(B) Register of Participants'!$AB$69)))+(ISNUMBER(SEARCH("6pm-9pm",$AS$31))*ISNUMBER(SEARCH("6pm-9pm",'(B) Register of Participants'!$AB$69)))+(ISNUMBER(SEARCH("6am-9am",$AS$32))*ISNUMBER(SEARCH("6am-9am",'(B) Register of Participants'!$AC$69)))+(ISNUMBER(SEARCH("9am-12pm",$AS$32))*ISNUMBER(SEARCH("9am-12pm",'(B) Register of Participants'!$AC$69)))+(ISNUMBER(SEARCH("12pm-3pm",$AS$32))*ISNUMBER(SEARCH("12pm-3pm",'(B) Register of Participants'!$AC$69)))+(ISNUMBER(SEARCH("3pm-6pm",$AS$32))*ISNUMBER(SEARCH("3pm-6pm",'(B) Register of Participants'!$AC$69)))+(ISNUMBER(SEARCH("6pm-9pm",$AS$32))*ISNUMBER(SEARCH("6pm-9pm",'(B) Register of Participants'!$AC$69)))+(ISNUMBER(SEARCH("6am-9am",$AS$33))*ISNUMBER(SEARCH("6am-9am",'(B) Register of Participants'!$AD$69)))+(ISNUMBER(SEARCH("9am-12pm",$AS$33))*ISNUMBER(SEARCH("9am-12pm",'(B) Register of Participants'!$AD$69)))+(ISNUMBER(SEARCH("12pm-3pm",$AS$33))*ISNUMBER(SEARCH("12pm-3pm",'(B) Register of Participants'!$AD$69)))+(ISNUMBER(SEARCH("3pm-6pm",$AS$33))*ISNUMBER(SEARCH("3pm-6pm",'(B) Register of Participants'!$AD$69)))+(ISNUMBER(SEARCH("6pm-9pm",$AS$33))*ISNUMBER(SEARCH("6pm-9pm",'(B) Register of Participants'!$AD$69)))</f>
        <v/>
      </c>
      <c r="Q91" s="20">
        <f>IF(OR(AND($AS$17&lt;&gt;"",$AS$17&lt;&gt;"English",IF($AS$17="Persian",OR(ISNUMBER(SEARCH("Dari",'(B) Register of Participants'!$AR$69)),ISNUMBER(SEARCH("Farsi",'(B) Register of Participants'!$AR$69)),ISNUMBER(SEARCH("Persian",'(B) Register of Participants'!$AR$69)),ISNUMBER(SEARCH("Hazaragi",'(B) Register of Participants'!$AR$69))),ISNUMBER(SEARCH($AS$17,'(B) Register of Participants'!$AR$69)))),AND($AS$20&lt;&gt;"",$AS$20&lt;&gt;"English",IF($AS$20="Persian",OR(ISNUMBER(SEARCH("Dari",'(B) Register of Participants'!$AR$69)),ISNUMBER(SEARCH("Farsi",'(B) Register of Participants'!$AR$69)),ISNUMBER(SEARCH("Persian",'(B) Register of Participants'!$AR$69)),ISNUMBER(SEARCH("Hazaragi",'(B) Register of Participants'!$AR$69))),ISNUMBER(SEARCH($AS$20,'(B) Register of Participants'!$AR$69))))),1,0)</f>
        <v/>
      </c>
      <c r="R91" s="20">
        <f>IF(AND(AH91,AI91,NOT(AJ91),NOT($AS$25),AK91,$AS$26,AM91,AN91,NOT(AL91)),"Yes","No")</f>
        <v/>
      </c>
      <c r="S91" s="20">
        <f>IF(OR(COUNTIF('Engine Lists'!$A:$A,$AS$14&amp;"|"&amp;AO91)&gt;0,COUNTIF('Engine Lists'!$A:$A,$AS$14&amp;"|"&amp;AP91)&gt;0,COUNTIF('Engine Lists'!$A:$A,$AS$15&amp;"|"&amp;AO91)&gt;0,COUNTIF('Engine Lists'!$A:$A,$AS$15&amp;"|"&amp;AP91)&gt;0,COUNTIF('Engine Lists'!$A:$A,$AS$21&amp;"|"&amp;I91)&gt;0),-8,0)</f>
        <v/>
      </c>
      <c r="T91" s="20">
        <f>IF(Q91=1,IF(OR($AS$8="A2",$AS$8="B1"),7,IF(OR($AS$8="B2",$AS$8="C1",$AS$8="C2"),-5,0)),0)</f>
        <v/>
      </c>
      <c r="U91" s="20">
        <f>IF(AND($AS$6=G91,OR($AS$6="Male",$AS$6="Female")),5,0)</f>
        <v/>
      </c>
      <c r="V91" s="20">
        <f>IF(AND($AS$24,$AS$11&lt;&gt;"In-Person",K91&lt;&gt;"In-Person"),-5,0)</f>
        <v/>
      </c>
      <c r="W91" s="20">
        <f>IF(OR($AS$11=K91,$AS$11="Either",K91="Either"),3,0)</f>
        <v/>
      </c>
      <c r="X91" s="20">
        <f>IF(AND($AS$11&lt;&gt;"Online",K91&lt;&gt;"Online",ISNUMBER($AS$22),ISNUMBER(IFERROR(VALUE(M91),"x"))),IF(ABS($AS$22-VALUE(M91))&lt;=50,3,0),0)</f>
        <v/>
      </c>
      <c r="Y91" s="20">
        <f>IF(AND($AS$10&lt;&gt;"",$AS$10=J91),3,0)</f>
        <v/>
      </c>
      <c r="Z91" s="20">
        <f>IF(OR(N($AS$13)&gt;=150,N(O91)&gt;=150),3,0)</f>
        <v/>
      </c>
      <c r="AA91" s="20">
        <f>IF(AND($AS$21&lt;&gt;"",$AS$21&lt;&gt;"NA",$AS$21=I91),2,0)</f>
        <v/>
      </c>
      <c r="AB91" s="20">
        <f>IF(OR(AND($AS$14&lt;&gt;"",$AS$14&lt;&gt;"NA",OR($AS$14=AO91,$AS$14=AP91)),AND($AS$15&lt;&gt;"",OR($AS$15=AO91,$AS$15=AP91))),2,0)</f>
        <v/>
      </c>
      <c r="AC91" s="20">
        <f>IF(AND(ISNUMBER($AS$12),ISNUMBER(N91),ABS($AS$12-N91)&lt;=10),2,0)</f>
        <v/>
      </c>
      <c r="AD91" s="20">
        <f>IF(R91="Yes",SUM(S91:AC91),"")</f>
        <v/>
      </c>
      <c r="AE91" s="20">
        <f>IF(R91="Yes","Score "&amp;AD91&amp;": "&amp;TRIM(IF(S91&lt;&gt;0,"−8 acrimonious; ","")&amp;IF(T91=7,"+7 shared language; ","")&amp;IF(T91=-5,"−5 shared lang(adv); ","")&amp;IF(U91=5,"+5 same-sex; ","")&amp;IF(V91=-5,"−5 online no device; ","")&amp;IF(W91=3,"+3 mode; ","")&amp;IF(X91=3,"+3 proximity; ","")&amp;IF(Y91=3,"+3 category; ","")&amp;IF(Z91=3,"+3 long wait; ","")&amp;IF(AA91=2,"+2 religion; ","")&amp;IF(AB91=2,"+2 nationality; ","")&amp;IF(AC91=2,"+2 age; ","")),"Not eligible: "&amp;IF(NOT(AH91),"tutor not pending/with-capacity",IF(NOT(AI91),"no spare capacity",IF(AJ91,"tutor blacklisted",IF($AS$25,"student blacklisted",IF(NOT(AK91),"tutor vetting incomplete",IF(NOT($AS$26),"student vetting incomplete",IF(NOT(AM91),"no overlapping 3h AEST block",IF(NOT(AN91),"A1 student needs a shared language",IF(AL91,"'do not pair' note present",""))))))))))</f>
        <v/>
      </c>
      <c r="AF91">
        <f>TRIM(IFERROR(LEFT('(B) Register of Participants'!$AR$69,FIND(" (",'(B) Register of Participants'!$AR$69)-1),'(B) Register of Participants'!$AR$69))</f>
        <v/>
      </c>
      <c r="AG91">
        <f>IF(ISNUMBER(SEARCH("Mandarin",'(B) Register of Participants'!$AR$69)),"Mandarin",IF(ISNUMBER(SEARCH("Cantonese",'(B) Register of Participants'!$AR$69)),"Cantonese",IF(OR(AF91="Dari",AF91="Farsi",AF91="Persian",AF91="Hazaragi"),"Persian",AF91)))</f>
        <v/>
      </c>
      <c r="AH91">
        <f>OR(E91="ADM-ACT-UNMAT",E91="ADM-ACT-MAT-CNE")</f>
        <v/>
      </c>
      <c r="AI91">
        <f>F91&gt;0</f>
        <v/>
      </c>
      <c r="AJ91">
        <f>LEFT('(B) Register of Participants'!$L$69,3)="Yes"</f>
        <v/>
      </c>
      <c r="AK91">
        <f>AND(OR(LEFT('(B) Register of Participants'!$AY$69,3)="Yes",LEFT('(B) Register of Participants'!$AY$69,2)="NA"),OR(LEFT('(B) Register of Participants'!$AZ$69,3)="Yes",LEFT('(B) Register of Participants'!$AZ$69,2)="NA"))</f>
        <v/>
      </c>
      <c r="AL91">
        <f>OR(ISNUMBER(SEARCH("do not pair",'(B) Register of Participants'!$BL$69)),ISNUMBER(SEARCH("do not pair",'(B) Register of Participants'!$BM$69)))</f>
        <v/>
      </c>
      <c r="AM91">
        <f>P91&gt;0</f>
        <v/>
      </c>
      <c r="AN91">
        <f>IF($AS$8="A1",Q91=1,TRUE)</f>
        <v/>
      </c>
      <c r="AO91">
        <f>TRIM(IFERROR(LEFT('(B) Register of Participants'!$AP$69,FIND(";",'(B) Register of Participants'!$AP$69)-1),'(B) Register of Participants'!$AP$69))</f>
        <v/>
      </c>
      <c r="AP91">
        <f>IF(ISNUMBER(FIND(";",'(B) Register of Participants'!$AP$69)),TRIM(MID('(B) Register of Participants'!$AP$69,FIND(";",'(B) Register of Participants'!$AP$69)+1,80)),"")</f>
        <v/>
      </c>
    </row>
    <row r="92">
      <c r="B92" s="20">
        <f>IF(R92="Yes",RANK(AD92,$AD$25:$AD$124),"")</f>
        <v/>
      </c>
      <c r="C92" s="20">
        <f>'(B) Register of Participants'!$A$70</f>
        <v/>
      </c>
      <c r="D92" s="20">
        <f>'(B) Register of Participants'!$B$70</f>
        <v/>
      </c>
      <c r="E92" s="20">
        <f>'(B) Register of Participants'!$J$70</f>
        <v/>
      </c>
      <c r="F92" s="20">
        <f>IFERROR('(B) Register of Participants'!$O$70-'(B) Register of Participants'!$P$70,0)</f>
        <v/>
      </c>
      <c r="G92" s="20">
        <f>'(B) Register of Participants'!$AL$70</f>
        <v/>
      </c>
      <c r="H92" s="20">
        <f>'(B) Register of Participants'!$AP$70</f>
        <v/>
      </c>
      <c r="I92" s="20">
        <f>TRIM(IFERROR(LEFT('(B) Register of Participants'!$AS$70,FIND(" (",'(B) Register of Participants'!$AS$70)-1),'(B) Register of Participants'!$AS$70))</f>
        <v/>
      </c>
      <c r="J92" s="20">
        <f>'(B) Register of Participants'!$AT$70</f>
        <v/>
      </c>
      <c r="K92" s="20">
        <f>'(B) Register of Participants'!$AE$70</f>
        <v/>
      </c>
      <c r="L92" s="20">
        <f>'(B) Register of Participants'!$AF$70</f>
        <v/>
      </c>
      <c r="M92" s="20">
        <f>'(B) Register of Participants'!$AJ$70</f>
        <v/>
      </c>
      <c r="N92" s="20">
        <f>'(B) Register of Participants'!$CY$70</f>
        <v/>
      </c>
      <c r="O92" s="20">
        <f>'(B) Register of Participants'!$CW$70</f>
        <v/>
      </c>
      <c r="P92" s="20">
        <f>(ISNUMBER(SEARCH("6am-9am",$AS$27))*ISNUMBER(SEARCH("6am-9am",'(B) Register of Participants'!$X$70)))+(ISNUMBER(SEARCH("9am-12pm",$AS$27))*ISNUMBER(SEARCH("9am-12pm",'(B) Register of Participants'!$X$70)))+(ISNUMBER(SEARCH("12pm-3pm",$AS$27))*ISNUMBER(SEARCH("12pm-3pm",'(B) Register of Participants'!$X$70)))+(ISNUMBER(SEARCH("3pm-6pm",$AS$27))*ISNUMBER(SEARCH("3pm-6pm",'(B) Register of Participants'!$X$70)))+(ISNUMBER(SEARCH("6pm-9pm",$AS$27))*ISNUMBER(SEARCH("6pm-9pm",'(B) Register of Participants'!$X$70)))+(ISNUMBER(SEARCH("6am-9am",$AS$28))*ISNUMBER(SEARCH("6am-9am",'(B) Register of Participants'!$Y$70)))+(ISNUMBER(SEARCH("9am-12pm",$AS$28))*ISNUMBER(SEARCH("9am-12pm",'(B) Register of Participants'!$Y$70)))+(ISNUMBER(SEARCH("12pm-3pm",$AS$28))*ISNUMBER(SEARCH("12pm-3pm",'(B) Register of Participants'!$Y$70)))+(ISNUMBER(SEARCH("3pm-6pm",$AS$28))*ISNUMBER(SEARCH("3pm-6pm",'(B) Register of Participants'!$Y$70)))+(ISNUMBER(SEARCH("6pm-9pm",$AS$28))*ISNUMBER(SEARCH("6pm-9pm",'(B) Register of Participants'!$Y$70)))+(ISNUMBER(SEARCH("6am-9am",$AS$29))*ISNUMBER(SEARCH("6am-9am",'(B) Register of Participants'!$Z$70)))+(ISNUMBER(SEARCH("9am-12pm",$AS$29))*ISNUMBER(SEARCH("9am-12pm",'(B) Register of Participants'!$Z$70)))+(ISNUMBER(SEARCH("12pm-3pm",$AS$29))*ISNUMBER(SEARCH("12pm-3pm",'(B) Register of Participants'!$Z$70)))+(ISNUMBER(SEARCH("3pm-6pm",$AS$29))*ISNUMBER(SEARCH("3pm-6pm",'(B) Register of Participants'!$Z$70)))+(ISNUMBER(SEARCH("6pm-9pm",$AS$29))*ISNUMBER(SEARCH("6pm-9pm",'(B) Register of Participants'!$Z$70)))+(ISNUMBER(SEARCH("6am-9am",$AS$30))*ISNUMBER(SEARCH("6am-9am",'(B) Register of Participants'!$AA$70)))+(ISNUMBER(SEARCH("9am-12pm",$AS$30))*ISNUMBER(SEARCH("9am-12pm",'(B) Register of Participants'!$AA$70)))+(ISNUMBER(SEARCH("12pm-3pm",$AS$30))*ISNUMBER(SEARCH("12pm-3pm",'(B) Register of Participants'!$AA$70)))+(ISNUMBER(SEARCH("3pm-6pm",$AS$30))*ISNUMBER(SEARCH("3pm-6pm",'(B) Register of Participants'!$AA$70)))+(ISNUMBER(SEARCH("6pm-9pm",$AS$30))*ISNUMBER(SEARCH("6pm-9pm",'(B) Register of Participants'!$AA$70)))+(ISNUMBER(SEARCH("6am-9am",$AS$31))*ISNUMBER(SEARCH("6am-9am",'(B) Register of Participants'!$AB$70)))+(ISNUMBER(SEARCH("9am-12pm",$AS$31))*ISNUMBER(SEARCH("9am-12pm",'(B) Register of Participants'!$AB$70)))+(ISNUMBER(SEARCH("12pm-3pm",$AS$31))*ISNUMBER(SEARCH("12pm-3pm",'(B) Register of Participants'!$AB$70)))+(ISNUMBER(SEARCH("3pm-6pm",$AS$31))*ISNUMBER(SEARCH("3pm-6pm",'(B) Register of Participants'!$AB$70)))+(ISNUMBER(SEARCH("6pm-9pm",$AS$31))*ISNUMBER(SEARCH("6pm-9pm",'(B) Register of Participants'!$AB$70)))+(ISNUMBER(SEARCH("6am-9am",$AS$32))*ISNUMBER(SEARCH("6am-9am",'(B) Register of Participants'!$AC$70)))+(ISNUMBER(SEARCH("9am-12pm",$AS$32))*ISNUMBER(SEARCH("9am-12pm",'(B) Register of Participants'!$AC$70)))+(ISNUMBER(SEARCH("12pm-3pm",$AS$32))*ISNUMBER(SEARCH("12pm-3pm",'(B) Register of Participants'!$AC$70)))+(ISNUMBER(SEARCH("3pm-6pm",$AS$32))*ISNUMBER(SEARCH("3pm-6pm",'(B) Register of Participants'!$AC$70)))+(ISNUMBER(SEARCH("6pm-9pm",$AS$32))*ISNUMBER(SEARCH("6pm-9pm",'(B) Register of Participants'!$AC$70)))+(ISNUMBER(SEARCH("6am-9am",$AS$33))*ISNUMBER(SEARCH("6am-9am",'(B) Register of Participants'!$AD$70)))+(ISNUMBER(SEARCH("9am-12pm",$AS$33))*ISNUMBER(SEARCH("9am-12pm",'(B) Register of Participants'!$AD$70)))+(ISNUMBER(SEARCH("12pm-3pm",$AS$33))*ISNUMBER(SEARCH("12pm-3pm",'(B) Register of Participants'!$AD$70)))+(ISNUMBER(SEARCH("3pm-6pm",$AS$33))*ISNUMBER(SEARCH("3pm-6pm",'(B) Register of Participants'!$AD$70)))+(ISNUMBER(SEARCH("6pm-9pm",$AS$33))*ISNUMBER(SEARCH("6pm-9pm",'(B) Register of Participants'!$AD$70)))</f>
        <v/>
      </c>
      <c r="Q92" s="20">
        <f>IF(OR(AND($AS$17&lt;&gt;"",$AS$17&lt;&gt;"English",IF($AS$17="Persian",OR(ISNUMBER(SEARCH("Dari",'(B) Register of Participants'!$AR$70)),ISNUMBER(SEARCH("Farsi",'(B) Register of Participants'!$AR$70)),ISNUMBER(SEARCH("Persian",'(B) Register of Participants'!$AR$70)),ISNUMBER(SEARCH("Hazaragi",'(B) Register of Participants'!$AR$70))),ISNUMBER(SEARCH($AS$17,'(B) Register of Participants'!$AR$70)))),AND($AS$20&lt;&gt;"",$AS$20&lt;&gt;"English",IF($AS$20="Persian",OR(ISNUMBER(SEARCH("Dari",'(B) Register of Participants'!$AR$70)),ISNUMBER(SEARCH("Farsi",'(B) Register of Participants'!$AR$70)),ISNUMBER(SEARCH("Persian",'(B) Register of Participants'!$AR$70)),ISNUMBER(SEARCH("Hazaragi",'(B) Register of Participants'!$AR$70))),ISNUMBER(SEARCH($AS$20,'(B) Register of Participants'!$AR$70))))),1,0)</f>
        <v/>
      </c>
      <c r="R92" s="20">
        <f>IF(AND(AH92,AI92,NOT(AJ92),NOT($AS$25),AK92,$AS$26,AM92,AN92,NOT(AL92)),"Yes","No")</f>
        <v/>
      </c>
      <c r="S92" s="20">
        <f>IF(OR(COUNTIF('Engine Lists'!$A:$A,$AS$14&amp;"|"&amp;AO92)&gt;0,COUNTIF('Engine Lists'!$A:$A,$AS$14&amp;"|"&amp;AP92)&gt;0,COUNTIF('Engine Lists'!$A:$A,$AS$15&amp;"|"&amp;AO92)&gt;0,COUNTIF('Engine Lists'!$A:$A,$AS$15&amp;"|"&amp;AP92)&gt;0,COUNTIF('Engine Lists'!$A:$A,$AS$21&amp;"|"&amp;I92)&gt;0),-8,0)</f>
        <v/>
      </c>
      <c r="T92" s="20">
        <f>IF(Q92=1,IF(OR($AS$8="A2",$AS$8="B1"),7,IF(OR($AS$8="B2",$AS$8="C1",$AS$8="C2"),-5,0)),0)</f>
        <v/>
      </c>
      <c r="U92" s="20">
        <f>IF(AND($AS$6=G92,OR($AS$6="Male",$AS$6="Female")),5,0)</f>
        <v/>
      </c>
      <c r="V92" s="20">
        <f>IF(AND($AS$24,$AS$11&lt;&gt;"In-Person",K92&lt;&gt;"In-Person"),-5,0)</f>
        <v/>
      </c>
      <c r="W92" s="20">
        <f>IF(OR($AS$11=K92,$AS$11="Either",K92="Either"),3,0)</f>
        <v/>
      </c>
      <c r="X92" s="20">
        <f>IF(AND($AS$11&lt;&gt;"Online",K92&lt;&gt;"Online",ISNUMBER($AS$22),ISNUMBER(IFERROR(VALUE(M92),"x"))),IF(ABS($AS$22-VALUE(M92))&lt;=50,3,0),0)</f>
        <v/>
      </c>
      <c r="Y92" s="20">
        <f>IF(AND($AS$10&lt;&gt;"",$AS$10=J92),3,0)</f>
        <v/>
      </c>
      <c r="Z92" s="20">
        <f>IF(OR(N($AS$13)&gt;=150,N(O92)&gt;=150),3,0)</f>
        <v/>
      </c>
      <c r="AA92" s="20">
        <f>IF(AND($AS$21&lt;&gt;"",$AS$21&lt;&gt;"NA",$AS$21=I92),2,0)</f>
        <v/>
      </c>
      <c r="AB92" s="20">
        <f>IF(OR(AND($AS$14&lt;&gt;"",$AS$14&lt;&gt;"NA",OR($AS$14=AO92,$AS$14=AP92)),AND($AS$15&lt;&gt;"",OR($AS$15=AO92,$AS$15=AP92))),2,0)</f>
        <v/>
      </c>
      <c r="AC92" s="20">
        <f>IF(AND(ISNUMBER($AS$12),ISNUMBER(N92),ABS($AS$12-N92)&lt;=10),2,0)</f>
        <v/>
      </c>
      <c r="AD92" s="20">
        <f>IF(R92="Yes",SUM(S92:AC92),"")</f>
        <v/>
      </c>
      <c r="AE92" s="20">
        <f>IF(R92="Yes","Score "&amp;AD92&amp;": "&amp;TRIM(IF(S92&lt;&gt;0,"−8 acrimonious; ","")&amp;IF(T92=7,"+7 shared language; ","")&amp;IF(T92=-5,"−5 shared lang(adv); ","")&amp;IF(U92=5,"+5 same-sex; ","")&amp;IF(V92=-5,"−5 online no device; ","")&amp;IF(W92=3,"+3 mode; ","")&amp;IF(X92=3,"+3 proximity; ","")&amp;IF(Y92=3,"+3 category; ","")&amp;IF(Z92=3,"+3 long wait; ","")&amp;IF(AA92=2,"+2 religion; ","")&amp;IF(AB92=2,"+2 nationality; ","")&amp;IF(AC92=2,"+2 age; ","")),"Not eligible: "&amp;IF(NOT(AH92),"tutor not pending/with-capacity",IF(NOT(AI92),"no spare capacity",IF(AJ92,"tutor blacklisted",IF($AS$25,"student blacklisted",IF(NOT(AK92),"tutor vetting incomplete",IF(NOT($AS$26),"student vetting incomplete",IF(NOT(AM92),"no overlapping 3h AEST block",IF(NOT(AN92),"A1 student needs a shared language",IF(AL92,"'do not pair' note present",""))))))))))</f>
        <v/>
      </c>
      <c r="AF92">
        <f>TRIM(IFERROR(LEFT('(B) Register of Participants'!$AR$70,FIND(" (",'(B) Register of Participants'!$AR$70)-1),'(B) Register of Participants'!$AR$70))</f>
        <v/>
      </c>
      <c r="AG92">
        <f>IF(ISNUMBER(SEARCH("Mandarin",'(B) Register of Participants'!$AR$70)),"Mandarin",IF(ISNUMBER(SEARCH("Cantonese",'(B) Register of Participants'!$AR$70)),"Cantonese",IF(OR(AF92="Dari",AF92="Farsi",AF92="Persian",AF92="Hazaragi"),"Persian",AF92)))</f>
        <v/>
      </c>
      <c r="AH92">
        <f>OR(E92="ADM-ACT-UNMAT",E92="ADM-ACT-MAT-CNE")</f>
        <v/>
      </c>
      <c r="AI92">
        <f>F92&gt;0</f>
        <v/>
      </c>
      <c r="AJ92">
        <f>LEFT('(B) Register of Participants'!$L$70,3)="Yes"</f>
        <v/>
      </c>
      <c r="AK92">
        <f>AND(OR(LEFT('(B) Register of Participants'!$AY$70,3)="Yes",LEFT('(B) Register of Participants'!$AY$70,2)="NA"),OR(LEFT('(B) Register of Participants'!$AZ$70,3)="Yes",LEFT('(B) Register of Participants'!$AZ$70,2)="NA"))</f>
        <v/>
      </c>
      <c r="AL92">
        <f>OR(ISNUMBER(SEARCH("do not pair",'(B) Register of Participants'!$BL$70)),ISNUMBER(SEARCH("do not pair",'(B) Register of Participants'!$BM$70)))</f>
        <v/>
      </c>
      <c r="AM92">
        <f>P92&gt;0</f>
        <v/>
      </c>
      <c r="AN92">
        <f>IF($AS$8="A1",Q92=1,TRUE)</f>
        <v/>
      </c>
      <c r="AO92">
        <f>TRIM(IFERROR(LEFT('(B) Register of Participants'!$AP$70,FIND(";",'(B) Register of Participants'!$AP$70)-1),'(B) Register of Participants'!$AP$70))</f>
        <v/>
      </c>
      <c r="AP92">
        <f>IF(ISNUMBER(FIND(";",'(B) Register of Participants'!$AP$70)),TRIM(MID('(B) Register of Participants'!$AP$70,FIND(";",'(B) Register of Participants'!$AP$70)+1,80)),"")</f>
        <v/>
      </c>
    </row>
    <row r="93">
      <c r="B93" s="20">
        <f>IF(R93="Yes",RANK(AD93,$AD$25:$AD$124),"")</f>
        <v/>
      </c>
      <c r="C93" s="20">
        <f>'(B) Register of Participants'!$A$71</f>
        <v/>
      </c>
      <c r="D93" s="20">
        <f>'(B) Register of Participants'!$B$71</f>
        <v/>
      </c>
      <c r="E93" s="20">
        <f>'(B) Register of Participants'!$J$71</f>
        <v/>
      </c>
      <c r="F93" s="20">
        <f>IFERROR('(B) Register of Participants'!$O$71-'(B) Register of Participants'!$P$71,0)</f>
        <v/>
      </c>
      <c r="G93" s="20">
        <f>'(B) Register of Participants'!$AL$71</f>
        <v/>
      </c>
      <c r="H93" s="20">
        <f>'(B) Register of Participants'!$AP$71</f>
        <v/>
      </c>
      <c r="I93" s="20">
        <f>TRIM(IFERROR(LEFT('(B) Register of Participants'!$AS$71,FIND(" (",'(B) Register of Participants'!$AS$71)-1),'(B) Register of Participants'!$AS$71))</f>
        <v/>
      </c>
      <c r="J93" s="20">
        <f>'(B) Register of Participants'!$AT$71</f>
        <v/>
      </c>
      <c r="K93" s="20">
        <f>'(B) Register of Participants'!$AE$71</f>
        <v/>
      </c>
      <c r="L93" s="20">
        <f>'(B) Register of Participants'!$AF$71</f>
        <v/>
      </c>
      <c r="M93" s="20">
        <f>'(B) Register of Participants'!$AJ$71</f>
        <v/>
      </c>
      <c r="N93" s="20">
        <f>'(B) Register of Participants'!$CY$71</f>
        <v/>
      </c>
      <c r="O93" s="20">
        <f>'(B) Register of Participants'!$CW$71</f>
        <v/>
      </c>
      <c r="P93" s="20">
        <f>(ISNUMBER(SEARCH("6am-9am",$AS$27))*ISNUMBER(SEARCH("6am-9am",'(B) Register of Participants'!$X$71)))+(ISNUMBER(SEARCH("9am-12pm",$AS$27))*ISNUMBER(SEARCH("9am-12pm",'(B) Register of Participants'!$X$71)))+(ISNUMBER(SEARCH("12pm-3pm",$AS$27))*ISNUMBER(SEARCH("12pm-3pm",'(B) Register of Participants'!$X$71)))+(ISNUMBER(SEARCH("3pm-6pm",$AS$27))*ISNUMBER(SEARCH("3pm-6pm",'(B) Register of Participants'!$X$71)))+(ISNUMBER(SEARCH("6pm-9pm",$AS$27))*ISNUMBER(SEARCH("6pm-9pm",'(B) Register of Participants'!$X$71)))+(ISNUMBER(SEARCH("6am-9am",$AS$28))*ISNUMBER(SEARCH("6am-9am",'(B) Register of Participants'!$Y$71)))+(ISNUMBER(SEARCH("9am-12pm",$AS$28))*ISNUMBER(SEARCH("9am-12pm",'(B) Register of Participants'!$Y$71)))+(ISNUMBER(SEARCH("12pm-3pm",$AS$28))*ISNUMBER(SEARCH("12pm-3pm",'(B) Register of Participants'!$Y$71)))+(ISNUMBER(SEARCH("3pm-6pm",$AS$28))*ISNUMBER(SEARCH("3pm-6pm",'(B) Register of Participants'!$Y$71)))+(ISNUMBER(SEARCH("6pm-9pm",$AS$28))*ISNUMBER(SEARCH("6pm-9pm",'(B) Register of Participants'!$Y$71)))+(ISNUMBER(SEARCH("6am-9am",$AS$29))*ISNUMBER(SEARCH("6am-9am",'(B) Register of Participants'!$Z$71)))+(ISNUMBER(SEARCH("9am-12pm",$AS$29))*ISNUMBER(SEARCH("9am-12pm",'(B) Register of Participants'!$Z$71)))+(ISNUMBER(SEARCH("12pm-3pm",$AS$29))*ISNUMBER(SEARCH("12pm-3pm",'(B) Register of Participants'!$Z$71)))+(ISNUMBER(SEARCH("3pm-6pm",$AS$29))*ISNUMBER(SEARCH("3pm-6pm",'(B) Register of Participants'!$Z$71)))+(ISNUMBER(SEARCH("6pm-9pm",$AS$29))*ISNUMBER(SEARCH("6pm-9pm",'(B) Register of Participants'!$Z$71)))+(ISNUMBER(SEARCH("6am-9am",$AS$30))*ISNUMBER(SEARCH("6am-9am",'(B) Register of Participants'!$AA$71)))+(ISNUMBER(SEARCH("9am-12pm",$AS$30))*ISNUMBER(SEARCH("9am-12pm",'(B) Register of Participants'!$AA$71)))+(ISNUMBER(SEARCH("12pm-3pm",$AS$30))*ISNUMBER(SEARCH("12pm-3pm",'(B) Register of Participants'!$AA$71)))+(ISNUMBER(SEARCH("3pm-6pm",$AS$30))*ISNUMBER(SEARCH("3pm-6pm",'(B) Register of Participants'!$AA$71)))+(ISNUMBER(SEARCH("6pm-9pm",$AS$30))*ISNUMBER(SEARCH("6pm-9pm",'(B) Register of Participants'!$AA$71)))+(ISNUMBER(SEARCH("6am-9am",$AS$31))*ISNUMBER(SEARCH("6am-9am",'(B) Register of Participants'!$AB$71)))+(ISNUMBER(SEARCH("9am-12pm",$AS$31))*ISNUMBER(SEARCH("9am-12pm",'(B) Register of Participants'!$AB$71)))+(ISNUMBER(SEARCH("12pm-3pm",$AS$31))*ISNUMBER(SEARCH("12pm-3pm",'(B) Register of Participants'!$AB$71)))+(ISNUMBER(SEARCH("3pm-6pm",$AS$31))*ISNUMBER(SEARCH("3pm-6pm",'(B) Register of Participants'!$AB$71)))+(ISNUMBER(SEARCH("6pm-9pm",$AS$31))*ISNUMBER(SEARCH("6pm-9pm",'(B) Register of Participants'!$AB$71)))+(ISNUMBER(SEARCH("6am-9am",$AS$32))*ISNUMBER(SEARCH("6am-9am",'(B) Register of Participants'!$AC$71)))+(ISNUMBER(SEARCH("9am-12pm",$AS$32))*ISNUMBER(SEARCH("9am-12pm",'(B) Register of Participants'!$AC$71)))+(ISNUMBER(SEARCH("12pm-3pm",$AS$32))*ISNUMBER(SEARCH("12pm-3pm",'(B) Register of Participants'!$AC$71)))+(ISNUMBER(SEARCH("3pm-6pm",$AS$32))*ISNUMBER(SEARCH("3pm-6pm",'(B) Register of Participants'!$AC$71)))+(ISNUMBER(SEARCH("6pm-9pm",$AS$32))*ISNUMBER(SEARCH("6pm-9pm",'(B) Register of Participants'!$AC$71)))+(ISNUMBER(SEARCH("6am-9am",$AS$33))*ISNUMBER(SEARCH("6am-9am",'(B) Register of Participants'!$AD$71)))+(ISNUMBER(SEARCH("9am-12pm",$AS$33))*ISNUMBER(SEARCH("9am-12pm",'(B) Register of Participants'!$AD$71)))+(ISNUMBER(SEARCH("12pm-3pm",$AS$33))*ISNUMBER(SEARCH("12pm-3pm",'(B) Register of Participants'!$AD$71)))+(ISNUMBER(SEARCH("3pm-6pm",$AS$33))*ISNUMBER(SEARCH("3pm-6pm",'(B) Register of Participants'!$AD$71)))+(ISNUMBER(SEARCH("6pm-9pm",$AS$33))*ISNUMBER(SEARCH("6pm-9pm",'(B) Register of Participants'!$AD$71)))</f>
        <v/>
      </c>
      <c r="Q93" s="20">
        <f>IF(OR(AND($AS$17&lt;&gt;"",$AS$17&lt;&gt;"English",IF($AS$17="Persian",OR(ISNUMBER(SEARCH("Dari",'(B) Register of Participants'!$AR$71)),ISNUMBER(SEARCH("Farsi",'(B) Register of Participants'!$AR$71)),ISNUMBER(SEARCH("Persian",'(B) Register of Participants'!$AR$71)),ISNUMBER(SEARCH("Hazaragi",'(B) Register of Participants'!$AR$71))),ISNUMBER(SEARCH($AS$17,'(B) Register of Participants'!$AR$71)))),AND($AS$20&lt;&gt;"",$AS$20&lt;&gt;"English",IF($AS$20="Persian",OR(ISNUMBER(SEARCH("Dari",'(B) Register of Participants'!$AR$71)),ISNUMBER(SEARCH("Farsi",'(B) Register of Participants'!$AR$71)),ISNUMBER(SEARCH("Persian",'(B) Register of Participants'!$AR$71)),ISNUMBER(SEARCH("Hazaragi",'(B) Register of Participants'!$AR$71))),ISNUMBER(SEARCH($AS$20,'(B) Register of Participants'!$AR$71))))),1,0)</f>
        <v/>
      </c>
      <c r="R93" s="20">
        <f>IF(AND(AH93,AI93,NOT(AJ93),NOT($AS$25),AK93,$AS$26,AM93,AN93,NOT(AL93)),"Yes","No")</f>
        <v/>
      </c>
      <c r="S93" s="20">
        <f>IF(OR(COUNTIF('Engine Lists'!$A:$A,$AS$14&amp;"|"&amp;AO93)&gt;0,COUNTIF('Engine Lists'!$A:$A,$AS$14&amp;"|"&amp;AP93)&gt;0,COUNTIF('Engine Lists'!$A:$A,$AS$15&amp;"|"&amp;AO93)&gt;0,COUNTIF('Engine Lists'!$A:$A,$AS$15&amp;"|"&amp;AP93)&gt;0,COUNTIF('Engine Lists'!$A:$A,$AS$21&amp;"|"&amp;I93)&gt;0),-8,0)</f>
        <v/>
      </c>
      <c r="T93" s="20">
        <f>IF(Q93=1,IF(OR($AS$8="A2",$AS$8="B1"),7,IF(OR($AS$8="B2",$AS$8="C1",$AS$8="C2"),-5,0)),0)</f>
        <v/>
      </c>
      <c r="U93" s="20">
        <f>IF(AND($AS$6=G93,OR($AS$6="Male",$AS$6="Female")),5,0)</f>
        <v/>
      </c>
      <c r="V93" s="20">
        <f>IF(AND($AS$24,$AS$11&lt;&gt;"In-Person",K93&lt;&gt;"In-Person"),-5,0)</f>
        <v/>
      </c>
      <c r="W93" s="20">
        <f>IF(OR($AS$11=K93,$AS$11="Either",K93="Either"),3,0)</f>
        <v/>
      </c>
      <c r="X93" s="20">
        <f>IF(AND($AS$11&lt;&gt;"Online",K93&lt;&gt;"Online",ISNUMBER($AS$22),ISNUMBER(IFERROR(VALUE(M93),"x"))),IF(ABS($AS$22-VALUE(M93))&lt;=50,3,0),0)</f>
        <v/>
      </c>
      <c r="Y93" s="20">
        <f>IF(AND($AS$10&lt;&gt;"",$AS$10=J93),3,0)</f>
        <v/>
      </c>
      <c r="Z93" s="20">
        <f>IF(OR(N($AS$13)&gt;=150,N(O93)&gt;=150),3,0)</f>
        <v/>
      </c>
      <c r="AA93" s="20">
        <f>IF(AND($AS$21&lt;&gt;"",$AS$21&lt;&gt;"NA",$AS$21=I93),2,0)</f>
        <v/>
      </c>
      <c r="AB93" s="20">
        <f>IF(OR(AND($AS$14&lt;&gt;"",$AS$14&lt;&gt;"NA",OR($AS$14=AO93,$AS$14=AP93)),AND($AS$15&lt;&gt;"",OR($AS$15=AO93,$AS$15=AP93))),2,0)</f>
        <v/>
      </c>
      <c r="AC93" s="20">
        <f>IF(AND(ISNUMBER($AS$12),ISNUMBER(N93),ABS($AS$12-N93)&lt;=10),2,0)</f>
        <v/>
      </c>
      <c r="AD93" s="20">
        <f>IF(R93="Yes",SUM(S93:AC93),"")</f>
        <v/>
      </c>
      <c r="AE93" s="20">
        <f>IF(R93="Yes","Score "&amp;AD93&amp;": "&amp;TRIM(IF(S93&lt;&gt;0,"−8 acrimonious; ","")&amp;IF(T93=7,"+7 shared language; ","")&amp;IF(T93=-5,"−5 shared lang(adv); ","")&amp;IF(U93=5,"+5 same-sex; ","")&amp;IF(V93=-5,"−5 online no device; ","")&amp;IF(W93=3,"+3 mode; ","")&amp;IF(X93=3,"+3 proximity; ","")&amp;IF(Y93=3,"+3 category; ","")&amp;IF(Z93=3,"+3 long wait; ","")&amp;IF(AA93=2,"+2 religion; ","")&amp;IF(AB93=2,"+2 nationality; ","")&amp;IF(AC93=2,"+2 age; ","")),"Not eligible: "&amp;IF(NOT(AH93),"tutor not pending/with-capacity",IF(NOT(AI93),"no spare capacity",IF(AJ93,"tutor blacklisted",IF($AS$25,"student blacklisted",IF(NOT(AK93),"tutor vetting incomplete",IF(NOT($AS$26),"student vetting incomplete",IF(NOT(AM93),"no overlapping 3h AEST block",IF(NOT(AN93),"A1 student needs a shared language",IF(AL93,"'do not pair' note present",""))))))))))</f>
        <v/>
      </c>
      <c r="AF93">
        <f>TRIM(IFERROR(LEFT('(B) Register of Participants'!$AR$71,FIND(" (",'(B) Register of Participants'!$AR$71)-1),'(B) Register of Participants'!$AR$71))</f>
        <v/>
      </c>
      <c r="AG93">
        <f>IF(ISNUMBER(SEARCH("Mandarin",'(B) Register of Participants'!$AR$71)),"Mandarin",IF(ISNUMBER(SEARCH("Cantonese",'(B) Register of Participants'!$AR$71)),"Cantonese",IF(OR(AF93="Dari",AF93="Farsi",AF93="Persian",AF93="Hazaragi"),"Persian",AF93)))</f>
        <v/>
      </c>
      <c r="AH93">
        <f>OR(E93="ADM-ACT-UNMAT",E93="ADM-ACT-MAT-CNE")</f>
        <v/>
      </c>
      <c r="AI93">
        <f>F93&gt;0</f>
        <v/>
      </c>
      <c r="AJ93">
        <f>LEFT('(B) Register of Participants'!$L$71,3)="Yes"</f>
        <v/>
      </c>
      <c r="AK93">
        <f>AND(OR(LEFT('(B) Register of Participants'!$AY$71,3)="Yes",LEFT('(B) Register of Participants'!$AY$71,2)="NA"),OR(LEFT('(B) Register of Participants'!$AZ$71,3)="Yes",LEFT('(B) Register of Participants'!$AZ$71,2)="NA"))</f>
        <v/>
      </c>
      <c r="AL93">
        <f>OR(ISNUMBER(SEARCH("do not pair",'(B) Register of Participants'!$BL$71)),ISNUMBER(SEARCH("do not pair",'(B) Register of Participants'!$BM$71)))</f>
        <v/>
      </c>
      <c r="AM93">
        <f>P93&gt;0</f>
        <v/>
      </c>
      <c r="AN93">
        <f>IF($AS$8="A1",Q93=1,TRUE)</f>
        <v/>
      </c>
      <c r="AO93">
        <f>TRIM(IFERROR(LEFT('(B) Register of Participants'!$AP$71,FIND(";",'(B) Register of Participants'!$AP$71)-1),'(B) Register of Participants'!$AP$71))</f>
        <v/>
      </c>
      <c r="AP93">
        <f>IF(ISNUMBER(FIND(";",'(B) Register of Participants'!$AP$71)),TRIM(MID('(B) Register of Participants'!$AP$71,FIND(";",'(B) Register of Participants'!$AP$71)+1,80)),"")</f>
        <v/>
      </c>
    </row>
    <row r="94">
      <c r="B94" s="20">
        <f>IF(R94="Yes",RANK(AD94,$AD$25:$AD$124),"")</f>
        <v/>
      </c>
      <c r="C94" s="20">
        <f>'(B) Register of Participants'!$A$72</f>
        <v/>
      </c>
      <c r="D94" s="20">
        <f>'(B) Register of Participants'!$B$72</f>
        <v/>
      </c>
      <c r="E94" s="20">
        <f>'(B) Register of Participants'!$J$72</f>
        <v/>
      </c>
      <c r="F94" s="20">
        <f>IFERROR('(B) Register of Participants'!$O$72-'(B) Register of Participants'!$P$72,0)</f>
        <v/>
      </c>
      <c r="G94" s="20">
        <f>'(B) Register of Participants'!$AL$72</f>
        <v/>
      </c>
      <c r="H94" s="20">
        <f>'(B) Register of Participants'!$AP$72</f>
        <v/>
      </c>
      <c r="I94" s="20">
        <f>TRIM(IFERROR(LEFT('(B) Register of Participants'!$AS$72,FIND(" (",'(B) Register of Participants'!$AS$72)-1),'(B) Register of Participants'!$AS$72))</f>
        <v/>
      </c>
      <c r="J94" s="20">
        <f>'(B) Register of Participants'!$AT$72</f>
        <v/>
      </c>
      <c r="K94" s="20">
        <f>'(B) Register of Participants'!$AE$72</f>
        <v/>
      </c>
      <c r="L94" s="20">
        <f>'(B) Register of Participants'!$AF$72</f>
        <v/>
      </c>
      <c r="M94" s="20">
        <f>'(B) Register of Participants'!$AJ$72</f>
        <v/>
      </c>
      <c r="N94" s="20">
        <f>'(B) Register of Participants'!$CY$72</f>
        <v/>
      </c>
      <c r="O94" s="20">
        <f>'(B) Register of Participants'!$CW$72</f>
        <v/>
      </c>
      <c r="P94" s="20">
        <f>(ISNUMBER(SEARCH("6am-9am",$AS$27))*ISNUMBER(SEARCH("6am-9am",'(B) Register of Participants'!$X$72)))+(ISNUMBER(SEARCH("9am-12pm",$AS$27))*ISNUMBER(SEARCH("9am-12pm",'(B) Register of Participants'!$X$72)))+(ISNUMBER(SEARCH("12pm-3pm",$AS$27))*ISNUMBER(SEARCH("12pm-3pm",'(B) Register of Participants'!$X$72)))+(ISNUMBER(SEARCH("3pm-6pm",$AS$27))*ISNUMBER(SEARCH("3pm-6pm",'(B) Register of Participants'!$X$72)))+(ISNUMBER(SEARCH("6pm-9pm",$AS$27))*ISNUMBER(SEARCH("6pm-9pm",'(B) Register of Participants'!$X$72)))+(ISNUMBER(SEARCH("6am-9am",$AS$28))*ISNUMBER(SEARCH("6am-9am",'(B) Register of Participants'!$Y$72)))+(ISNUMBER(SEARCH("9am-12pm",$AS$28))*ISNUMBER(SEARCH("9am-12pm",'(B) Register of Participants'!$Y$72)))+(ISNUMBER(SEARCH("12pm-3pm",$AS$28))*ISNUMBER(SEARCH("12pm-3pm",'(B) Register of Participants'!$Y$72)))+(ISNUMBER(SEARCH("3pm-6pm",$AS$28))*ISNUMBER(SEARCH("3pm-6pm",'(B) Register of Participants'!$Y$72)))+(ISNUMBER(SEARCH("6pm-9pm",$AS$28))*ISNUMBER(SEARCH("6pm-9pm",'(B) Register of Participants'!$Y$72)))+(ISNUMBER(SEARCH("6am-9am",$AS$29))*ISNUMBER(SEARCH("6am-9am",'(B) Register of Participants'!$Z$72)))+(ISNUMBER(SEARCH("9am-12pm",$AS$29))*ISNUMBER(SEARCH("9am-12pm",'(B) Register of Participants'!$Z$72)))+(ISNUMBER(SEARCH("12pm-3pm",$AS$29))*ISNUMBER(SEARCH("12pm-3pm",'(B) Register of Participants'!$Z$72)))+(ISNUMBER(SEARCH("3pm-6pm",$AS$29))*ISNUMBER(SEARCH("3pm-6pm",'(B) Register of Participants'!$Z$72)))+(ISNUMBER(SEARCH("6pm-9pm",$AS$29))*ISNUMBER(SEARCH("6pm-9pm",'(B) Register of Participants'!$Z$72)))+(ISNUMBER(SEARCH("6am-9am",$AS$30))*ISNUMBER(SEARCH("6am-9am",'(B) Register of Participants'!$AA$72)))+(ISNUMBER(SEARCH("9am-12pm",$AS$30))*ISNUMBER(SEARCH("9am-12pm",'(B) Register of Participants'!$AA$72)))+(ISNUMBER(SEARCH("12pm-3pm",$AS$30))*ISNUMBER(SEARCH("12pm-3pm",'(B) Register of Participants'!$AA$72)))+(ISNUMBER(SEARCH("3pm-6pm",$AS$30))*ISNUMBER(SEARCH("3pm-6pm",'(B) Register of Participants'!$AA$72)))+(ISNUMBER(SEARCH("6pm-9pm",$AS$30))*ISNUMBER(SEARCH("6pm-9pm",'(B) Register of Participants'!$AA$72)))+(ISNUMBER(SEARCH("6am-9am",$AS$31))*ISNUMBER(SEARCH("6am-9am",'(B) Register of Participants'!$AB$72)))+(ISNUMBER(SEARCH("9am-12pm",$AS$31))*ISNUMBER(SEARCH("9am-12pm",'(B) Register of Participants'!$AB$72)))+(ISNUMBER(SEARCH("12pm-3pm",$AS$31))*ISNUMBER(SEARCH("12pm-3pm",'(B) Register of Participants'!$AB$72)))+(ISNUMBER(SEARCH("3pm-6pm",$AS$31))*ISNUMBER(SEARCH("3pm-6pm",'(B) Register of Participants'!$AB$72)))+(ISNUMBER(SEARCH("6pm-9pm",$AS$31))*ISNUMBER(SEARCH("6pm-9pm",'(B) Register of Participants'!$AB$72)))+(ISNUMBER(SEARCH("6am-9am",$AS$32))*ISNUMBER(SEARCH("6am-9am",'(B) Register of Participants'!$AC$72)))+(ISNUMBER(SEARCH("9am-12pm",$AS$32))*ISNUMBER(SEARCH("9am-12pm",'(B) Register of Participants'!$AC$72)))+(ISNUMBER(SEARCH("12pm-3pm",$AS$32))*ISNUMBER(SEARCH("12pm-3pm",'(B) Register of Participants'!$AC$72)))+(ISNUMBER(SEARCH("3pm-6pm",$AS$32))*ISNUMBER(SEARCH("3pm-6pm",'(B) Register of Participants'!$AC$72)))+(ISNUMBER(SEARCH("6pm-9pm",$AS$32))*ISNUMBER(SEARCH("6pm-9pm",'(B) Register of Participants'!$AC$72)))+(ISNUMBER(SEARCH("6am-9am",$AS$33))*ISNUMBER(SEARCH("6am-9am",'(B) Register of Participants'!$AD$72)))+(ISNUMBER(SEARCH("9am-12pm",$AS$33))*ISNUMBER(SEARCH("9am-12pm",'(B) Register of Participants'!$AD$72)))+(ISNUMBER(SEARCH("12pm-3pm",$AS$33))*ISNUMBER(SEARCH("12pm-3pm",'(B) Register of Participants'!$AD$72)))+(ISNUMBER(SEARCH("3pm-6pm",$AS$33))*ISNUMBER(SEARCH("3pm-6pm",'(B) Register of Participants'!$AD$72)))+(ISNUMBER(SEARCH("6pm-9pm",$AS$33))*ISNUMBER(SEARCH("6pm-9pm",'(B) Register of Participants'!$AD$72)))</f>
        <v/>
      </c>
      <c r="Q94" s="20">
        <f>IF(OR(AND($AS$17&lt;&gt;"",$AS$17&lt;&gt;"English",IF($AS$17="Persian",OR(ISNUMBER(SEARCH("Dari",'(B) Register of Participants'!$AR$72)),ISNUMBER(SEARCH("Farsi",'(B) Register of Participants'!$AR$72)),ISNUMBER(SEARCH("Persian",'(B) Register of Participants'!$AR$72)),ISNUMBER(SEARCH("Hazaragi",'(B) Register of Participants'!$AR$72))),ISNUMBER(SEARCH($AS$17,'(B) Register of Participants'!$AR$72)))),AND($AS$20&lt;&gt;"",$AS$20&lt;&gt;"English",IF($AS$20="Persian",OR(ISNUMBER(SEARCH("Dari",'(B) Register of Participants'!$AR$72)),ISNUMBER(SEARCH("Farsi",'(B) Register of Participants'!$AR$72)),ISNUMBER(SEARCH("Persian",'(B) Register of Participants'!$AR$72)),ISNUMBER(SEARCH("Hazaragi",'(B) Register of Participants'!$AR$72))),ISNUMBER(SEARCH($AS$20,'(B) Register of Participants'!$AR$72))))),1,0)</f>
        <v/>
      </c>
      <c r="R94" s="20">
        <f>IF(AND(AH94,AI94,NOT(AJ94),NOT($AS$25),AK94,$AS$26,AM94,AN94,NOT(AL94)),"Yes","No")</f>
        <v/>
      </c>
      <c r="S94" s="20">
        <f>IF(OR(COUNTIF('Engine Lists'!$A:$A,$AS$14&amp;"|"&amp;AO94)&gt;0,COUNTIF('Engine Lists'!$A:$A,$AS$14&amp;"|"&amp;AP94)&gt;0,COUNTIF('Engine Lists'!$A:$A,$AS$15&amp;"|"&amp;AO94)&gt;0,COUNTIF('Engine Lists'!$A:$A,$AS$15&amp;"|"&amp;AP94)&gt;0,COUNTIF('Engine Lists'!$A:$A,$AS$21&amp;"|"&amp;I94)&gt;0),-8,0)</f>
        <v/>
      </c>
      <c r="T94" s="20">
        <f>IF(Q94=1,IF(OR($AS$8="A2",$AS$8="B1"),7,IF(OR($AS$8="B2",$AS$8="C1",$AS$8="C2"),-5,0)),0)</f>
        <v/>
      </c>
      <c r="U94" s="20">
        <f>IF(AND($AS$6=G94,OR($AS$6="Male",$AS$6="Female")),5,0)</f>
        <v/>
      </c>
      <c r="V94" s="20">
        <f>IF(AND($AS$24,$AS$11&lt;&gt;"In-Person",K94&lt;&gt;"In-Person"),-5,0)</f>
        <v/>
      </c>
      <c r="W94" s="20">
        <f>IF(OR($AS$11=K94,$AS$11="Either",K94="Either"),3,0)</f>
        <v/>
      </c>
      <c r="X94" s="20">
        <f>IF(AND($AS$11&lt;&gt;"Online",K94&lt;&gt;"Online",ISNUMBER($AS$22),ISNUMBER(IFERROR(VALUE(M94),"x"))),IF(ABS($AS$22-VALUE(M94))&lt;=50,3,0),0)</f>
        <v/>
      </c>
      <c r="Y94" s="20">
        <f>IF(AND($AS$10&lt;&gt;"",$AS$10=J94),3,0)</f>
        <v/>
      </c>
      <c r="Z94" s="20">
        <f>IF(OR(N($AS$13)&gt;=150,N(O94)&gt;=150),3,0)</f>
        <v/>
      </c>
      <c r="AA94" s="20">
        <f>IF(AND($AS$21&lt;&gt;"",$AS$21&lt;&gt;"NA",$AS$21=I94),2,0)</f>
        <v/>
      </c>
      <c r="AB94" s="20">
        <f>IF(OR(AND($AS$14&lt;&gt;"",$AS$14&lt;&gt;"NA",OR($AS$14=AO94,$AS$14=AP94)),AND($AS$15&lt;&gt;"",OR($AS$15=AO94,$AS$15=AP94))),2,0)</f>
        <v/>
      </c>
      <c r="AC94" s="20">
        <f>IF(AND(ISNUMBER($AS$12),ISNUMBER(N94),ABS($AS$12-N94)&lt;=10),2,0)</f>
        <v/>
      </c>
      <c r="AD94" s="20">
        <f>IF(R94="Yes",SUM(S94:AC94),"")</f>
        <v/>
      </c>
      <c r="AE94" s="20">
        <f>IF(R94="Yes","Score "&amp;AD94&amp;": "&amp;TRIM(IF(S94&lt;&gt;0,"−8 acrimonious; ","")&amp;IF(T94=7,"+7 shared language; ","")&amp;IF(T94=-5,"−5 shared lang(adv); ","")&amp;IF(U94=5,"+5 same-sex; ","")&amp;IF(V94=-5,"−5 online no device; ","")&amp;IF(W94=3,"+3 mode; ","")&amp;IF(X94=3,"+3 proximity; ","")&amp;IF(Y94=3,"+3 category; ","")&amp;IF(Z94=3,"+3 long wait; ","")&amp;IF(AA94=2,"+2 religion; ","")&amp;IF(AB94=2,"+2 nationality; ","")&amp;IF(AC94=2,"+2 age; ","")),"Not eligible: "&amp;IF(NOT(AH94),"tutor not pending/with-capacity",IF(NOT(AI94),"no spare capacity",IF(AJ94,"tutor blacklisted",IF($AS$25,"student blacklisted",IF(NOT(AK94),"tutor vetting incomplete",IF(NOT($AS$26),"student vetting incomplete",IF(NOT(AM94),"no overlapping 3h AEST block",IF(NOT(AN94),"A1 student needs a shared language",IF(AL94,"'do not pair' note present",""))))))))))</f>
        <v/>
      </c>
      <c r="AF94">
        <f>TRIM(IFERROR(LEFT('(B) Register of Participants'!$AR$72,FIND(" (",'(B) Register of Participants'!$AR$72)-1),'(B) Register of Participants'!$AR$72))</f>
        <v/>
      </c>
      <c r="AG94">
        <f>IF(ISNUMBER(SEARCH("Mandarin",'(B) Register of Participants'!$AR$72)),"Mandarin",IF(ISNUMBER(SEARCH("Cantonese",'(B) Register of Participants'!$AR$72)),"Cantonese",IF(OR(AF94="Dari",AF94="Farsi",AF94="Persian",AF94="Hazaragi"),"Persian",AF94)))</f>
        <v/>
      </c>
      <c r="AH94">
        <f>OR(E94="ADM-ACT-UNMAT",E94="ADM-ACT-MAT-CNE")</f>
        <v/>
      </c>
      <c r="AI94">
        <f>F94&gt;0</f>
        <v/>
      </c>
      <c r="AJ94">
        <f>LEFT('(B) Register of Participants'!$L$72,3)="Yes"</f>
        <v/>
      </c>
      <c r="AK94">
        <f>AND(OR(LEFT('(B) Register of Participants'!$AY$72,3)="Yes",LEFT('(B) Register of Participants'!$AY$72,2)="NA"),OR(LEFT('(B) Register of Participants'!$AZ$72,3)="Yes",LEFT('(B) Register of Participants'!$AZ$72,2)="NA"))</f>
        <v/>
      </c>
      <c r="AL94">
        <f>OR(ISNUMBER(SEARCH("do not pair",'(B) Register of Participants'!$BL$72)),ISNUMBER(SEARCH("do not pair",'(B) Register of Participants'!$BM$72)))</f>
        <v/>
      </c>
      <c r="AM94">
        <f>P94&gt;0</f>
        <v/>
      </c>
      <c r="AN94">
        <f>IF($AS$8="A1",Q94=1,TRUE)</f>
        <v/>
      </c>
      <c r="AO94">
        <f>TRIM(IFERROR(LEFT('(B) Register of Participants'!$AP$72,FIND(";",'(B) Register of Participants'!$AP$72)-1),'(B) Register of Participants'!$AP$72))</f>
        <v/>
      </c>
      <c r="AP94">
        <f>IF(ISNUMBER(FIND(";",'(B) Register of Participants'!$AP$72)),TRIM(MID('(B) Register of Participants'!$AP$72,FIND(";",'(B) Register of Participants'!$AP$72)+1,80)),"")</f>
        <v/>
      </c>
    </row>
    <row r="95">
      <c r="B95" s="20">
        <f>IF(R95="Yes",RANK(AD95,$AD$25:$AD$124),"")</f>
        <v/>
      </c>
      <c r="C95" s="20">
        <f>'(B) Register of Participants'!$A$73</f>
        <v/>
      </c>
      <c r="D95" s="20">
        <f>'(B) Register of Participants'!$B$73</f>
        <v/>
      </c>
      <c r="E95" s="20">
        <f>'(B) Register of Participants'!$J$73</f>
        <v/>
      </c>
      <c r="F95" s="20">
        <f>IFERROR('(B) Register of Participants'!$O$73-'(B) Register of Participants'!$P$73,0)</f>
        <v/>
      </c>
      <c r="G95" s="20">
        <f>'(B) Register of Participants'!$AL$73</f>
        <v/>
      </c>
      <c r="H95" s="20">
        <f>'(B) Register of Participants'!$AP$73</f>
        <v/>
      </c>
      <c r="I95" s="20">
        <f>TRIM(IFERROR(LEFT('(B) Register of Participants'!$AS$73,FIND(" (",'(B) Register of Participants'!$AS$73)-1),'(B) Register of Participants'!$AS$73))</f>
        <v/>
      </c>
      <c r="J95" s="20">
        <f>'(B) Register of Participants'!$AT$73</f>
        <v/>
      </c>
      <c r="K95" s="20">
        <f>'(B) Register of Participants'!$AE$73</f>
        <v/>
      </c>
      <c r="L95" s="20">
        <f>'(B) Register of Participants'!$AF$73</f>
        <v/>
      </c>
      <c r="M95" s="20">
        <f>'(B) Register of Participants'!$AJ$73</f>
        <v/>
      </c>
      <c r="N95" s="20">
        <f>'(B) Register of Participants'!$CY$73</f>
        <v/>
      </c>
      <c r="O95" s="20">
        <f>'(B) Register of Participants'!$CW$73</f>
        <v/>
      </c>
      <c r="P95" s="20">
        <f>(ISNUMBER(SEARCH("6am-9am",$AS$27))*ISNUMBER(SEARCH("6am-9am",'(B) Register of Participants'!$X$73)))+(ISNUMBER(SEARCH("9am-12pm",$AS$27))*ISNUMBER(SEARCH("9am-12pm",'(B) Register of Participants'!$X$73)))+(ISNUMBER(SEARCH("12pm-3pm",$AS$27))*ISNUMBER(SEARCH("12pm-3pm",'(B) Register of Participants'!$X$73)))+(ISNUMBER(SEARCH("3pm-6pm",$AS$27))*ISNUMBER(SEARCH("3pm-6pm",'(B) Register of Participants'!$X$73)))+(ISNUMBER(SEARCH("6pm-9pm",$AS$27))*ISNUMBER(SEARCH("6pm-9pm",'(B) Register of Participants'!$X$73)))+(ISNUMBER(SEARCH("6am-9am",$AS$28))*ISNUMBER(SEARCH("6am-9am",'(B) Register of Participants'!$Y$73)))+(ISNUMBER(SEARCH("9am-12pm",$AS$28))*ISNUMBER(SEARCH("9am-12pm",'(B) Register of Participants'!$Y$73)))+(ISNUMBER(SEARCH("12pm-3pm",$AS$28))*ISNUMBER(SEARCH("12pm-3pm",'(B) Register of Participants'!$Y$73)))+(ISNUMBER(SEARCH("3pm-6pm",$AS$28))*ISNUMBER(SEARCH("3pm-6pm",'(B) Register of Participants'!$Y$73)))+(ISNUMBER(SEARCH("6pm-9pm",$AS$28))*ISNUMBER(SEARCH("6pm-9pm",'(B) Register of Participants'!$Y$73)))+(ISNUMBER(SEARCH("6am-9am",$AS$29))*ISNUMBER(SEARCH("6am-9am",'(B) Register of Participants'!$Z$73)))+(ISNUMBER(SEARCH("9am-12pm",$AS$29))*ISNUMBER(SEARCH("9am-12pm",'(B) Register of Participants'!$Z$73)))+(ISNUMBER(SEARCH("12pm-3pm",$AS$29))*ISNUMBER(SEARCH("12pm-3pm",'(B) Register of Participants'!$Z$73)))+(ISNUMBER(SEARCH("3pm-6pm",$AS$29))*ISNUMBER(SEARCH("3pm-6pm",'(B) Register of Participants'!$Z$73)))+(ISNUMBER(SEARCH("6pm-9pm",$AS$29))*ISNUMBER(SEARCH("6pm-9pm",'(B) Register of Participants'!$Z$73)))+(ISNUMBER(SEARCH("6am-9am",$AS$30))*ISNUMBER(SEARCH("6am-9am",'(B) Register of Participants'!$AA$73)))+(ISNUMBER(SEARCH("9am-12pm",$AS$30))*ISNUMBER(SEARCH("9am-12pm",'(B) Register of Participants'!$AA$73)))+(ISNUMBER(SEARCH("12pm-3pm",$AS$30))*ISNUMBER(SEARCH("12pm-3pm",'(B) Register of Participants'!$AA$73)))+(ISNUMBER(SEARCH("3pm-6pm",$AS$30))*ISNUMBER(SEARCH("3pm-6pm",'(B) Register of Participants'!$AA$73)))+(ISNUMBER(SEARCH("6pm-9pm",$AS$30))*ISNUMBER(SEARCH("6pm-9pm",'(B) Register of Participants'!$AA$73)))+(ISNUMBER(SEARCH("6am-9am",$AS$31))*ISNUMBER(SEARCH("6am-9am",'(B) Register of Participants'!$AB$73)))+(ISNUMBER(SEARCH("9am-12pm",$AS$31))*ISNUMBER(SEARCH("9am-12pm",'(B) Register of Participants'!$AB$73)))+(ISNUMBER(SEARCH("12pm-3pm",$AS$31))*ISNUMBER(SEARCH("12pm-3pm",'(B) Register of Participants'!$AB$73)))+(ISNUMBER(SEARCH("3pm-6pm",$AS$31))*ISNUMBER(SEARCH("3pm-6pm",'(B) Register of Participants'!$AB$73)))+(ISNUMBER(SEARCH("6pm-9pm",$AS$31))*ISNUMBER(SEARCH("6pm-9pm",'(B) Register of Participants'!$AB$73)))+(ISNUMBER(SEARCH("6am-9am",$AS$32))*ISNUMBER(SEARCH("6am-9am",'(B) Register of Participants'!$AC$73)))+(ISNUMBER(SEARCH("9am-12pm",$AS$32))*ISNUMBER(SEARCH("9am-12pm",'(B) Register of Participants'!$AC$73)))+(ISNUMBER(SEARCH("12pm-3pm",$AS$32))*ISNUMBER(SEARCH("12pm-3pm",'(B) Register of Participants'!$AC$73)))+(ISNUMBER(SEARCH("3pm-6pm",$AS$32))*ISNUMBER(SEARCH("3pm-6pm",'(B) Register of Participants'!$AC$73)))+(ISNUMBER(SEARCH("6pm-9pm",$AS$32))*ISNUMBER(SEARCH("6pm-9pm",'(B) Register of Participants'!$AC$73)))+(ISNUMBER(SEARCH("6am-9am",$AS$33))*ISNUMBER(SEARCH("6am-9am",'(B) Register of Participants'!$AD$73)))+(ISNUMBER(SEARCH("9am-12pm",$AS$33))*ISNUMBER(SEARCH("9am-12pm",'(B) Register of Participants'!$AD$73)))+(ISNUMBER(SEARCH("12pm-3pm",$AS$33))*ISNUMBER(SEARCH("12pm-3pm",'(B) Register of Participants'!$AD$73)))+(ISNUMBER(SEARCH("3pm-6pm",$AS$33))*ISNUMBER(SEARCH("3pm-6pm",'(B) Register of Participants'!$AD$73)))+(ISNUMBER(SEARCH("6pm-9pm",$AS$33))*ISNUMBER(SEARCH("6pm-9pm",'(B) Register of Participants'!$AD$73)))</f>
        <v/>
      </c>
      <c r="Q95" s="20">
        <f>IF(OR(AND($AS$17&lt;&gt;"",$AS$17&lt;&gt;"English",IF($AS$17="Persian",OR(ISNUMBER(SEARCH("Dari",'(B) Register of Participants'!$AR$73)),ISNUMBER(SEARCH("Farsi",'(B) Register of Participants'!$AR$73)),ISNUMBER(SEARCH("Persian",'(B) Register of Participants'!$AR$73)),ISNUMBER(SEARCH("Hazaragi",'(B) Register of Participants'!$AR$73))),ISNUMBER(SEARCH($AS$17,'(B) Register of Participants'!$AR$73)))),AND($AS$20&lt;&gt;"",$AS$20&lt;&gt;"English",IF($AS$20="Persian",OR(ISNUMBER(SEARCH("Dari",'(B) Register of Participants'!$AR$73)),ISNUMBER(SEARCH("Farsi",'(B) Register of Participants'!$AR$73)),ISNUMBER(SEARCH("Persian",'(B) Register of Participants'!$AR$73)),ISNUMBER(SEARCH("Hazaragi",'(B) Register of Participants'!$AR$73))),ISNUMBER(SEARCH($AS$20,'(B) Register of Participants'!$AR$73))))),1,0)</f>
        <v/>
      </c>
      <c r="R95" s="20">
        <f>IF(AND(AH95,AI95,NOT(AJ95),NOT($AS$25),AK95,$AS$26,AM95,AN95,NOT(AL95)),"Yes","No")</f>
        <v/>
      </c>
      <c r="S95" s="20">
        <f>IF(OR(COUNTIF('Engine Lists'!$A:$A,$AS$14&amp;"|"&amp;AO95)&gt;0,COUNTIF('Engine Lists'!$A:$A,$AS$14&amp;"|"&amp;AP95)&gt;0,COUNTIF('Engine Lists'!$A:$A,$AS$15&amp;"|"&amp;AO95)&gt;0,COUNTIF('Engine Lists'!$A:$A,$AS$15&amp;"|"&amp;AP95)&gt;0,COUNTIF('Engine Lists'!$A:$A,$AS$21&amp;"|"&amp;I95)&gt;0),-8,0)</f>
        <v/>
      </c>
      <c r="T95" s="20">
        <f>IF(Q95=1,IF(OR($AS$8="A2",$AS$8="B1"),7,IF(OR($AS$8="B2",$AS$8="C1",$AS$8="C2"),-5,0)),0)</f>
        <v/>
      </c>
      <c r="U95" s="20">
        <f>IF(AND($AS$6=G95,OR($AS$6="Male",$AS$6="Female")),5,0)</f>
        <v/>
      </c>
      <c r="V95" s="20">
        <f>IF(AND($AS$24,$AS$11&lt;&gt;"In-Person",K95&lt;&gt;"In-Person"),-5,0)</f>
        <v/>
      </c>
      <c r="W95" s="20">
        <f>IF(OR($AS$11=K95,$AS$11="Either",K95="Either"),3,0)</f>
        <v/>
      </c>
      <c r="X95" s="20">
        <f>IF(AND($AS$11&lt;&gt;"Online",K95&lt;&gt;"Online",ISNUMBER($AS$22),ISNUMBER(IFERROR(VALUE(M95),"x"))),IF(ABS($AS$22-VALUE(M95))&lt;=50,3,0),0)</f>
        <v/>
      </c>
      <c r="Y95" s="20">
        <f>IF(AND($AS$10&lt;&gt;"",$AS$10=J95),3,0)</f>
        <v/>
      </c>
      <c r="Z95" s="20">
        <f>IF(OR(N($AS$13)&gt;=150,N(O95)&gt;=150),3,0)</f>
        <v/>
      </c>
      <c r="AA95" s="20">
        <f>IF(AND($AS$21&lt;&gt;"",$AS$21&lt;&gt;"NA",$AS$21=I95),2,0)</f>
        <v/>
      </c>
      <c r="AB95" s="20">
        <f>IF(OR(AND($AS$14&lt;&gt;"",$AS$14&lt;&gt;"NA",OR($AS$14=AO95,$AS$14=AP95)),AND($AS$15&lt;&gt;"",OR($AS$15=AO95,$AS$15=AP95))),2,0)</f>
        <v/>
      </c>
      <c r="AC95" s="20">
        <f>IF(AND(ISNUMBER($AS$12),ISNUMBER(N95),ABS($AS$12-N95)&lt;=10),2,0)</f>
        <v/>
      </c>
      <c r="AD95" s="20">
        <f>IF(R95="Yes",SUM(S95:AC95),"")</f>
        <v/>
      </c>
      <c r="AE95" s="20">
        <f>IF(R95="Yes","Score "&amp;AD95&amp;": "&amp;TRIM(IF(S95&lt;&gt;0,"−8 acrimonious; ","")&amp;IF(T95=7,"+7 shared language; ","")&amp;IF(T95=-5,"−5 shared lang(adv); ","")&amp;IF(U95=5,"+5 same-sex; ","")&amp;IF(V95=-5,"−5 online no device; ","")&amp;IF(W95=3,"+3 mode; ","")&amp;IF(X95=3,"+3 proximity; ","")&amp;IF(Y95=3,"+3 category; ","")&amp;IF(Z95=3,"+3 long wait; ","")&amp;IF(AA95=2,"+2 religion; ","")&amp;IF(AB95=2,"+2 nationality; ","")&amp;IF(AC95=2,"+2 age; ","")),"Not eligible: "&amp;IF(NOT(AH95),"tutor not pending/with-capacity",IF(NOT(AI95),"no spare capacity",IF(AJ95,"tutor blacklisted",IF($AS$25,"student blacklisted",IF(NOT(AK95),"tutor vetting incomplete",IF(NOT($AS$26),"student vetting incomplete",IF(NOT(AM95),"no overlapping 3h AEST block",IF(NOT(AN95),"A1 student needs a shared language",IF(AL95,"'do not pair' note present",""))))))))))</f>
        <v/>
      </c>
      <c r="AF95">
        <f>TRIM(IFERROR(LEFT('(B) Register of Participants'!$AR$73,FIND(" (",'(B) Register of Participants'!$AR$73)-1),'(B) Register of Participants'!$AR$73))</f>
        <v/>
      </c>
      <c r="AG95">
        <f>IF(ISNUMBER(SEARCH("Mandarin",'(B) Register of Participants'!$AR$73)),"Mandarin",IF(ISNUMBER(SEARCH("Cantonese",'(B) Register of Participants'!$AR$73)),"Cantonese",IF(OR(AF95="Dari",AF95="Farsi",AF95="Persian",AF95="Hazaragi"),"Persian",AF95)))</f>
        <v/>
      </c>
      <c r="AH95">
        <f>OR(E95="ADM-ACT-UNMAT",E95="ADM-ACT-MAT-CNE")</f>
        <v/>
      </c>
      <c r="AI95">
        <f>F95&gt;0</f>
        <v/>
      </c>
      <c r="AJ95">
        <f>LEFT('(B) Register of Participants'!$L$73,3)="Yes"</f>
        <v/>
      </c>
      <c r="AK95">
        <f>AND(OR(LEFT('(B) Register of Participants'!$AY$73,3)="Yes",LEFT('(B) Register of Participants'!$AY$73,2)="NA"),OR(LEFT('(B) Register of Participants'!$AZ$73,3)="Yes",LEFT('(B) Register of Participants'!$AZ$73,2)="NA"))</f>
        <v/>
      </c>
      <c r="AL95">
        <f>OR(ISNUMBER(SEARCH("do not pair",'(B) Register of Participants'!$BL$73)),ISNUMBER(SEARCH("do not pair",'(B) Register of Participants'!$BM$73)))</f>
        <v/>
      </c>
      <c r="AM95">
        <f>P95&gt;0</f>
        <v/>
      </c>
      <c r="AN95">
        <f>IF($AS$8="A1",Q95=1,TRUE)</f>
        <v/>
      </c>
      <c r="AO95">
        <f>TRIM(IFERROR(LEFT('(B) Register of Participants'!$AP$73,FIND(";",'(B) Register of Participants'!$AP$73)-1),'(B) Register of Participants'!$AP$73))</f>
        <v/>
      </c>
      <c r="AP95">
        <f>IF(ISNUMBER(FIND(";",'(B) Register of Participants'!$AP$73)),TRIM(MID('(B) Register of Participants'!$AP$73,FIND(";",'(B) Register of Participants'!$AP$73)+1,80)),"")</f>
        <v/>
      </c>
    </row>
    <row r="96">
      <c r="B96" s="20">
        <f>IF(R96="Yes",RANK(AD96,$AD$25:$AD$124),"")</f>
        <v/>
      </c>
      <c r="C96" s="20">
        <f>'(B) Register of Participants'!$A$74</f>
        <v/>
      </c>
      <c r="D96" s="20">
        <f>'(B) Register of Participants'!$B$74</f>
        <v/>
      </c>
      <c r="E96" s="20">
        <f>'(B) Register of Participants'!$J$74</f>
        <v/>
      </c>
      <c r="F96" s="20">
        <f>IFERROR('(B) Register of Participants'!$O$74-'(B) Register of Participants'!$P$74,0)</f>
        <v/>
      </c>
      <c r="G96" s="20">
        <f>'(B) Register of Participants'!$AL$74</f>
        <v/>
      </c>
      <c r="H96" s="20">
        <f>'(B) Register of Participants'!$AP$74</f>
        <v/>
      </c>
      <c r="I96" s="20">
        <f>TRIM(IFERROR(LEFT('(B) Register of Participants'!$AS$74,FIND(" (",'(B) Register of Participants'!$AS$74)-1),'(B) Register of Participants'!$AS$74))</f>
        <v/>
      </c>
      <c r="J96" s="20">
        <f>'(B) Register of Participants'!$AT$74</f>
        <v/>
      </c>
      <c r="K96" s="20">
        <f>'(B) Register of Participants'!$AE$74</f>
        <v/>
      </c>
      <c r="L96" s="20">
        <f>'(B) Register of Participants'!$AF$74</f>
        <v/>
      </c>
      <c r="M96" s="20">
        <f>'(B) Register of Participants'!$AJ$74</f>
        <v/>
      </c>
      <c r="N96" s="20">
        <f>'(B) Register of Participants'!$CY$74</f>
        <v/>
      </c>
      <c r="O96" s="20">
        <f>'(B) Register of Participants'!$CW$74</f>
        <v/>
      </c>
      <c r="P96" s="20">
        <f>(ISNUMBER(SEARCH("6am-9am",$AS$27))*ISNUMBER(SEARCH("6am-9am",'(B) Register of Participants'!$X$74)))+(ISNUMBER(SEARCH("9am-12pm",$AS$27))*ISNUMBER(SEARCH("9am-12pm",'(B) Register of Participants'!$X$74)))+(ISNUMBER(SEARCH("12pm-3pm",$AS$27))*ISNUMBER(SEARCH("12pm-3pm",'(B) Register of Participants'!$X$74)))+(ISNUMBER(SEARCH("3pm-6pm",$AS$27))*ISNUMBER(SEARCH("3pm-6pm",'(B) Register of Participants'!$X$74)))+(ISNUMBER(SEARCH("6pm-9pm",$AS$27))*ISNUMBER(SEARCH("6pm-9pm",'(B) Register of Participants'!$X$74)))+(ISNUMBER(SEARCH("6am-9am",$AS$28))*ISNUMBER(SEARCH("6am-9am",'(B) Register of Participants'!$Y$74)))+(ISNUMBER(SEARCH("9am-12pm",$AS$28))*ISNUMBER(SEARCH("9am-12pm",'(B) Register of Participants'!$Y$74)))+(ISNUMBER(SEARCH("12pm-3pm",$AS$28))*ISNUMBER(SEARCH("12pm-3pm",'(B) Register of Participants'!$Y$74)))+(ISNUMBER(SEARCH("3pm-6pm",$AS$28))*ISNUMBER(SEARCH("3pm-6pm",'(B) Register of Participants'!$Y$74)))+(ISNUMBER(SEARCH("6pm-9pm",$AS$28))*ISNUMBER(SEARCH("6pm-9pm",'(B) Register of Participants'!$Y$74)))+(ISNUMBER(SEARCH("6am-9am",$AS$29))*ISNUMBER(SEARCH("6am-9am",'(B) Register of Participants'!$Z$74)))+(ISNUMBER(SEARCH("9am-12pm",$AS$29))*ISNUMBER(SEARCH("9am-12pm",'(B) Register of Participants'!$Z$74)))+(ISNUMBER(SEARCH("12pm-3pm",$AS$29))*ISNUMBER(SEARCH("12pm-3pm",'(B) Register of Participants'!$Z$74)))+(ISNUMBER(SEARCH("3pm-6pm",$AS$29))*ISNUMBER(SEARCH("3pm-6pm",'(B) Register of Participants'!$Z$74)))+(ISNUMBER(SEARCH("6pm-9pm",$AS$29))*ISNUMBER(SEARCH("6pm-9pm",'(B) Register of Participants'!$Z$74)))+(ISNUMBER(SEARCH("6am-9am",$AS$30))*ISNUMBER(SEARCH("6am-9am",'(B) Register of Participants'!$AA$74)))+(ISNUMBER(SEARCH("9am-12pm",$AS$30))*ISNUMBER(SEARCH("9am-12pm",'(B) Register of Participants'!$AA$74)))+(ISNUMBER(SEARCH("12pm-3pm",$AS$30))*ISNUMBER(SEARCH("12pm-3pm",'(B) Register of Participants'!$AA$74)))+(ISNUMBER(SEARCH("3pm-6pm",$AS$30))*ISNUMBER(SEARCH("3pm-6pm",'(B) Register of Participants'!$AA$74)))+(ISNUMBER(SEARCH("6pm-9pm",$AS$30))*ISNUMBER(SEARCH("6pm-9pm",'(B) Register of Participants'!$AA$74)))+(ISNUMBER(SEARCH("6am-9am",$AS$31))*ISNUMBER(SEARCH("6am-9am",'(B) Register of Participants'!$AB$74)))+(ISNUMBER(SEARCH("9am-12pm",$AS$31))*ISNUMBER(SEARCH("9am-12pm",'(B) Register of Participants'!$AB$74)))+(ISNUMBER(SEARCH("12pm-3pm",$AS$31))*ISNUMBER(SEARCH("12pm-3pm",'(B) Register of Participants'!$AB$74)))+(ISNUMBER(SEARCH("3pm-6pm",$AS$31))*ISNUMBER(SEARCH("3pm-6pm",'(B) Register of Participants'!$AB$74)))+(ISNUMBER(SEARCH("6pm-9pm",$AS$31))*ISNUMBER(SEARCH("6pm-9pm",'(B) Register of Participants'!$AB$74)))+(ISNUMBER(SEARCH("6am-9am",$AS$32))*ISNUMBER(SEARCH("6am-9am",'(B) Register of Participants'!$AC$74)))+(ISNUMBER(SEARCH("9am-12pm",$AS$32))*ISNUMBER(SEARCH("9am-12pm",'(B) Register of Participants'!$AC$74)))+(ISNUMBER(SEARCH("12pm-3pm",$AS$32))*ISNUMBER(SEARCH("12pm-3pm",'(B) Register of Participants'!$AC$74)))+(ISNUMBER(SEARCH("3pm-6pm",$AS$32))*ISNUMBER(SEARCH("3pm-6pm",'(B) Register of Participants'!$AC$74)))+(ISNUMBER(SEARCH("6pm-9pm",$AS$32))*ISNUMBER(SEARCH("6pm-9pm",'(B) Register of Participants'!$AC$74)))+(ISNUMBER(SEARCH("6am-9am",$AS$33))*ISNUMBER(SEARCH("6am-9am",'(B) Register of Participants'!$AD$74)))+(ISNUMBER(SEARCH("9am-12pm",$AS$33))*ISNUMBER(SEARCH("9am-12pm",'(B) Register of Participants'!$AD$74)))+(ISNUMBER(SEARCH("12pm-3pm",$AS$33))*ISNUMBER(SEARCH("12pm-3pm",'(B) Register of Participants'!$AD$74)))+(ISNUMBER(SEARCH("3pm-6pm",$AS$33))*ISNUMBER(SEARCH("3pm-6pm",'(B) Register of Participants'!$AD$74)))+(ISNUMBER(SEARCH("6pm-9pm",$AS$33))*ISNUMBER(SEARCH("6pm-9pm",'(B) Register of Participants'!$AD$74)))</f>
        <v/>
      </c>
      <c r="Q96" s="20">
        <f>IF(OR(AND($AS$17&lt;&gt;"",$AS$17&lt;&gt;"English",IF($AS$17="Persian",OR(ISNUMBER(SEARCH("Dari",'(B) Register of Participants'!$AR$74)),ISNUMBER(SEARCH("Farsi",'(B) Register of Participants'!$AR$74)),ISNUMBER(SEARCH("Persian",'(B) Register of Participants'!$AR$74)),ISNUMBER(SEARCH("Hazaragi",'(B) Register of Participants'!$AR$74))),ISNUMBER(SEARCH($AS$17,'(B) Register of Participants'!$AR$74)))),AND($AS$20&lt;&gt;"",$AS$20&lt;&gt;"English",IF($AS$20="Persian",OR(ISNUMBER(SEARCH("Dari",'(B) Register of Participants'!$AR$74)),ISNUMBER(SEARCH("Farsi",'(B) Register of Participants'!$AR$74)),ISNUMBER(SEARCH("Persian",'(B) Register of Participants'!$AR$74)),ISNUMBER(SEARCH("Hazaragi",'(B) Register of Participants'!$AR$74))),ISNUMBER(SEARCH($AS$20,'(B) Register of Participants'!$AR$74))))),1,0)</f>
        <v/>
      </c>
      <c r="R96" s="20">
        <f>IF(AND(AH96,AI96,NOT(AJ96),NOT($AS$25),AK96,$AS$26,AM96,AN96,NOT(AL96)),"Yes","No")</f>
        <v/>
      </c>
      <c r="S96" s="20">
        <f>IF(OR(COUNTIF('Engine Lists'!$A:$A,$AS$14&amp;"|"&amp;AO96)&gt;0,COUNTIF('Engine Lists'!$A:$A,$AS$14&amp;"|"&amp;AP96)&gt;0,COUNTIF('Engine Lists'!$A:$A,$AS$15&amp;"|"&amp;AO96)&gt;0,COUNTIF('Engine Lists'!$A:$A,$AS$15&amp;"|"&amp;AP96)&gt;0,COUNTIF('Engine Lists'!$A:$A,$AS$21&amp;"|"&amp;I96)&gt;0),-8,0)</f>
        <v/>
      </c>
      <c r="T96" s="20">
        <f>IF(Q96=1,IF(OR($AS$8="A2",$AS$8="B1"),7,IF(OR($AS$8="B2",$AS$8="C1",$AS$8="C2"),-5,0)),0)</f>
        <v/>
      </c>
      <c r="U96" s="20">
        <f>IF(AND($AS$6=G96,OR($AS$6="Male",$AS$6="Female")),5,0)</f>
        <v/>
      </c>
      <c r="V96" s="20">
        <f>IF(AND($AS$24,$AS$11&lt;&gt;"In-Person",K96&lt;&gt;"In-Person"),-5,0)</f>
        <v/>
      </c>
      <c r="W96" s="20">
        <f>IF(OR($AS$11=K96,$AS$11="Either",K96="Either"),3,0)</f>
        <v/>
      </c>
      <c r="X96" s="20">
        <f>IF(AND($AS$11&lt;&gt;"Online",K96&lt;&gt;"Online",ISNUMBER($AS$22),ISNUMBER(IFERROR(VALUE(M96),"x"))),IF(ABS($AS$22-VALUE(M96))&lt;=50,3,0),0)</f>
        <v/>
      </c>
      <c r="Y96" s="20">
        <f>IF(AND($AS$10&lt;&gt;"",$AS$10=J96),3,0)</f>
        <v/>
      </c>
      <c r="Z96" s="20">
        <f>IF(OR(N($AS$13)&gt;=150,N(O96)&gt;=150),3,0)</f>
        <v/>
      </c>
      <c r="AA96" s="20">
        <f>IF(AND($AS$21&lt;&gt;"",$AS$21&lt;&gt;"NA",$AS$21=I96),2,0)</f>
        <v/>
      </c>
      <c r="AB96" s="20">
        <f>IF(OR(AND($AS$14&lt;&gt;"",$AS$14&lt;&gt;"NA",OR($AS$14=AO96,$AS$14=AP96)),AND($AS$15&lt;&gt;"",OR($AS$15=AO96,$AS$15=AP96))),2,0)</f>
        <v/>
      </c>
      <c r="AC96" s="20">
        <f>IF(AND(ISNUMBER($AS$12),ISNUMBER(N96),ABS($AS$12-N96)&lt;=10),2,0)</f>
        <v/>
      </c>
      <c r="AD96" s="20">
        <f>IF(R96="Yes",SUM(S96:AC96),"")</f>
        <v/>
      </c>
      <c r="AE96" s="20">
        <f>IF(R96="Yes","Score "&amp;AD96&amp;": "&amp;TRIM(IF(S96&lt;&gt;0,"−8 acrimonious; ","")&amp;IF(T96=7,"+7 shared language; ","")&amp;IF(T96=-5,"−5 shared lang(adv); ","")&amp;IF(U96=5,"+5 same-sex; ","")&amp;IF(V96=-5,"−5 online no device; ","")&amp;IF(W96=3,"+3 mode; ","")&amp;IF(X96=3,"+3 proximity; ","")&amp;IF(Y96=3,"+3 category; ","")&amp;IF(Z96=3,"+3 long wait; ","")&amp;IF(AA96=2,"+2 religion; ","")&amp;IF(AB96=2,"+2 nationality; ","")&amp;IF(AC96=2,"+2 age; ","")),"Not eligible: "&amp;IF(NOT(AH96),"tutor not pending/with-capacity",IF(NOT(AI96),"no spare capacity",IF(AJ96,"tutor blacklisted",IF($AS$25,"student blacklisted",IF(NOT(AK96),"tutor vetting incomplete",IF(NOT($AS$26),"student vetting incomplete",IF(NOT(AM96),"no overlapping 3h AEST block",IF(NOT(AN96),"A1 student needs a shared language",IF(AL96,"'do not pair' note present",""))))))))))</f>
        <v/>
      </c>
      <c r="AF96">
        <f>TRIM(IFERROR(LEFT('(B) Register of Participants'!$AR$74,FIND(" (",'(B) Register of Participants'!$AR$74)-1),'(B) Register of Participants'!$AR$74))</f>
        <v/>
      </c>
      <c r="AG96">
        <f>IF(ISNUMBER(SEARCH("Mandarin",'(B) Register of Participants'!$AR$74)),"Mandarin",IF(ISNUMBER(SEARCH("Cantonese",'(B) Register of Participants'!$AR$74)),"Cantonese",IF(OR(AF96="Dari",AF96="Farsi",AF96="Persian",AF96="Hazaragi"),"Persian",AF96)))</f>
        <v/>
      </c>
      <c r="AH96">
        <f>OR(E96="ADM-ACT-UNMAT",E96="ADM-ACT-MAT-CNE")</f>
        <v/>
      </c>
      <c r="AI96">
        <f>F96&gt;0</f>
        <v/>
      </c>
      <c r="AJ96">
        <f>LEFT('(B) Register of Participants'!$L$74,3)="Yes"</f>
        <v/>
      </c>
      <c r="AK96">
        <f>AND(OR(LEFT('(B) Register of Participants'!$AY$74,3)="Yes",LEFT('(B) Register of Participants'!$AY$74,2)="NA"),OR(LEFT('(B) Register of Participants'!$AZ$74,3)="Yes",LEFT('(B) Register of Participants'!$AZ$74,2)="NA"))</f>
        <v/>
      </c>
      <c r="AL96">
        <f>OR(ISNUMBER(SEARCH("do not pair",'(B) Register of Participants'!$BL$74)),ISNUMBER(SEARCH("do not pair",'(B) Register of Participants'!$BM$74)))</f>
        <v/>
      </c>
      <c r="AM96">
        <f>P96&gt;0</f>
        <v/>
      </c>
      <c r="AN96">
        <f>IF($AS$8="A1",Q96=1,TRUE)</f>
        <v/>
      </c>
      <c r="AO96">
        <f>TRIM(IFERROR(LEFT('(B) Register of Participants'!$AP$74,FIND(";",'(B) Register of Participants'!$AP$74)-1),'(B) Register of Participants'!$AP$74))</f>
        <v/>
      </c>
      <c r="AP96">
        <f>IF(ISNUMBER(FIND(";",'(B) Register of Participants'!$AP$74)),TRIM(MID('(B) Register of Participants'!$AP$74,FIND(";",'(B) Register of Participants'!$AP$74)+1,80)),"")</f>
        <v/>
      </c>
    </row>
    <row r="97">
      <c r="B97" s="20">
        <f>IF(R97="Yes",RANK(AD97,$AD$25:$AD$124),"")</f>
        <v/>
      </c>
      <c r="C97" s="20">
        <f>'(B) Register of Participants'!$A$75</f>
        <v/>
      </c>
      <c r="D97" s="20">
        <f>'(B) Register of Participants'!$B$75</f>
        <v/>
      </c>
      <c r="E97" s="20">
        <f>'(B) Register of Participants'!$J$75</f>
        <v/>
      </c>
      <c r="F97" s="20">
        <f>IFERROR('(B) Register of Participants'!$O$75-'(B) Register of Participants'!$P$75,0)</f>
        <v/>
      </c>
      <c r="G97" s="20">
        <f>'(B) Register of Participants'!$AL$75</f>
        <v/>
      </c>
      <c r="H97" s="20">
        <f>'(B) Register of Participants'!$AP$75</f>
        <v/>
      </c>
      <c r="I97" s="20">
        <f>TRIM(IFERROR(LEFT('(B) Register of Participants'!$AS$75,FIND(" (",'(B) Register of Participants'!$AS$75)-1),'(B) Register of Participants'!$AS$75))</f>
        <v/>
      </c>
      <c r="J97" s="20">
        <f>'(B) Register of Participants'!$AT$75</f>
        <v/>
      </c>
      <c r="K97" s="20">
        <f>'(B) Register of Participants'!$AE$75</f>
        <v/>
      </c>
      <c r="L97" s="20">
        <f>'(B) Register of Participants'!$AF$75</f>
        <v/>
      </c>
      <c r="M97" s="20">
        <f>'(B) Register of Participants'!$AJ$75</f>
        <v/>
      </c>
      <c r="N97" s="20">
        <f>'(B) Register of Participants'!$CY$75</f>
        <v/>
      </c>
      <c r="O97" s="20">
        <f>'(B) Register of Participants'!$CW$75</f>
        <v/>
      </c>
      <c r="P97" s="20">
        <f>(ISNUMBER(SEARCH("6am-9am",$AS$27))*ISNUMBER(SEARCH("6am-9am",'(B) Register of Participants'!$X$75)))+(ISNUMBER(SEARCH("9am-12pm",$AS$27))*ISNUMBER(SEARCH("9am-12pm",'(B) Register of Participants'!$X$75)))+(ISNUMBER(SEARCH("12pm-3pm",$AS$27))*ISNUMBER(SEARCH("12pm-3pm",'(B) Register of Participants'!$X$75)))+(ISNUMBER(SEARCH("3pm-6pm",$AS$27))*ISNUMBER(SEARCH("3pm-6pm",'(B) Register of Participants'!$X$75)))+(ISNUMBER(SEARCH("6pm-9pm",$AS$27))*ISNUMBER(SEARCH("6pm-9pm",'(B) Register of Participants'!$X$75)))+(ISNUMBER(SEARCH("6am-9am",$AS$28))*ISNUMBER(SEARCH("6am-9am",'(B) Register of Participants'!$Y$75)))+(ISNUMBER(SEARCH("9am-12pm",$AS$28))*ISNUMBER(SEARCH("9am-12pm",'(B) Register of Participants'!$Y$75)))+(ISNUMBER(SEARCH("12pm-3pm",$AS$28))*ISNUMBER(SEARCH("12pm-3pm",'(B) Register of Participants'!$Y$75)))+(ISNUMBER(SEARCH("3pm-6pm",$AS$28))*ISNUMBER(SEARCH("3pm-6pm",'(B) Register of Participants'!$Y$75)))+(ISNUMBER(SEARCH("6pm-9pm",$AS$28))*ISNUMBER(SEARCH("6pm-9pm",'(B) Register of Participants'!$Y$75)))+(ISNUMBER(SEARCH("6am-9am",$AS$29))*ISNUMBER(SEARCH("6am-9am",'(B) Register of Participants'!$Z$75)))+(ISNUMBER(SEARCH("9am-12pm",$AS$29))*ISNUMBER(SEARCH("9am-12pm",'(B) Register of Participants'!$Z$75)))+(ISNUMBER(SEARCH("12pm-3pm",$AS$29))*ISNUMBER(SEARCH("12pm-3pm",'(B) Register of Participants'!$Z$75)))+(ISNUMBER(SEARCH("3pm-6pm",$AS$29))*ISNUMBER(SEARCH("3pm-6pm",'(B) Register of Participants'!$Z$75)))+(ISNUMBER(SEARCH("6pm-9pm",$AS$29))*ISNUMBER(SEARCH("6pm-9pm",'(B) Register of Participants'!$Z$75)))+(ISNUMBER(SEARCH("6am-9am",$AS$30))*ISNUMBER(SEARCH("6am-9am",'(B) Register of Participants'!$AA$75)))+(ISNUMBER(SEARCH("9am-12pm",$AS$30))*ISNUMBER(SEARCH("9am-12pm",'(B) Register of Participants'!$AA$75)))+(ISNUMBER(SEARCH("12pm-3pm",$AS$30))*ISNUMBER(SEARCH("12pm-3pm",'(B) Register of Participants'!$AA$75)))+(ISNUMBER(SEARCH("3pm-6pm",$AS$30))*ISNUMBER(SEARCH("3pm-6pm",'(B) Register of Participants'!$AA$75)))+(ISNUMBER(SEARCH("6pm-9pm",$AS$30))*ISNUMBER(SEARCH("6pm-9pm",'(B) Register of Participants'!$AA$75)))+(ISNUMBER(SEARCH("6am-9am",$AS$31))*ISNUMBER(SEARCH("6am-9am",'(B) Register of Participants'!$AB$75)))+(ISNUMBER(SEARCH("9am-12pm",$AS$31))*ISNUMBER(SEARCH("9am-12pm",'(B) Register of Participants'!$AB$75)))+(ISNUMBER(SEARCH("12pm-3pm",$AS$31))*ISNUMBER(SEARCH("12pm-3pm",'(B) Register of Participants'!$AB$75)))+(ISNUMBER(SEARCH("3pm-6pm",$AS$31))*ISNUMBER(SEARCH("3pm-6pm",'(B) Register of Participants'!$AB$75)))+(ISNUMBER(SEARCH("6pm-9pm",$AS$31))*ISNUMBER(SEARCH("6pm-9pm",'(B) Register of Participants'!$AB$75)))+(ISNUMBER(SEARCH("6am-9am",$AS$32))*ISNUMBER(SEARCH("6am-9am",'(B) Register of Participants'!$AC$75)))+(ISNUMBER(SEARCH("9am-12pm",$AS$32))*ISNUMBER(SEARCH("9am-12pm",'(B) Register of Participants'!$AC$75)))+(ISNUMBER(SEARCH("12pm-3pm",$AS$32))*ISNUMBER(SEARCH("12pm-3pm",'(B) Register of Participants'!$AC$75)))+(ISNUMBER(SEARCH("3pm-6pm",$AS$32))*ISNUMBER(SEARCH("3pm-6pm",'(B) Register of Participants'!$AC$75)))+(ISNUMBER(SEARCH("6pm-9pm",$AS$32))*ISNUMBER(SEARCH("6pm-9pm",'(B) Register of Participants'!$AC$75)))+(ISNUMBER(SEARCH("6am-9am",$AS$33))*ISNUMBER(SEARCH("6am-9am",'(B) Register of Participants'!$AD$75)))+(ISNUMBER(SEARCH("9am-12pm",$AS$33))*ISNUMBER(SEARCH("9am-12pm",'(B) Register of Participants'!$AD$75)))+(ISNUMBER(SEARCH("12pm-3pm",$AS$33))*ISNUMBER(SEARCH("12pm-3pm",'(B) Register of Participants'!$AD$75)))+(ISNUMBER(SEARCH("3pm-6pm",$AS$33))*ISNUMBER(SEARCH("3pm-6pm",'(B) Register of Participants'!$AD$75)))+(ISNUMBER(SEARCH("6pm-9pm",$AS$33))*ISNUMBER(SEARCH("6pm-9pm",'(B) Register of Participants'!$AD$75)))</f>
        <v/>
      </c>
      <c r="Q97" s="20">
        <f>IF(OR(AND($AS$17&lt;&gt;"",$AS$17&lt;&gt;"English",IF($AS$17="Persian",OR(ISNUMBER(SEARCH("Dari",'(B) Register of Participants'!$AR$75)),ISNUMBER(SEARCH("Farsi",'(B) Register of Participants'!$AR$75)),ISNUMBER(SEARCH("Persian",'(B) Register of Participants'!$AR$75)),ISNUMBER(SEARCH("Hazaragi",'(B) Register of Participants'!$AR$75))),ISNUMBER(SEARCH($AS$17,'(B) Register of Participants'!$AR$75)))),AND($AS$20&lt;&gt;"",$AS$20&lt;&gt;"English",IF($AS$20="Persian",OR(ISNUMBER(SEARCH("Dari",'(B) Register of Participants'!$AR$75)),ISNUMBER(SEARCH("Farsi",'(B) Register of Participants'!$AR$75)),ISNUMBER(SEARCH("Persian",'(B) Register of Participants'!$AR$75)),ISNUMBER(SEARCH("Hazaragi",'(B) Register of Participants'!$AR$75))),ISNUMBER(SEARCH($AS$20,'(B) Register of Participants'!$AR$75))))),1,0)</f>
        <v/>
      </c>
      <c r="R97" s="20">
        <f>IF(AND(AH97,AI97,NOT(AJ97),NOT($AS$25),AK97,$AS$26,AM97,AN97,NOT(AL97)),"Yes","No")</f>
        <v/>
      </c>
      <c r="S97" s="20">
        <f>IF(OR(COUNTIF('Engine Lists'!$A:$A,$AS$14&amp;"|"&amp;AO97)&gt;0,COUNTIF('Engine Lists'!$A:$A,$AS$14&amp;"|"&amp;AP97)&gt;0,COUNTIF('Engine Lists'!$A:$A,$AS$15&amp;"|"&amp;AO97)&gt;0,COUNTIF('Engine Lists'!$A:$A,$AS$15&amp;"|"&amp;AP97)&gt;0,COUNTIF('Engine Lists'!$A:$A,$AS$21&amp;"|"&amp;I97)&gt;0),-8,0)</f>
        <v/>
      </c>
      <c r="T97" s="20">
        <f>IF(Q97=1,IF(OR($AS$8="A2",$AS$8="B1"),7,IF(OR($AS$8="B2",$AS$8="C1",$AS$8="C2"),-5,0)),0)</f>
        <v/>
      </c>
      <c r="U97" s="20">
        <f>IF(AND($AS$6=G97,OR($AS$6="Male",$AS$6="Female")),5,0)</f>
        <v/>
      </c>
      <c r="V97" s="20">
        <f>IF(AND($AS$24,$AS$11&lt;&gt;"In-Person",K97&lt;&gt;"In-Person"),-5,0)</f>
        <v/>
      </c>
      <c r="W97" s="20">
        <f>IF(OR($AS$11=K97,$AS$11="Either",K97="Either"),3,0)</f>
        <v/>
      </c>
      <c r="X97" s="20">
        <f>IF(AND($AS$11&lt;&gt;"Online",K97&lt;&gt;"Online",ISNUMBER($AS$22),ISNUMBER(IFERROR(VALUE(M97),"x"))),IF(ABS($AS$22-VALUE(M97))&lt;=50,3,0),0)</f>
        <v/>
      </c>
      <c r="Y97" s="20">
        <f>IF(AND($AS$10&lt;&gt;"",$AS$10=J97),3,0)</f>
        <v/>
      </c>
      <c r="Z97" s="20">
        <f>IF(OR(N($AS$13)&gt;=150,N(O97)&gt;=150),3,0)</f>
        <v/>
      </c>
      <c r="AA97" s="20">
        <f>IF(AND($AS$21&lt;&gt;"",$AS$21&lt;&gt;"NA",$AS$21=I97),2,0)</f>
        <v/>
      </c>
      <c r="AB97" s="20">
        <f>IF(OR(AND($AS$14&lt;&gt;"",$AS$14&lt;&gt;"NA",OR($AS$14=AO97,$AS$14=AP97)),AND($AS$15&lt;&gt;"",OR($AS$15=AO97,$AS$15=AP97))),2,0)</f>
        <v/>
      </c>
      <c r="AC97" s="20">
        <f>IF(AND(ISNUMBER($AS$12),ISNUMBER(N97),ABS($AS$12-N97)&lt;=10),2,0)</f>
        <v/>
      </c>
      <c r="AD97" s="20">
        <f>IF(R97="Yes",SUM(S97:AC97),"")</f>
        <v/>
      </c>
      <c r="AE97" s="20">
        <f>IF(R97="Yes","Score "&amp;AD97&amp;": "&amp;TRIM(IF(S97&lt;&gt;0,"−8 acrimonious; ","")&amp;IF(T97=7,"+7 shared language; ","")&amp;IF(T97=-5,"−5 shared lang(adv); ","")&amp;IF(U97=5,"+5 same-sex; ","")&amp;IF(V97=-5,"−5 online no device; ","")&amp;IF(W97=3,"+3 mode; ","")&amp;IF(X97=3,"+3 proximity; ","")&amp;IF(Y97=3,"+3 category; ","")&amp;IF(Z97=3,"+3 long wait; ","")&amp;IF(AA97=2,"+2 religion; ","")&amp;IF(AB97=2,"+2 nationality; ","")&amp;IF(AC97=2,"+2 age; ","")),"Not eligible: "&amp;IF(NOT(AH97),"tutor not pending/with-capacity",IF(NOT(AI97),"no spare capacity",IF(AJ97,"tutor blacklisted",IF($AS$25,"student blacklisted",IF(NOT(AK97),"tutor vetting incomplete",IF(NOT($AS$26),"student vetting incomplete",IF(NOT(AM97),"no overlapping 3h AEST block",IF(NOT(AN97),"A1 student needs a shared language",IF(AL97,"'do not pair' note present",""))))))))))</f>
        <v/>
      </c>
      <c r="AF97">
        <f>TRIM(IFERROR(LEFT('(B) Register of Participants'!$AR$75,FIND(" (",'(B) Register of Participants'!$AR$75)-1),'(B) Register of Participants'!$AR$75))</f>
        <v/>
      </c>
      <c r="AG97">
        <f>IF(ISNUMBER(SEARCH("Mandarin",'(B) Register of Participants'!$AR$75)),"Mandarin",IF(ISNUMBER(SEARCH("Cantonese",'(B) Register of Participants'!$AR$75)),"Cantonese",IF(OR(AF97="Dari",AF97="Farsi",AF97="Persian",AF97="Hazaragi"),"Persian",AF97)))</f>
        <v/>
      </c>
      <c r="AH97">
        <f>OR(E97="ADM-ACT-UNMAT",E97="ADM-ACT-MAT-CNE")</f>
        <v/>
      </c>
      <c r="AI97">
        <f>F97&gt;0</f>
        <v/>
      </c>
      <c r="AJ97">
        <f>LEFT('(B) Register of Participants'!$L$75,3)="Yes"</f>
        <v/>
      </c>
      <c r="AK97">
        <f>AND(OR(LEFT('(B) Register of Participants'!$AY$75,3)="Yes",LEFT('(B) Register of Participants'!$AY$75,2)="NA"),OR(LEFT('(B) Register of Participants'!$AZ$75,3)="Yes",LEFT('(B) Register of Participants'!$AZ$75,2)="NA"))</f>
        <v/>
      </c>
      <c r="AL97">
        <f>OR(ISNUMBER(SEARCH("do not pair",'(B) Register of Participants'!$BL$75)),ISNUMBER(SEARCH("do not pair",'(B) Register of Participants'!$BM$75)))</f>
        <v/>
      </c>
      <c r="AM97">
        <f>P97&gt;0</f>
        <v/>
      </c>
      <c r="AN97">
        <f>IF($AS$8="A1",Q97=1,TRUE)</f>
        <v/>
      </c>
      <c r="AO97">
        <f>TRIM(IFERROR(LEFT('(B) Register of Participants'!$AP$75,FIND(";",'(B) Register of Participants'!$AP$75)-1),'(B) Register of Participants'!$AP$75))</f>
        <v/>
      </c>
      <c r="AP97">
        <f>IF(ISNUMBER(FIND(";",'(B) Register of Participants'!$AP$75)),TRIM(MID('(B) Register of Participants'!$AP$75,FIND(";",'(B) Register of Participants'!$AP$75)+1,80)),"")</f>
        <v/>
      </c>
    </row>
    <row r="98">
      <c r="B98" s="20">
        <f>IF(R98="Yes",RANK(AD98,$AD$25:$AD$124),"")</f>
        <v/>
      </c>
      <c r="C98" s="20">
        <f>'(B) Register of Participants'!$A$76</f>
        <v/>
      </c>
      <c r="D98" s="20">
        <f>'(B) Register of Participants'!$B$76</f>
        <v/>
      </c>
      <c r="E98" s="20">
        <f>'(B) Register of Participants'!$J$76</f>
        <v/>
      </c>
      <c r="F98" s="20">
        <f>IFERROR('(B) Register of Participants'!$O$76-'(B) Register of Participants'!$P$76,0)</f>
        <v/>
      </c>
      <c r="G98" s="20">
        <f>'(B) Register of Participants'!$AL$76</f>
        <v/>
      </c>
      <c r="H98" s="20">
        <f>'(B) Register of Participants'!$AP$76</f>
        <v/>
      </c>
      <c r="I98" s="20">
        <f>TRIM(IFERROR(LEFT('(B) Register of Participants'!$AS$76,FIND(" (",'(B) Register of Participants'!$AS$76)-1),'(B) Register of Participants'!$AS$76))</f>
        <v/>
      </c>
      <c r="J98" s="20">
        <f>'(B) Register of Participants'!$AT$76</f>
        <v/>
      </c>
      <c r="K98" s="20">
        <f>'(B) Register of Participants'!$AE$76</f>
        <v/>
      </c>
      <c r="L98" s="20">
        <f>'(B) Register of Participants'!$AF$76</f>
        <v/>
      </c>
      <c r="M98" s="20">
        <f>'(B) Register of Participants'!$AJ$76</f>
        <v/>
      </c>
      <c r="N98" s="20">
        <f>'(B) Register of Participants'!$CY$76</f>
        <v/>
      </c>
      <c r="O98" s="20">
        <f>'(B) Register of Participants'!$CW$76</f>
        <v/>
      </c>
      <c r="P98" s="20">
        <f>(ISNUMBER(SEARCH("6am-9am",$AS$27))*ISNUMBER(SEARCH("6am-9am",'(B) Register of Participants'!$X$76)))+(ISNUMBER(SEARCH("9am-12pm",$AS$27))*ISNUMBER(SEARCH("9am-12pm",'(B) Register of Participants'!$X$76)))+(ISNUMBER(SEARCH("12pm-3pm",$AS$27))*ISNUMBER(SEARCH("12pm-3pm",'(B) Register of Participants'!$X$76)))+(ISNUMBER(SEARCH("3pm-6pm",$AS$27))*ISNUMBER(SEARCH("3pm-6pm",'(B) Register of Participants'!$X$76)))+(ISNUMBER(SEARCH("6pm-9pm",$AS$27))*ISNUMBER(SEARCH("6pm-9pm",'(B) Register of Participants'!$X$76)))+(ISNUMBER(SEARCH("6am-9am",$AS$28))*ISNUMBER(SEARCH("6am-9am",'(B) Register of Participants'!$Y$76)))+(ISNUMBER(SEARCH("9am-12pm",$AS$28))*ISNUMBER(SEARCH("9am-12pm",'(B) Register of Participants'!$Y$76)))+(ISNUMBER(SEARCH("12pm-3pm",$AS$28))*ISNUMBER(SEARCH("12pm-3pm",'(B) Register of Participants'!$Y$76)))+(ISNUMBER(SEARCH("3pm-6pm",$AS$28))*ISNUMBER(SEARCH("3pm-6pm",'(B) Register of Participants'!$Y$76)))+(ISNUMBER(SEARCH("6pm-9pm",$AS$28))*ISNUMBER(SEARCH("6pm-9pm",'(B) Register of Participants'!$Y$76)))+(ISNUMBER(SEARCH("6am-9am",$AS$29))*ISNUMBER(SEARCH("6am-9am",'(B) Register of Participants'!$Z$76)))+(ISNUMBER(SEARCH("9am-12pm",$AS$29))*ISNUMBER(SEARCH("9am-12pm",'(B) Register of Participants'!$Z$76)))+(ISNUMBER(SEARCH("12pm-3pm",$AS$29))*ISNUMBER(SEARCH("12pm-3pm",'(B) Register of Participants'!$Z$76)))+(ISNUMBER(SEARCH("3pm-6pm",$AS$29))*ISNUMBER(SEARCH("3pm-6pm",'(B) Register of Participants'!$Z$76)))+(ISNUMBER(SEARCH("6pm-9pm",$AS$29))*ISNUMBER(SEARCH("6pm-9pm",'(B) Register of Participants'!$Z$76)))+(ISNUMBER(SEARCH("6am-9am",$AS$30))*ISNUMBER(SEARCH("6am-9am",'(B) Register of Participants'!$AA$76)))+(ISNUMBER(SEARCH("9am-12pm",$AS$30))*ISNUMBER(SEARCH("9am-12pm",'(B) Register of Participants'!$AA$76)))+(ISNUMBER(SEARCH("12pm-3pm",$AS$30))*ISNUMBER(SEARCH("12pm-3pm",'(B) Register of Participants'!$AA$76)))+(ISNUMBER(SEARCH("3pm-6pm",$AS$30))*ISNUMBER(SEARCH("3pm-6pm",'(B) Register of Participants'!$AA$76)))+(ISNUMBER(SEARCH("6pm-9pm",$AS$30))*ISNUMBER(SEARCH("6pm-9pm",'(B) Register of Participants'!$AA$76)))+(ISNUMBER(SEARCH("6am-9am",$AS$31))*ISNUMBER(SEARCH("6am-9am",'(B) Register of Participants'!$AB$76)))+(ISNUMBER(SEARCH("9am-12pm",$AS$31))*ISNUMBER(SEARCH("9am-12pm",'(B) Register of Participants'!$AB$76)))+(ISNUMBER(SEARCH("12pm-3pm",$AS$31))*ISNUMBER(SEARCH("12pm-3pm",'(B) Register of Participants'!$AB$76)))+(ISNUMBER(SEARCH("3pm-6pm",$AS$31))*ISNUMBER(SEARCH("3pm-6pm",'(B) Register of Participants'!$AB$76)))+(ISNUMBER(SEARCH("6pm-9pm",$AS$31))*ISNUMBER(SEARCH("6pm-9pm",'(B) Register of Participants'!$AB$76)))+(ISNUMBER(SEARCH("6am-9am",$AS$32))*ISNUMBER(SEARCH("6am-9am",'(B) Register of Participants'!$AC$76)))+(ISNUMBER(SEARCH("9am-12pm",$AS$32))*ISNUMBER(SEARCH("9am-12pm",'(B) Register of Participants'!$AC$76)))+(ISNUMBER(SEARCH("12pm-3pm",$AS$32))*ISNUMBER(SEARCH("12pm-3pm",'(B) Register of Participants'!$AC$76)))+(ISNUMBER(SEARCH("3pm-6pm",$AS$32))*ISNUMBER(SEARCH("3pm-6pm",'(B) Register of Participants'!$AC$76)))+(ISNUMBER(SEARCH("6pm-9pm",$AS$32))*ISNUMBER(SEARCH("6pm-9pm",'(B) Register of Participants'!$AC$76)))+(ISNUMBER(SEARCH("6am-9am",$AS$33))*ISNUMBER(SEARCH("6am-9am",'(B) Register of Participants'!$AD$76)))+(ISNUMBER(SEARCH("9am-12pm",$AS$33))*ISNUMBER(SEARCH("9am-12pm",'(B) Register of Participants'!$AD$76)))+(ISNUMBER(SEARCH("12pm-3pm",$AS$33))*ISNUMBER(SEARCH("12pm-3pm",'(B) Register of Participants'!$AD$76)))+(ISNUMBER(SEARCH("3pm-6pm",$AS$33))*ISNUMBER(SEARCH("3pm-6pm",'(B) Register of Participants'!$AD$76)))+(ISNUMBER(SEARCH("6pm-9pm",$AS$33))*ISNUMBER(SEARCH("6pm-9pm",'(B) Register of Participants'!$AD$76)))</f>
        <v/>
      </c>
      <c r="Q98" s="20">
        <f>IF(OR(AND($AS$17&lt;&gt;"",$AS$17&lt;&gt;"English",IF($AS$17="Persian",OR(ISNUMBER(SEARCH("Dari",'(B) Register of Participants'!$AR$76)),ISNUMBER(SEARCH("Farsi",'(B) Register of Participants'!$AR$76)),ISNUMBER(SEARCH("Persian",'(B) Register of Participants'!$AR$76)),ISNUMBER(SEARCH("Hazaragi",'(B) Register of Participants'!$AR$76))),ISNUMBER(SEARCH($AS$17,'(B) Register of Participants'!$AR$76)))),AND($AS$20&lt;&gt;"",$AS$20&lt;&gt;"English",IF($AS$20="Persian",OR(ISNUMBER(SEARCH("Dari",'(B) Register of Participants'!$AR$76)),ISNUMBER(SEARCH("Farsi",'(B) Register of Participants'!$AR$76)),ISNUMBER(SEARCH("Persian",'(B) Register of Participants'!$AR$76)),ISNUMBER(SEARCH("Hazaragi",'(B) Register of Participants'!$AR$76))),ISNUMBER(SEARCH($AS$20,'(B) Register of Participants'!$AR$76))))),1,0)</f>
        <v/>
      </c>
      <c r="R98" s="20">
        <f>IF(AND(AH98,AI98,NOT(AJ98),NOT($AS$25),AK98,$AS$26,AM98,AN98,NOT(AL98)),"Yes","No")</f>
        <v/>
      </c>
      <c r="S98" s="20">
        <f>IF(OR(COUNTIF('Engine Lists'!$A:$A,$AS$14&amp;"|"&amp;AO98)&gt;0,COUNTIF('Engine Lists'!$A:$A,$AS$14&amp;"|"&amp;AP98)&gt;0,COUNTIF('Engine Lists'!$A:$A,$AS$15&amp;"|"&amp;AO98)&gt;0,COUNTIF('Engine Lists'!$A:$A,$AS$15&amp;"|"&amp;AP98)&gt;0,COUNTIF('Engine Lists'!$A:$A,$AS$21&amp;"|"&amp;I98)&gt;0),-8,0)</f>
        <v/>
      </c>
      <c r="T98" s="20">
        <f>IF(Q98=1,IF(OR($AS$8="A2",$AS$8="B1"),7,IF(OR($AS$8="B2",$AS$8="C1",$AS$8="C2"),-5,0)),0)</f>
        <v/>
      </c>
      <c r="U98" s="20">
        <f>IF(AND($AS$6=G98,OR($AS$6="Male",$AS$6="Female")),5,0)</f>
        <v/>
      </c>
      <c r="V98" s="20">
        <f>IF(AND($AS$24,$AS$11&lt;&gt;"In-Person",K98&lt;&gt;"In-Person"),-5,0)</f>
        <v/>
      </c>
      <c r="W98" s="20">
        <f>IF(OR($AS$11=K98,$AS$11="Either",K98="Either"),3,0)</f>
        <v/>
      </c>
      <c r="X98" s="20">
        <f>IF(AND($AS$11&lt;&gt;"Online",K98&lt;&gt;"Online",ISNUMBER($AS$22),ISNUMBER(IFERROR(VALUE(M98),"x"))),IF(ABS($AS$22-VALUE(M98))&lt;=50,3,0),0)</f>
        <v/>
      </c>
      <c r="Y98" s="20">
        <f>IF(AND($AS$10&lt;&gt;"",$AS$10=J98),3,0)</f>
        <v/>
      </c>
      <c r="Z98" s="20">
        <f>IF(OR(N($AS$13)&gt;=150,N(O98)&gt;=150),3,0)</f>
        <v/>
      </c>
      <c r="AA98" s="20">
        <f>IF(AND($AS$21&lt;&gt;"",$AS$21&lt;&gt;"NA",$AS$21=I98),2,0)</f>
        <v/>
      </c>
      <c r="AB98" s="20">
        <f>IF(OR(AND($AS$14&lt;&gt;"",$AS$14&lt;&gt;"NA",OR($AS$14=AO98,$AS$14=AP98)),AND($AS$15&lt;&gt;"",OR($AS$15=AO98,$AS$15=AP98))),2,0)</f>
        <v/>
      </c>
      <c r="AC98" s="20">
        <f>IF(AND(ISNUMBER($AS$12),ISNUMBER(N98),ABS($AS$12-N98)&lt;=10),2,0)</f>
        <v/>
      </c>
      <c r="AD98" s="20">
        <f>IF(R98="Yes",SUM(S98:AC98),"")</f>
        <v/>
      </c>
      <c r="AE98" s="20">
        <f>IF(R98="Yes","Score "&amp;AD98&amp;": "&amp;TRIM(IF(S98&lt;&gt;0,"−8 acrimonious; ","")&amp;IF(T98=7,"+7 shared language; ","")&amp;IF(T98=-5,"−5 shared lang(adv); ","")&amp;IF(U98=5,"+5 same-sex; ","")&amp;IF(V98=-5,"−5 online no device; ","")&amp;IF(W98=3,"+3 mode; ","")&amp;IF(X98=3,"+3 proximity; ","")&amp;IF(Y98=3,"+3 category; ","")&amp;IF(Z98=3,"+3 long wait; ","")&amp;IF(AA98=2,"+2 religion; ","")&amp;IF(AB98=2,"+2 nationality; ","")&amp;IF(AC98=2,"+2 age; ","")),"Not eligible: "&amp;IF(NOT(AH98),"tutor not pending/with-capacity",IF(NOT(AI98),"no spare capacity",IF(AJ98,"tutor blacklisted",IF($AS$25,"student blacklisted",IF(NOT(AK98),"tutor vetting incomplete",IF(NOT($AS$26),"student vetting incomplete",IF(NOT(AM98),"no overlapping 3h AEST block",IF(NOT(AN98),"A1 student needs a shared language",IF(AL98,"'do not pair' note present",""))))))))))</f>
        <v/>
      </c>
      <c r="AF98">
        <f>TRIM(IFERROR(LEFT('(B) Register of Participants'!$AR$76,FIND(" (",'(B) Register of Participants'!$AR$76)-1),'(B) Register of Participants'!$AR$76))</f>
        <v/>
      </c>
      <c r="AG98">
        <f>IF(ISNUMBER(SEARCH("Mandarin",'(B) Register of Participants'!$AR$76)),"Mandarin",IF(ISNUMBER(SEARCH("Cantonese",'(B) Register of Participants'!$AR$76)),"Cantonese",IF(OR(AF98="Dari",AF98="Farsi",AF98="Persian",AF98="Hazaragi"),"Persian",AF98)))</f>
        <v/>
      </c>
      <c r="AH98">
        <f>OR(E98="ADM-ACT-UNMAT",E98="ADM-ACT-MAT-CNE")</f>
        <v/>
      </c>
      <c r="AI98">
        <f>F98&gt;0</f>
        <v/>
      </c>
      <c r="AJ98">
        <f>LEFT('(B) Register of Participants'!$L$76,3)="Yes"</f>
        <v/>
      </c>
      <c r="AK98">
        <f>AND(OR(LEFT('(B) Register of Participants'!$AY$76,3)="Yes",LEFT('(B) Register of Participants'!$AY$76,2)="NA"),OR(LEFT('(B) Register of Participants'!$AZ$76,3)="Yes",LEFT('(B) Register of Participants'!$AZ$76,2)="NA"))</f>
        <v/>
      </c>
      <c r="AL98">
        <f>OR(ISNUMBER(SEARCH("do not pair",'(B) Register of Participants'!$BL$76)),ISNUMBER(SEARCH("do not pair",'(B) Register of Participants'!$BM$76)))</f>
        <v/>
      </c>
      <c r="AM98">
        <f>P98&gt;0</f>
        <v/>
      </c>
      <c r="AN98">
        <f>IF($AS$8="A1",Q98=1,TRUE)</f>
        <v/>
      </c>
      <c r="AO98">
        <f>TRIM(IFERROR(LEFT('(B) Register of Participants'!$AP$76,FIND(";",'(B) Register of Participants'!$AP$76)-1),'(B) Register of Participants'!$AP$76))</f>
        <v/>
      </c>
      <c r="AP98">
        <f>IF(ISNUMBER(FIND(";",'(B) Register of Participants'!$AP$76)),TRIM(MID('(B) Register of Participants'!$AP$76,FIND(";",'(B) Register of Participants'!$AP$76)+1,80)),"")</f>
        <v/>
      </c>
    </row>
    <row r="99">
      <c r="B99" s="20">
        <f>IF(R99="Yes",RANK(AD99,$AD$25:$AD$124),"")</f>
        <v/>
      </c>
      <c r="C99" s="20">
        <f>'(B) Register of Participants'!$A$77</f>
        <v/>
      </c>
      <c r="D99" s="20">
        <f>'(B) Register of Participants'!$B$77</f>
        <v/>
      </c>
      <c r="E99" s="20">
        <f>'(B) Register of Participants'!$J$77</f>
        <v/>
      </c>
      <c r="F99" s="20">
        <f>IFERROR('(B) Register of Participants'!$O$77-'(B) Register of Participants'!$P$77,0)</f>
        <v/>
      </c>
      <c r="G99" s="20">
        <f>'(B) Register of Participants'!$AL$77</f>
        <v/>
      </c>
      <c r="H99" s="20">
        <f>'(B) Register of Participants'!$AP$77</f>
        <v/>
      </c>
      <c r="I99" s="20">
        <f>TRIM(IFERROR(LEFT('(B) Register of Participants'!$AS$77,FIND(" (",'(B) Register of Participants'!$AS$77)-1),'(B) Register of Participants'!$AS$77))</f>
        <v/>
      </c>
      <c r="J99" s="20">
        <f>'(B) Register of Participants'!$AT$77</f>
        <v/>
      </c>
      <c r="K99" s="20">
        <f>'(B) Register of Participants'!$AE$77</f>
        <v/>
      </c>
      <c r="L99" s="20">
        <f>'(B) Register of Participants'!$AF$77</f>
        <v/>
      </c>
      <c r="M99" s="20">
        <f>'(B) Register of Participants'!$AJ$77</f>
        <v/>
      </c>
      <c r="N99" s="20">
        <f>'(B) Register of Participants'!$CY$77</f>
        <v/>
      </c>
      <c r="O99" s="20">
        <f>'(B) Register of Participants'!$CW$77</f>
        <v/>
      </c>
      <c r="P99" s="20">
        <f>(ISNUMBER(SEARCH("6am-9am",$AS$27))*ISNUMBER(SEARCH("6am-9am",'(B) Register of Participants'!$X$77)))+(ISNUMBER(SEARCH("9am-12pm",$AS$27))*ISNUMBER(SEARCH("9am-12pm",'(B) Register of Participants'!$X$77)))+(ISNUMBER(SEARCH("12pm-3pm",$AS$27))*ISNUMBER(SEARCH("12pm-3pm",'(B) Register of Participants'!$X$77)))+(ISNUMBER(SEARCH("3pm-6pm",$AS$27))*ISNUMBER(SEARCH("3pm-6pm",'(B) Register of Participants'!$X$77)))+(ISNUMBER(SEARCH("6pm-9pm",$AS$27))*ISNUMBER(SEARCH("6pm-9pm",'(B) Register of Participants'!$X$77)))+(ISNUMBER(SEARCH("6am-9am",$AS$28))*ISNUMBER(SEARCH("6am-9am",'(B) Register of Participants'!$Y$77)))+(ISNUMBER(SEARCH("9am-12pm",$AS$28))*ISNUMBER(SEARCH("9am-12pm",'(B) Register of Participants'!$Y$77)))+(ISNUMBER(SEARCH("12pm-3pm",$AS$28))*ISNUMBER(SEARCH("12pm-3pm",'(B) Register of Participants'!$Y$77)))+(ISNUMBER(SEARCH("3pm-6pm",$AS$28))*ISNUMBER(SEARCH("3pm-6pm",'(B) Register of Participants'!$Y$77)))+(ISNUMBER(SEARCH("6pm-9pm",$AS$28))*ISNUMBER(SEARCH("6pm-9pm",'(B) Register of Participants'!$Y$77)))+(ISNUMBER(SEARCH("6am-9am",$AS$29))*ISNUMBER(SEARCH("6am-9am",'(B) Register of Participants'!$Z$77)))+(ISNUMBER(SEARCH("9am-12pm",$AS$29))*ISNUMBER(SEARCH("9am-12pm",'(B) Register of Participants'!$Z$77)))+(ISNUMBER(SEARCH("12pm-3pm",$AS$29))*ISNUMBER(SEARCH("12pm-3pm",'(B) Register of Participants'!$Z$77)))+(ISNUMBER(SEARCH("3pm-6pm",$AS$29))*ISNUMBER(SEARCH("3pm-6pm",'(B) Register of Participants'!$Z$77)))+(ISNUMBER(SEARCH("6pm-9pm",$AS$29))*ISNUMBER(SEARCH("6pm-9pm",'(B) Register of Participants'!$Z$77)))+(ISNUMBER(SEARCH("6am-9am",$AS$30))*ISNUMBER(SEARCH("6am-9am",'(B) Register of Participants'!$AA$77)))+(ISNUMBER(SEARCH("9am-12pm",$AS$30))*ISNUMBER(SEARCH("9am-12pm",'(B) Register of Participants'!$AA$77)))+(ISNUMBER(SEARCH("12pm-3pm",$AS$30))*ISNUMBER(SEARCH("12pm-3pm",'(B) Register of Participants'!$AA$77)))+(ISNUMBER(SEARCH("3pm-6pm",$AS$30))*ISNUMBER(SEARCH("3pm-6pm",'(B) Register of Participants'!$AA$77)))+(ISNUMBER(SEARCH("6pm-9pm",$AS$30))*ISNUMBER(SEARCH("6pm-9pm",'(B) Register of Participants'!$AA$77)))+(ISNUMBER(SEARCH("6am-9am",$AS$31))*ISNUMBER(SEARCH("6am-9am",'(B) Register of Participants'!$AB$77)))+(ISNUMBER(SEARCH("9am-12pm",$AS$31))*ISNUMBER(SEARCH("9am-12pm",'(B) Register of Participants'!$AB$77)))+(ISNUMBER(SEARCH("12pm-3pm",$AS$31))*ISNUMBER(SEARCH("12pm-3pm",'(B) Register of Participants'!$AB$77)))+(ISNUMBER(SEARCH("3pm-6pm",$AS$31))*ISNUMBER(SEARCH("3pm-6pm",'(B) Register of Participants'!$AB$77)))+(ISNUMBER(SEARCH("6pm-9pm",$AS$31))*ISNUMBER(SEARCH("6pm-9pm",'(B) Register of Participants'!$AB$77)))+(ISNUMBER(SEARCH("6am-9am",$AS$32))*ISNUMBER(SEARCH("6am-9am",'(B) Register of Participants'!$AC$77)))+(ISNUMBER(SEARCH("9am-12pm",$AS$32))*ISNUMBER(SEARCH("9am-12pm",'(B) Register of Participants'!$AC$77)))+(ISNUMBER(SEARCH("12pm-3pm",$AS$32))*ISNUMBER(SEARCH("12pm-3pm",'(B) Register of Participants'!$AC$77)))+(ISNUMBER(SEARCH("3pm-6pm",$AS$32))*ISNUMBER(SEARCH("3pm-6pm",'(B) Register of Participants'!$AC$77)))+(ISNUMBER(SEARCH("6pm-9pm",$AS$32))*ISNUMBER(SEARCH("6pm-9pm",'(B) Register of Participants'!$AC$77)))+(ISNUMBER(SEARCH("6am-9am",$AS$33))*ISNUMBER(SEARCH("6am-9am",'(B) Register of Participants'!$AD$77)))+(ISNUMBER(SEARCH("9am-12pm",$AS$33))*ISNUMBER(SEARCH("9am-12pm",'(B) Register of Participants'!$AD$77)))+(ISNUMBER(SEARCH("12pm-3pm",$AS$33))*ISNUMBER(SEARCH("12pm-3pm",'(B) Register of Participants'!$AD$77)))+(ISNUMBER(SEARCH("3pm-6pm",$AS$33))*ISNUMBER(SEARCH("3pm-6pm",'(B) Register of Participants'!$AD$77)))+(ISNUMBER(SEARCH("6pm-9pm",$AS$33))*ISNUMBER(SEARCH("6pm-9pm",'(B) Register of Participants'!$AD$77)))</f>
        <v/>
      </c>
      <c r="Q99" s="20">
        <f>IF(OR(AND($AS$17&lt;&gt;"",$AS$17&lt;&gt;"English",IF($AS$17="Persian",OR(ISNUMBER(SEARCH("Dari",'(B) Register of Participants'!$AR$77)),ISNUMBER(SEARCH("Farsi",'(B) Register of Participants'!$AR$77)),ISNUMBER(SEARCH("Persian",'(B) Register of Participants'!$AR$77)),ISNUMBER(SEARCH("Hazaragi",'(B) Register of Participants'!$AR$77))),ISNUMBER(SEARCH($AS$17,'(B) Register of Participants'!$AR$77)))),AND($AS$20&lt;&gt;"",$AS$20&lt;&gt;"English",IF($AS$20="Persian",OR(ISNUMBER(SEARCH("Dari",'(B) Register of Participants'!$AR$77)),ISNUMBER(SEARCH("Farsi",'(B) Register of Participants'!$AR$77)),ISNUMBER(SEARCH("Persian",'(B) Register of Participants'!$AR$77)),ISNUMBER(SEARCH("Hazaragi",'(B) Register of Participants'!$AR$77))),ISNUMBER(SEARCH($AS$20,'(B) Register of Participants'!$AR$77))))),1,0)</f>
        <v/>
      </c>
      <c r="R99" s="20">
        <f>IF(AND(AH99,AI99,NOT(AJ99),NOT($AS$25),AK99,$AS$26,AM99,AN99,NOT(AL99)),"Yes","No")</f>
        <v/>
      </c>
      <c r="S99" s="20">
        <f>IF(OR(COUNTIF('Engine Lists'!$A:$A,$AS$14&amp;"|"&amp;AO99)&gt;0,COUNTIF('Engine Lists'!$A:$A,$AS$14&amp;"|"&amp;AP99)&gt;0,COUNTIF('Engine Lists'!$A:$A,$AS$15&amp;"|"&amp;AO99)&gt;0,COUNTIF('Engine Lists'!$A:$A,$AS$15&amp;"|"&amp;AP99)&gt;0,COUNTIF('Engine Lists'!$A:$A,$AS$21&amp;"|"&amp;I99)&gt;0),-8,0)</f>
        <v/>
      </c>
      <c r="T99" s="20">
        <f>IF(Q99=1,IF(OR($AS$8="A2",$AS$8="B1"),7,IF(OR($AS$8="B2",$AS$8="C1",$AS$8="C2"),-5,0)),0)</f>
        <v/>
      </c>
      <c r="U99" s="20">
        <f>IF(AND($AS$6=G99,OR($AS$6="Male",$AS$6="Female")),5,0)</f>
        <v/>
      </c>
      <c r="V99" s="20">
        <f>IF(AND($AS$24,$AS$11&lt;&gt;"In-Person",K99&lt;&gt;"In-Person"),-5,0)</f>
        <v/>
      </c>
      <c r="W99" s="20">
        <f>IF(OR($AS$11=K99,$AS$11="Either",K99="Either"),3,0)</f>
        <v/>
      </c>
      <c r="X99" s="20">
        <f>IF(AND($AS$11&lt;&gt;"Online",K99&lt;&gt;"Online",ISNUMBER($AS$22),ISNUMBER(IFERROR(VALUE(M99),"x"))),IF(ABS($AS$22-VALUE(M99))&lt;=50,3,0),0)</f>
        <v/>
      </c>
      <c r="Y99" s="20">
        <f>IF(AND($AS$10&lt;&gt;"",$AS$10=J99),3,0)</f>
        <v/>
      </c>
      <c r="Z99" s="20">
        <f>IF(OR(N($AS$13)&gt;=150,N(O99)&gt;=150),3,0)</f>
        <v/>
      </c>
      <c r="AA99" s="20">
        <f>IF(AND($AS$21&lt;&gt;"",$AS$21&lt;&gt;"NA",$AS$21=I99),2,0)</f>
        <v/>
      </c>
      <c r="AB99" s="20">
        <f>IF(OR(AND($AS$14&lt;&gt;"",$AS$14&lt;&gt;"NA",OR($AS$14=AO99,$AS$14=AP99)),AND($AS$15&lt;&gt;"",OR($AS$15=AO99,$AS$15=AP99))),2,0)</f>
        <v/>
      </c>
      <c r="AC99" s="20">
        <f>IF(AND(ISNUMBER($AS$12),ISNUMBER(N99),ABS($AS$12-N99)&lt;=10),2,0)</f>
        <v/>
      </c>
      <c r="AD99" s="20">
        <f>IF(R99="Yes",SUM(S99:AC99),"")</f>
        <v/>
      </c>
      <c r="AE99" s="20">
        <f>IF(R99="Yes","Score "&amp;AD99&amp;": "&amp;TRIM(IF(S99&lt;&gt;0,"−8 acrimonious; ","")&amp;IF(T99=7,"+7 shared language; ","")&amp;IF(T99=-5,"−5 shared lang(adv); ","")&amp;IF(U99=5,"+5 same-sex; ","")&amp;IF(V99=-5,"−5 online no device; ","")&amp;IF(W99=3,"+3 mode; ","")&amp;IF(X99=3,"+3 proximity; ","")&amp;IF(Y99=3,"+3 category; ","")&amp;IF(Z99=3,"+3 long wait; ","")&amp;IF(AA99=2,"+2 religion; ","")&amp;IF(AB99=2,"+2 nationality; ","")&amp;IF(AC99=2,"+2 age; ","")),"Not eligible: "&amp;IF(NOT(AH99),"tutor not pending/with-capacity",IF(NOT(AI99),"no spare capacity",IF(AJ99,"tutor blacklisted",IF($AS$25,"student blacklisted",IF(NOT(AK99),"tutor vetting incomplete",IF(NOT($AS$26),"student vetting incomplete",IF(NOT(AM99),"no overlapping 3h AEST block",IF(NOT(AN99),"A1 student needs a shared language",IF(AL99,"'do not pair' note present",""))))))))))</f>
        <v/>
      </c>
      <c r="AF99">
        <f>TRIM(IFERROR(LEFT('(B) Register of Participants'!$AR$77,FIND(" (",'(B) Register of Participants'!$AR$77)-1),'(B) Register of Participants'!$AR$77))</f>
        <v/>
      </c>
      <c r="AG99">
        <f>IF(ISNUMBER(SEARCH("Mandarin",'(B) Register of Participants'!$AR$77)),"Mandarin",IF(ISNUMBER(SEARCH("Cantonese",'(B) Register of Participants'!$AR$77)),"Cantonese",IF(OR(AF99="Dari",AF99="Farsi",AF99="Persian",AF99="Hazaragi"),"Persian",AF99)))</f>
        <v/>
      </c>
      <c r="AH99">
        <f>OR(E99="ADM-ACT-UNMAT",E99="ADM-ACT-MAT-CNE")</f>
        <v/>
      </c>
      <c r="AI99">
        <f>F99&gt;0</f>
        <v/>
      </c>
      <c r="AJ99">
        <f>LEFT('(B) Register of Participants'!$L$77,3)="Yes"</f>
        <v/>
      </c>
      <c r="AK99">
        <f>AND(OR(LEFT('(B) Register of Participants'!$AY$77,3)="Yes",LEFT('(B) Register of Participants'!$AY$77,2)="NA"),OR(LEFT('(B) Register of Participants'!$AZ$77,3)="Yes",LEFT('(B) Register of Participants'!$AZ$77,2)="NA"))</f>
        <v/>
      </c>
      <c r="AL99">
        <f>OR(ISNUMBER(SEARCH("do not pair",'(B) Register of Participants'!$BL$77)),ISNUMBER(SEARCH("do not pair",'(B) Register of Participants'!$BM$77)))</f>
        <v/>
      </c>
      <c r="AM99">
        <f>P99&gt;0</f>
        <v/>
      </c>
      <c r="AN99">
        <f>IF($AS$8="A1",Q99=1,TRUE)</f>
        <v/>
      </c>
      <c r="AO99">
        <f>TRIM(IFERROR(LEFT('(B) Register of Participants'!$AP$77,FIND(";",'(B) Register of Participants'!$AP$77)-1),'(B) Register of Participants'!$AP$77))</f>
        <v/>
      </c>
      <c r="AP99">
        <f>IF(ISNUMBER(FIND(";",'(B) Register of Participants'!$AP$77)),TRIM(MID('(B) Register of Participants'!$AP$77,FIND(";",'(B) Register of Participants'!$AP$77)+1,80)),"")</f>
        <v/>
      </c>
    </row>
    <row r="100">
      <c r="B100" s="20">
        <f>IF(R100="Yes",RANK(AD100,$AD$25:$AD$124),"")</f>
        <v/>
      </c>
      <c r="C100" s="20">
        <f>'(B) Register of Participants'!$A$78</f>
        <v/>
      </c>
      <c r="D100" s="20">
        <f>'(B) Register of Participants'!$B$78</f>
        <v/>
      </c>
      <c r="E100" s="20">
        <f>'(B) Register of Participants'!$J$78</f>
        <v/>
      </c>
      <c r="F100" s="20">
        <f>IFERROR('(B) Register of Participants'!$O$78-'(B) Register of Participants'!$P$78,0)</f>
        <v/>
      </c>
      <c r="G100" s="20">
        <f>'(B) Register of Participants'!$AL$78</f>
        <v/>
      </c>
      <c r="H100" s="20">
        <f>'(B) Register of Participants'!$AP$78</f>
        <v/>
      </c>
      <c r="I100" s="20">
        <f>TRIM(IFERROR(LEFT('(B) Register of Participants'!$AS$78,FIND(" (",'(B) Register of Participants'!$AS$78)-1),'(B) Register of Participants'!$AS$78))</f>
        <v/>
      </c>
      <c r="J100" s="20">
        <f>'(B) Register of Participants'!$AT$78</f>
        <v/>
      </c>
      <c r="K100" s="20">
        <f>'(B) Register of Participants'!$AE$78</f>
        <v/>
      </c>
      <c r="L100" s="20">
        <f>'(B) Register of Participants'!$AF$78</f>
        <v/>
      </c>
      <c r="M100" s="20">
        <f>'(B) Register of Participants'!$AJ$78</f>
        <v/>
      </c>
      <c r="N100" s="20">
        <f>'(B) Register of Participants'!$CY$78</f>
        <v/>
      </c>
      <c r="O100" s="20">
        <f>'(B) Register of Participants'!$CW$78</f>
        <v/>
      </c>
      <c r="P100" s="20">
        <f>(ISNUMBER(SEARCH("6am-9am",$AS$27))*ISNUMBER(SEARCH("6am-9am",'(B) Register of Participants'!$X$78)))+(ISNUMBER(SEARCH("9am-12pm",$AS$27))*ISNUMBER(SEARCH("9am-12pm",'(B) Register of Participants'!$X$78)))+(ISNUMBER(SEARCH("12pm-3pm",$AS$27))*ISNUMBER(SEARCH("12pm-3pm",'(B) Register of Participants'!$X$78)))+(ISNUMBER(SEARCH("3pm-6pm",$AS$27))*ISNUMBER(SEARCH("3pm-6pm",'(B) Register of Participants'!$X$78)))+(ISNUMBER(SEARCH("6pm-9pm",$AS$27))*ISNUMBER(SEARCH("6pm-9pm",'(B) Register of Participants'!$X$78)))+(ISNUMBER(SEARCH("6am-9am",$AS$28))*ISNUMBER(SEARCH("6am-9am",'(B) Register of Participants'!$Y$78)))+(ISNUMBER(SEARCH("9am-12pm",$AS$28))*ISNUMBER(SEARCH("9am-12pm",'(B) Register of Participants'!$Y$78)))+(ISNUMBER(SEARCH("12pm-3pm",$AS$28))*ISNUMBER(SEARCH("12pm-3pm",'(B) Register of Participants'!$Y$78)))+(ISNUMBER(SEARCH("3pm-6pm",$AS$28))*ISNUMBER(SEARCH("3pm-6pm",'(B) Register of Participants'!$Y$78)))+(ISNUMBER(SEARCH("6pm-9pm",$AS$28))*ISNUMBER(SEARCH("6pm-9pm",'(B) Register of Participants'!$Y$78)))+(ISNUMBER(SEARCH("6am-9am",$AS$29))*ISNUMBER(SEARCH("6am-9am",'(B) Register of Participants'!$Z$78)))+(ISNUMBER(SEARCH("9am-12pm",$AS$29))*ISNUMBER(SEARCH("9am-12pm",'(B) Register of Participants'!$Z$78)))+(ISNUMBER(SEARCH("12pm-3pm",$AS$29))*ISNUMBER(SEARCH("12pm-3pm",'(B) Register of Participants'!$Z$78)))+(ISNUMBER(SEARCH("3pm-6pm",$AS$29))*ISNUMBER(SEARCH("3pm-6pm",'(B) Register of Participants'!$Z$78)))+(ISNUMBER(SEARCH("6pm-9pm",$AS$29))*ISNUMBER(SEARCH("6pm-9pm",'(B) Register of Participants'!$Z$78)))+(ISNUMBER(SEARCH("6am-9am",$AS$30))*ISNUMBER(SEARCH("6am-9am",'(B) Register of Participants'!$AA$78)))+(ISNUMBER(SEARCH("9am-12pm",$AS$30))*ISNUMBER(SEARCH("9am-12pm",'(B) Register of Participants'!$AA$78)))+(ISNUMBER(SEARCH("12pm-3pm",$AS$30))*ISNUMBER(SEARCH("12pm-3pm",'(B) Register of Participants'!$AA$78)))+(ISNUMBER(SEARCH("3pm-6pm",$AS$30))*ISNUMBER(SEARCH("3pm-6pm",'(B) Register of Participants'!$AA$78)))+(ISNUMBER(SEARCH("6pm-9pm",$AS$30))*ISNUMBER(SEARCH("6pm-9pm",'(B) Register of Participants'!$AA$78)))+(ISNUMBER(SEARCH("6am-9am",$AS$31))*ISNUMBER(SEARCH("6am-9am",'(B) Register of Participants'!$AB$78)))+(ISNUMBER(SEARCH("9am-12pm",$AS$31))*ISNUMBER(SEARCH("9am-12pm",'(B) Register of Participants'!$AB$78)))+(ISNUMBER(SEARCH("12pm-3pm",$AS$31))*ISNUMBER(SEARCH("12pm-3pm",'(B) Register of Participants'!$AB$78)))+(ISNUMBER(SEARCH("3pm-6pm",$AS$31))*ISNUMBER(SEARCH("3pm-6pm",'(B) Register of Participants'!$AB$78)))+(ISNUMBER(SEARCH("6pm-9pm",$AS$31))*ISNUMBER(SEARCH("6pm-9pm",'(B) Register of Participants'!$AB$78)))+(ISNUMBER(SEARCH("6am-9am",$AS$32))*ISNUMBER(SEARCH("6am-9am",'(B) Register of Participants'!$AC$78)))+(ISNUMBER(SEARCH("9am-12pm",$AS$32))*ISNUMBER(SEARCH("9am-12pm",'(B) Register of Participants'!$AC$78)))+(ISNUMBER(SEARCH("12pm-3pm",$AS$32))*ISNUMBER(SEARCH("12pm-3pm",'(B) Register of Participants'!$AC$78)))+(ISNUMBER(SEARCH("3pm-6pm",$AS$32))*ISNUMBER(SEARCH("3pm-6pm",'(B) Register of Participants'!$AC$78)))+(ISNUMBER(SEARCH("6pm-9pm",$AS$32))*ISNUMBER(SEARCH("6pm-9pm",'(B) Register of Participants'!$AC$78)))+(ISNUMBER(SEARCH("6am-9am",$AS$33))*ISNUMBER(SEARCH("6am-9am",'(B) Register of Participants'!$AD$78)))+(ISNUMBER(SEARCH("9am-12pm",$AS$33))*ISNUMBER(SEARCH("9am-12pm",'(B) Register of Participants'!$AD$78)))+(ISNUMBER(SEARCH("12pm-3pm",$AS$33))*ISNUMBER(SEARCH("12pm-3pm",'(B) Register of Participants'!$AD$78)))+(ISNUMBER(SEARCH("3pm-6pm",$AS$33))*ISNUMBER(SEARCH("3pm-6pm",'(B) Register of Participants'!$AD$78)))+(ISNUMBER(SEARCH("6pm-9pm",$AS$33))*ISNUMBER(SEARCH("6pm-9pm",'(B) Register of Participants'!$AD$78)))</f>
        <v/>
      </c>
      <c r="Q100" s="20">
        <f>IF(OR(AND($AS$17&lt;&gt;"",$AS$17&lt;&gt;"English",IF($AS$17="Persian",OR(ISNUMBER(SEARCH("Dari",'(B) Register of Participants'!$AR$78)),ISNUMBER(SEARCH("Farsi",'(B) Register of Participants'!$AR$78)),ISNUMBER(SEARCH("Persian",'(B) Register of Participants'!$AR$78)),ISNUMBER(SEARCH("Hazaragi",'(B) Register of Participants'!$AR$78))),ISNUMBER(SEARCH($AS$17,'(B) Register of Participants'!$AR$78)))),AND($AS$20&lt;&gt;"",$AS$20&lt;&gt;"English",IF($AS$20="Persian",OR(ISNUMBER(SEARCH("Dari",'(B) Register of Participants'!$AR$78)),ISNUMBER(SEARCH("Farsi",'(B) Register of Participants'!$AR$78)),ISNUMBER(SEARCH("Persian",'(B) Register of Participants'!$AR$78)),ISNUMBER(SEARCH("Hazaragi",'(B) Register of Participants'!$AR$78))),ISNUMBER(SEARCH($AS$20,'(B) Register of Participants'!$AR$78))))),1,0)</f>
        <v/>
      </c>
      <c r="R100" s="20">
        <f>IF(AND(AH100,AI100,NOT(AJ100),NOT($AS$25),AK100,$AS$26,AM100,AN100,NOT(AL100)),"Yes","No")</f>
        <v/>
      </c>
      <c r="S100" s="20">
        <f>IF(OR(COUNTIF('Engine Lists'!$A:$A,$AS$14&amp;"|"&amp;AO100)&gt;0,COUNTIF('Engine Lists'!$A:$A,$AS$14&amp;"|"&amp;AP100)&gt;0,COUNTIF('Engine Lists'!$A:$A,$AS$15&amp;"|"&amp;AO100)&gt;0,COUNTIF('Engine Lists'!$A:$A,$AS$15&amp;"|"&amp;AP100)&gt;0,COUNTIF('Engine Lists'!$A:$A,$AS$21&amp;"|"&amp;I100)&gt;0),-8,0)</f>
        <v/>
      </c>
      <c r="T100" s="20">
        <f>IF(Q100=1,IF(OR($AS$8="A2",$AS$8="B1"),7,IF(OR($AS$8="B2",$AS$8="C1",$AS$8="C2"),-5,0)),0)</f>
        <v/>
      </c>
      <c r="U100" s="20">
        <f>IF(AND($AS$6=G100,OR($AS$6="Male",$AS$6="Female")),5,0)</f>
        <v/>
      </c>
      <c r="V100" s="20">
        <f>IF(AND($AS$24,$AS$11&lt;&gt;"In-Person",K100&lt;&gt;"In-Person"),-5,0)</f>
        <v/>
      </c>
      <c r="W100" s="20">
        <f>IF(OR($AS$11=K100,$AS$11="Either",K100="Either"),3,0)</f>
        <v/>
      </c>
      <c r="X100" s="20">
        <f>IF(AND($AS$11&lt;&gt;"Online",K100&lt;&gt;"Online",ISNUMBER($AS$22),ISNUMBER(IFERROR(VALUE(M100),"x"))),IF(ABS($AS$22-VALUE(M100))&lt;=50,3,0),0)</f>
        <v/>
      </c>
      <c r="Y100" s="20">
        <f>IF(AND($AS$10&lt;&gt;"",$AS$10=J100),3,0)</f>
        <v/>
      </c>
      <c r="Z100" s="20">
        <f>IF(OR(N($AS$13)&gt;=150,N(O100)&gt;=150),3,0)</f>
        <v/>
      </c>
      <c r="AA100" s="20">
        <f>IF(AND($AS$21&lt;&gt;"",$AS$21&lt;&gt;"NA",$AS$21=I100),2,0)</f>
        <v/>
      </c>
      <c r="AB100" s="20">
        <f>IF(OR(AND($AS$14&lt;&gt;"",$AS$14&lt;&gt;"NA",OR($AS$14=AO100,$AS$14=AP100)),AND($AS$15&lt;&gt;"",OR($AS$15=AO100,$AS$15=AP100))),2,0)</f>
        <v/>
      </c>
      <c r="AC100" s="20">
        <f>IF(AND(ISNUMBER($AS$12),ISNUMBER(N100),ABS($AS$12-N100)&lt;=10),2,0)</f>
        <v/>
      </c>
      <c r="AD100" s="20">
        <f>IF(R100="Yes",SUM(S100:AC100),"")</f>
        <v/>
      </c>
      <c r="AE100" s="20">
        <f>IF(R100="Yes","Score "&amp;AD100&amp;": "&amp;TRIM(IF(S100&lt;&gt;0,"−8 acrimonious; ","")&amp;IF(T100=7,"+7 shared language; ","")&amp;IF(T100=-5,"−5 shared lang(adv); ","")&amp;IF(U100=5,"+5 same-sex; ","")&amp;IF(V100=-5,"−5 online no device; ","")&amp;IF(W100=3,"+3 mode; ","")&amp;IF(X100=3,"+3 proximity; ","")&amp;IF(Y100=3,"+3 category; ","")&amp;IF(Z100=3,"+3 long wait; ","")&amp;IF(AA100=2,"+2 religion; ","")&amp;IF(AB100=2,"+2 nationality; ","")&amp;IF(AC100=2,"+2 age; ","")),"Not eligible: "&amp;IF(NOT(AH100),"tutor not pending/with-capacity",IF(NOT(AI100),"no spare capacity",IF(AJ100,"tutor blacklisted",IF($AS$25,"student blacklisted",IF(NOT(AK100),"tutor vetting incomplete",IF(NOT($AS$26),"student vetting incomplete",IF(NOT(AM100),"no overlapping 3h AEST block",IF(NOT(AN100),"A1 student needs a shared language",IF(AL100,"'do not pair' note present",""))))))))))</f>
        <v/>
      </c>
      <c r="AF100">
        <f>TRIM(IFERROR(LEFT('(B) Register of Participants'!$AR$78,FIND(" (",'(B) Register of Participants'!$AR$78)-1),'(B) Register of Participants'!$AR$78))</f>
        <v/>
      </c>
      <c r="AG100">
        <f>IF(ISNUMBER(SEARCH("Mandarin",'(B) Register of Participants'!$AR$78)),"Mandarin",IF(ISNUMBER(SEARCH("Cantonese",'(B) Register of Participants'!$AR$78)),"Cantonese",IF(OR(AF100="Dari",AF100="Farsi",AF100="Persian",AF100="Hazaragi"),"Persian",AF100)))</f>
        <v/>
      </c>
      <c r="AH100">
        <f>OR(E100="ADM-ACT-UNMAT",E100="ADM-ACT-MAT-CNE")</f>
        <v/>
      </c>
      <c r="AI100">
        <f>F100&gt;0</f>
        <v/>
      </c>
      <c r="AJ100">
        <f>LEFT('(B) Register of Participants'!$L$78,3)="Yes"</f>
        <v/>
      </c>
      <c r="AK100">
        <f>AND(OR(LEFT('(B) Register of Participants'!$AY$78,3)="Yes",LEFT('(B) Register of Participants'!$AY$78,2)="NA"),OR(LEFT('(B) Register of Participants'!$AZ$78,3)="Yes",LEFT('(B) Register of Participants'!$AZ$78,2)="NA"))</f>
        <v/>
      </c>
      <c r="AL100">
        <f>OR(ISNUMBER(SEARCH("do not pair",'(B) Register of Participants'!$BL$78)),ISNUMBER(SEARCH("do not pair",'(B) Register of Participants'!$BM$78)))</f>
        <v/>
      </c>
      <c r="AM100">
        <f>P100&gt;0</f>
        <v/>
      </c>
      <c r="AN100">
        <f>IF($AS$8="A1",Q100=1,TRUE)</f>
        <v/>
      </c>
      <c r="AO100">
        <f>TRIM(IFERROR(LEFT('(B) Register of Participants'!$AP$78,FIND(";",'(B) Register of Participants'!$AP$78)-1),'(B) Register of Participants'!$AP$78))</f>
        <v/>
      </c>
      <c r="AP100">
        <f>IF(ISNUMBER(FIND(";",'(B) Register of Participants'!$AP$78)),TRIM(MID('(B) Register of Participants'!$AP$78,FIND(";",'(B) Register of Participants'!$AP$78)+1,80)),"")</f>
        <v/>
      </c>
    </row>
    <row r="101">
      <c r="B101" s="20">
        <f>IF(R101="Yes",RANK(AD101,$AD$25:$AD$124),"")</f>
        <v/>
      </c>
      <c r="C101" s="20">
        <f>'(B) Register of Participants'!$A$79</f>
        <v/>
      </c>
      <c r="D101" s="20">
        <f>'(B) Register of Participants'!$B$79</f>
        <v/>
      </c>
      <c r="E101" s="20">
        <f>'(B) Register of Participants'!$J$79</f>
        <v/>
      </c>
      <c r="F101" s="20">
        <f>IFERROR('(B) Register of Participants'!$O$79-'(B) Register of Participants'!$P$79,0)</f>
        <v/>
      </c>
      <c r="G101" s="20">
        <f>'(B) Register of Participants'!$AL$79</f>
        <v/>
      </c>
      <c r="H101" s="20">
        <f>'(B) Register of Participants'!$AP$79</f>
        <v/>
      </c>
      <c r="I101" s="20">
        <f>TRIM(IFERROR(LEFT('(B) Register of Participants'!$AS$79,FIND(" (",'(B) Register of Participants'!$AS$79)-1),'(B) Register of Participants'!$AS$79))</f>
        <v/>
      </c>
      <c r="J101" s="20">
        <f>'(B) Register of Participants'!$AT$79</f>
        <v/>
      </c>
      <c r="K101" s="20">
        <f>'(B) Register of Participants'!$AE$79</f>
        <v/>
      </c>
      <c r="L101" s="20">
        <f>'(B) Register of Participants'!$AF$79</f>
        <v/>
      </c>
      <c r="M101" s="20">
        <f>'(B) Register of Participants'!$AJ$79</f>
        <v/>
      </c>
      <c r="N101" s="20">
        <f>'(B) Register of Participants'!$CY$79</f>
        <v/>
      </c>
      <c r="O101" s="20">
        <f>'(B) Register of Participants'!$CW$79</f>
        <v/>
      </c>
      <c r="P101" s="20">
        <f>(ISNUMBER(SEARCH("6am-9am",$AS$27))*ISNUMBER(SEARCH("6am-9am",'(B) Register of Participants'!$X$79)))+(ISNUMBER(SEARCH("9am-12pm",$AS$27))*ISNUMBER(SEARCH("9am-12pm",'(B) Register of Participants'!$X$79)))+(ISNUMBER(SEARCH("12pm-3pm",$AS$27))*ISNUMBER(SEARCH("12pm-3pm",'(B) Register of Participants'!$X$79)))+(ISNUMBER(SEARCH("3pm-6pm",$AS$27))*ISNUMBER(SEARCH("3pm-6pm",'(B) Register of Participants'!$X$79)))+(ISNUMBER(SEARCH("6pm-9pm",$AS$27))*ISNUMBER(SEARCH("6pm-9pm",'(B) Register of Participants'!$X$79)))+(ISNUMBER(SEARCH("6am-9am",$AS$28))*ISNUMBER(SEARCH("6am-9am",'(B) Register of Participants'!$Y$79)))+(ISNUMBER(SEARCH("9am-12pm",$AS$28))*ISNUMBER(SEARCH("9am-12pm",'(B) Register of Participants'!$Y$79)))+(ISNUMBER(SEARCH("12pm-3pm",$AS$28))*ISNUMBER(SEARCH("12pm-3pm",'(B) Register of Participants'!$Y$79)))+(ISNUMBER(SEARCH("3pm-6pm",$AS$28))*ISNUMBER(SEARCH("3pm-6pm",'(B) Register of Participants'!$Y$79)))+(ISNUMBER(SEARCH("6pm-9pm",$AS$28))*ISNUMBER(SEARCH("6pm-9pm",'(B) Register of Participants'!$Y$79)))+(ISNUMBER(SEARCH("6am-9am",$AS$29))*ISNUMBER(SEARCH("6am-9am",'(B) Register of Participants'!$Z$79)))+(ISNUMBER(SEARCH("9am-12pm",$AS$29))*ISNUMBER(SEARCH("9am-12pm",'(B) Register of Participants'!$Z$79)))+(ISNUMBER(SEARCH("12pm-3pm",$AS$29))*ISNUMBER(SEARCH("12pm-3pm",'(B) Register of Participants'!$Z$79)))+(ISNUMBER(SEARCH("3pm-6pm",$AS$29))*ISNUMBER(SEARCH("3pm-6pm",'(B) Register of Participants'!$Z$79)))+(ISNUMBER(SEARCH("6pm-9pm",$AS$29))*ISNUMBER(SEARCH("6pm-9pm",'(B) Register of Participants'!$Z$79)))+(ISNUMBER(SEARCH("6am-9am",$AS$30))*ISNUMBER(SEARCH("6am-9am",'(B) Register of Participants'!$AA$79)))+(ISNUMBER(SEARCH("9am-12pm",$AS$30))*ISNUMBER(SEARCH("9am-12pm",'(B) Register of Participants'!$AA$79)))+(ISNUMBER(SEARCH("12pm-3pm",$AS$30))*ISNUMBER(SEARCH("12pm-3pm",'(B) Register of Participants'!$AA$79)))+(ISNUMBER(SEARCH("3pm-6pm",$AS$30))*ISNUMBER(SEARCH("3pm-6pm",'(B) Register of Participants'!$AA$79)))+(ISNUMBER(SEARCH("6pm-9pm",$AS$30))*ISNUMBER(SEARCH("6pm-9pm",'(B) Register of Participants'!$AA$79)))+(ISNUMBER(SEARCH("6am-9am",$AS$31))*ISNUMBER(SEARCH("6am-9am",'(B) Register of Participants'!$AB$79)))+(ISNUMBER(SEARCH("9am-12pm",$AS$31))*ISNUMBER(SEARCH("9am-12pm",'(B) Register of Participants'!$AB$79)))+(ISNUMBER(SEARCH("12pm-3pm",$AS$31))*ISNUMBER(SEARCH("12pm-3pm",'(B) Register of Participants'!$AB$79)))+(ISNUMBER(SEARCH("3pm-6pm",$AS$31))*ISNUMBER(SEARCH("3pm-6pm",'(B) Register of Participants'!$AB$79)))+(ISNUMBER(SEARCH("6pm-9pm",$AS$31))*ISNUMBER(SEARCH("6pm-9pm",'(B) Register of Participants'!$AB$79)))+(ISNUMBER(SEARCH("6am-9am",$AS$32))*ISNUMBER(SEARCH("6am-9am",'(B) Register of Participants'!$AC$79)))+(ISNUMBER(SEARCH("9am-12pm",$AS$32))*ISNUMBER(SEARCH("9am-12pm",'(B) Register of Participants'!$AC$79)))+(ISNUMBER(SEARCH("12pm-3pm",$AS$32))*ISNUMBER(SEARCH("12pm-3pm",'(B) Register of Participants'!$AC$79)))+(ISNUMBER(SEARCH("3pm-6pm",$AS$32))*ISNUMBER(SEARCH("3pm-6pm",'(B) Register of Participants'!$AC$79)))+(ISNUMBER(SEARCH("6pm-9pm",$AS$32))*ISNUMBER(SEARCH("6pm-9pm",'(B) Register of Participants'!$AC$79)))+(ISNUMBER(SEARCH("6am-9am",$AS$33))*ISNUMBER(SEARCH("6am-9am",'(B) Register of Participants'!$AD$79)))+(ISNUMBER(SEARCH("9am-12pm",$AS$33))*ISNUMBER(SEARCH("9am-12pm",'(B) Register of Participants'!$AD$79)))+(ISNUMBER(SEARCH("12pm-3pm",$AS$33))*ISNUMBER(SEARCH("12pm-3pm",'(B) Register of Participants'!$AD$79)))+(ISNUMBER(SEARCH("3pm-6pm",$AS$33))*ISNUMBER(SEARCH("3pm-6pm",'(B) Register of Participants'!$AD$79)))+(ISNUMBER(SEARCH("6pm-9pm",$AS$33))*ISNUMBER(SEARCH("6pm-9pm",'(B) Register of Participants'!$AD$79)))</f>
        <v/>
      </c>
      <c r="Q101" s="20">
        <f>IF(OR(AND($AS$17&lt;&gt;"",$AS$17&lt;&gt;"English",IF($AS$17="Persian",OR(ISNUMBER(SEARCH("Dari",'(B) Register of Participants'!$AR$79)),ISNUMBER(SEARCH("Farsi",'(B) Register of Participants'!$AR$79)),ISNUMBER(SEARCH("Persian",'(B) Register of Participants'!$AR$79)),ISNUMBER(SEARCH("Hazaragi",'(B) Register of Participants'!$AR$79))),ISNUMBER(SEARCH($AS$17,'(B) Register of Participants'!$AR$79)))),AND($AS$20&lt;&gt;"",$AS$20&lt;&gt;"English",IF($AS$20="Persian",OR(ISNUMBER(SEARCH("Dari",'(B) Register of Participants'!$AR$79)),ISNUMBER(SEARCH("Farsi",'(B) Register of Participants'!$AR$79)),ISNUMBER(SEARCH("Persian",'(B) Register of Participants'!$AR$79)),ISNUMBER(SEARCH("Hazaragi",'(B) Register of Participants'!$AR$79))),ISNUMBER(SEARCH($AS$20,'(B) Register of Participants'!$AR$79))))),1,0)</f>
        <v/>
      </c>
      <c r="R101" s="20">
        <f>IF(AND(AH101,AI101,NOT(AJ101),NOT($AS$25),AK101,$AS$26,AM101,AN101,NOT(AL101)),"Yes","No")</f>
        <v/>
      </c>
      <c r="S101" s="20">
        <f>IF(OR(COUNTIF('Engine Lists'!$A:$A,$AS$14&amp;"|"&amp;AO101)&gt;0,COUNTIF('Engine Lists'!$A:$A,$AS$14&amp;"|"&amp;AP101)&gt;0,COUNTIF('Engine Lists'!$A:$A,$AS$15&amp;"|"&amp;AO101)&gt;0,COUNTIF('Engine Lists'!$A:$A,$AS$15&amp;"|"&amp;AP101)&gt;0,COUNTIF('Engine Lists'!$A:$A,$AS$21&amp;"|"&amp;I101)&gt;0),-8,0)</f>
        <v/>
      </c>
      <c r="T101" s="20">
        <f>IF(Q101=1,IF(OR($AS$8="A2",$AS$8="B1"),7,IF(OR($AS$8="B2",$AS$8="C1",$AS$8="C2"),-5,0)),0)</f>
        <v/>
      </c>
      <c r="U101" s="20">
        <f>IF(AND($AS$6=G101,OR($AS$6="Male",$AS$6="Female")),5,0)</f>
        <v/>
      </c>
      <c r="V101" s="20">
        <f>IF(AND($AS$24,$AS$11&lt;&gt;"In-Person",K101&lt;&gt;"In-Person"),-5,0)</f>
        <v/>
      </c>
      <c r="W101" s="20">
        <f>IF(OR($AS$11=K101,$AS$11="Either",K101="Either"),3,0)</f>
        <v/>
      </c>
      <c r="X101" s="20">
        <f>IF(AND($AS$11&lt;&gt;"Online",K101&lt;&gt;"Online",ISNUMBER($AS$22),ISNUMBER(IFERROR(VALUE(M101),"x"))),IF(ABS($AS$22-VALUE(M101))&lt;=50,3,0),0)</f>
        <v/>
      </c>
      <c r="Y101" s="20">
        <f>IF(AND($AS$10&lt;&gt;"",$AS$10=J101),3,0)</f>
        <v/>
      </c>
      <c r="Z101" s="20">
        <f>IF(OR(N($AS$13)&gt;=150,N(O101)&gt;=150),3,0)</f>
        <v/>
      </c>
      <c r="AA101" s="20">
        <f>IF(AND($AS$21&lt;&gt;"",$AS$21&lt;&gt;"NA",$AS$21=I101),2,0)</f>
        <v/>
      </c>
      <c r="AB101" s="20">
        <f>IF(OR(AND($AS$14&lt;&gt;"",$AS$14&lt;&gt;"NA",OR($AS$14=AO101,$AS$14=AP101)),AND($AS$15&lt;&gt;"",OR($AS$15=AO101,$AS$15=AP101))),2,0)</f>
        <v/>
      </c>
      <c r="AC101" s="20">
        <f>IF(AND(ISNUMBER($AS$12),ISNUMBER(N101),ABS($AS$12-N101)&lt;=10),2,0)</f>
        <v/>
      </c>
      <c r="AD101" s="20">
        <f>IF(R101="Yes",SUM(S101:AC101),"")</f>
        <v/>
      </c>
      <c r="AE101" s="20">
        <f>IF(R101="Yes","Score "&amp;AD101&amp;": "&amp;TRIM(IF(S101&lt;&gt;0,"−8 acrimonious; ","")&amp;IF(T101=7,"+7 shared language; ","")&amp;IF(T101=-5,"−5 shared lang(adv); ","")&amp;IF(U101=5,"+5 same-sex; ","")&amp;IF(V101=-5,"−5 online no device; ","")&amp;IF(W101=3,"+3 mode; ","")&amp;IF(X101=3,"+3 proximity; ","")&amp;IF(Y101=3,"+3 category; ","")&amp;IF(Z101=3,"+3 long wait; ","")&amp;IF(AA101=2,"+2 religion; ","")&amp;IF(AB101=2,"+2 nationality; ","")&amp;IF(AC101=2,"+2 age; ","")),"Not eligible: "&amp;IF(NOT(AH101),"tutor not pending/with-capacity",IF(NOT(AI101),"no spare capacity",IF(AJ101,"tutor blacklisted",IF($AS$25,"student blacklisted",IF(NOT(AK101),"tutor vetting incomplete",IF(NOT($AS$26),"student vetting incomplete",IF(NOT(AM101),"no overlapping 3h AEST block",IF(NOT(AN101),"A1 student needs a shared language",IF(AL101,"'do not pair' note present",""))))))))))</f>
        <v/>
      </c>
      <c r="AF101">
        <f>TRIM(IFERROR(LEFT('(B) Register of Participants'!$AR$79,FIND(" (",'(B) Register of Participants'!$AR$79)-1),'(B) Register of Participants'!$AR$79))</f>
        <v/>
      </c>
      <c r="AG101">
        <f>IF(ISNUMBER(SEARCH("Mandarin",'(B) Register of Participants'!$AR$79)),"Mandarin",IF(ISNUMBER(SEARCH("Cantonese",'(B) Register of Participants'!$AR$79)),"Cantonese",IF(OR(AF101="Dari",AF101="Farsi",AF101="Persian",AF101="Hazaragi"),"Persian",AF101)))</f>
        <v/>
      </c>
      <c r="AH101">
        <f>OR(E101="ADM-ACT-UNMAT",E101="ADM-ACT-MAT-CNE")</f>
        <v/>
      </c>
      <c r="AI101">
        <f>F101&gt;0</f>
        <v/>
      </c>
      <c r="AJ101">
        <f>LEFT('(B) Register of Participants'!$L$79,3)="Yes"</f>
        <v/>
      </c>
      <c r="AK101">
        <f>AND(OR(LEFT('(B) Register of Participants'!$AY$79,3)="Yes",LEFT('(B) Register of Participants'!$AY$79,2)="NA"),OR(LEFT('(B) Register of Participants'!$AZ$79,3)="Yes",LEFT('(B) Register of Participants'!$AZ$79,2)="NA"))</f>
        <v/>
      </c>
      <c r="AL101">
        <f>OR(ISNUMBER(SEARCH("do not pair",'(B) Register of Participants'!$BL$79)),ISNUMBER(SEARCH("do not pair",'(B) Register of Participants'!$BM$79)))</f>
        <v/>
      </c>
      <c r="AM101">
        <f>P101&gt;0</f>
        <v/>
      </c>
      <c r="AN101">
        <f>IF($AS$8="A1",Q101=1,TRUE)</f>
        <v/>
      </c>
      <c r="AO101">
        <f>TRIM(IFERROR(LEFT('(B) Register of Participants'!$AP$79,FIND(";",'(B) Register of Participants'!$AP$79)-1),'(B) Register of Participants'!$AP$79))</f>
        <v/>
      </c>
      <c r="AP101">
        <f>IF(ISNUMBER(FIND(";",'(B) Register of Participants'!$AP$79)),TRIM(MID('(B) Register of Participants'!$AP$79,FIND(";",'(B) Register of Participants'!$AP$79)+1,80)),"")</f>
        <v/>
      </c>
    </row>
    <row r="102">
      <c r="B102" s="20">
        <f>IF(R102="Yes",RANK(AD102,$AD$25:$AD$124),"")</f>
        <v/>
      </c>
      <c r="C102" s="20">
        <f>'(B) Register of Participants'!$A$80</f>
        <v/>
      </c>
      <c r="D102" s="20">
        <f>'(B) Register of Participants'!$B$80</f>
        <v/>
      </c>
      <c r="E102" s="20">
        <f>'(B) Register of Participants'!$J$80</f>
        <v/>
      </c>
      <c r="F102" s="20">
        <f>IFERROR('(B) Register of Participants'!$O$80-'(B) Register of Participants'!$P$80,0)</f>
        <v/>
      </c>
      <c r="G102" s="20">
        <f>'(B) Register of Participants'!$AL$80</f>
        <v/>
      </c>
      <c r="H102" s="20">
        <f>'(B) Register of Participants'!$AP$80</f>
        <v/>
      </c>
      <c r="I102" s="20">
        <f>TRIM(IFERROR(LEFT('(B) Register of Participants'!$AS$80,FIND(" (",'(B) Register of Participants'!$AS$80)-1),'(B) Register of Participants'!$AS$80))</f>
        <v/>
      </c>
      <c r="J102" s="20">
        <f>'(B) Register of Participants'!$AT$80</f>
        <v/>
      </c>
      <c r="K102" s="20">
        <f>'(B) Register of Participants'!$AE$80</f>
        <v/>
      </c>
      <c r="L102" s="20">
        <f>'(B) Register of Participants'!$AF$80</f>
        <v/>
      </c>
      <c r="M102" s="20">
        <f>'(B) Register of Participants'!$AJ$80</f>
        <v/>
      </c>
      <c r="N102" s="20">
        <f>'(B) Register of Participants'!$CY$80</f>
        <v/>
      </c>
      <c r="O102" s="20">
        <f>'(B) Register of Participants'!$CW$80</f>
        <v/>
      </c>
      <c r="P102" s="20">
        <f>(ISNUMBER(SEARCH("6am-9am",$AS$27))*ISNUMBER(SEARCH("6am-9am",'(B) Register of Participants'!$X$80)))+(ISNUMBER(SEARCH("9am-12pm",$AS$27))*ISNUMBER(SEARCH("9am-12pm",'(B) Register of Participants'!$X$80)))+(ISNUMBER(SEARCH("12pm-3pm",$AS$27))*ISNUMBER(SEARCH("12pm-3pm",'(B) Register of Participants'!$X$80)))+(ISNUMBER(SEARCH("3pm-6pm",$AS$27))*ISNUMBER(SEARCH("3pm-6pm",'(B) Register of Participants'!$X$80)))+(ISNUMBER(SEARCH("6pm-9pm",$AS$27))*ISNUMBER(SEARCH("6pm-9pm",'(B) Register of Participants'!$X$80)))+(ISNUMBER(SEARCH("6am-9am",$AS$28))*ISNUMBER(SEARCH("6am-9am",'(B) Register of Participants'!$Y$80)))+(ISNUMBER(SEARCH("9am-12pm",$AS$28))*ISNUMBER(SEARCH("9am-12pm",'(B) Register of Participants'!$Y$80)))+(ISNUMBER(SEARCH("12pm-3pm",$AS$28))*ISNUMBER(SEARCH("12pm-3pm",'(B) Register of Participants'!$Y$80)))+(ISNUMBER(SEARCH("3pm-6pm",$AS$28))*ISNUMBER(SEARCH("3pm-6pm",'(B) Register of Participants'!$Y$80)))+(ISNUMBER(SEARCH("6pm-9pm",$AS$28))*ISNUMBER(SEARCH("6pm-9pm",'(B) Register of Participants'!$Y$80)))+(ISNUMBER(SEARCH("6am-9am",$AS$29))*ISNUMBER(SEARCH("6am-9am",'(B) Register of Participants'!$Z$80)))+(ISNUMBER(SEARCH("9am-12pm",$AS$29))*ISNUMBER(SEARCH("9am-12pm",'(B) Register of Participants'!$Z$80)))+(ISNUMBER(SEARCH("12pm-3pm",$AS$29))*ISNUMBER(SEARCH("12pm-3pm",'(B) Register of Participants'!$Z$80)))+(ISNUMBER(SEARCH("3pm-6pm",$AS$29))*ISNUMBER(SEARCH("3pm-6pm",'(B) Register of Participants'!$Z$80)))+(ISNUMBER(SEARCH("6pm-9pm",$AS$29))*ISNUMBER(SEARCH("6pm-9pm",'(B) Register of Participants'!$Z$80)))+(ISNUMBER(SEARCH("6am-9am",$AS$30))*ISNUMBER(SEARCH("6am-9am",'(B) Register of Participants'!$AA$80)))+(ISNUMBER(SEARCH("9am-12pm",$AS$30))*ISNUMBER(SEARCH("9am-12pm",'(B) Register of Participants'!$AA$80)))+(ISNUMBER(SEARCH("12pm-3pm",$AS$30))*ISNUMBER(SEARCH("12pm-3pm",'(B) Register of Participants'!$AA$80)))+(ISNUMBER(SEARCH("3pm-6pm",$AS$30))*ISNUMBER(SEARCH("3pm-6pm",'(B) Register of Participants'!$AA$80)))+(ISNUMBER(SEARCH("6pm-9pm",$AS$30))*ISNUMBER(SEARCH("6pm-9pm",'(B) Register of Participants'!$AA$80)))+(ISNUMBER(SEARCH("6am-9am",$AS$31))*ISNUMBER(SEARCH("6am-9am",'(B) Register of Participants'!$AB$80)))+(ISNUMBER(SEARCH("9am-12pm",$AS$31))*ISNUMBER(SEARCH("9am-12pm",'(B) Register of Participants'!$AB$80)))+(ISNUMBER(SEARCH("12pm-3pm",$AS$31))*ISNUMBER(SEARCH("12pm-3pm",'(B) Register of Participants'!$AB$80)))+(ISNUMBER(SEARCH("3pm-6pm",$AS$31))*ISNUMBER(SEARCH("3pm-6pm",'(B) Register of Participants'!$AB$80)))+(ISNUMBER(SEARCH("6pm-9pm",$AS$31))*ISNUMBER(SEARCH("6pm-9pm",'(B) Register of Participants'!$AB$80)))+(ISNUMBER(SEARCH("6am-9am",$AS$32))*ISNUMBER(SEARCH("6am-9am",'(B) Register of Participants'!$AC$80)))+(ISNUMBER(SEARCH("9am-12pm",$AS$32))*ISNUMBER(SEARCH("9am-12pm",'(B) Register of Participants'!$AC$80)))+(ISNUMBER(SEARCH("12pm-3pm",$AS$32))*ISNUMBER(SEARCH("12pm-3pm",'(B) Register of Participants'!$AC$80)))+(ISNUMBER(SEARCH("3pm-6pm",$AS$32))*ISNUMBER(SEARCH("3pm-6pm",'(B) Register of Participants'!$AC$80)))+(ISNUMBER(SEARCH("6pm-9pm",$AS$32))*ISNUMBER(SEARCH("6pm-9pm",'(B) Register of Participants'!$AC$80)))+(ISNUMBER(SEARCH("6am-9am",$AS$33))*ISNUMBER(SEARCH("6am-9am",'(B) Register of Participants'!$AD$80)))+(ISNUMBER(SEARCH("9am-12pm",$AS$33))*ISNUMBER(SEARCH("9am-12pm",'(B) Register of Participants'!$AD$80)))+(ISNUMBER(SEARCH("12pm-3pm",$AS$33))*ISNUMBER(SEARCH("12pm-3pm",'(B) Register of Participants'!$AD$80)))+(ISNUMBER(SEARCH("3pm-6pm",$AS$33))*ISNUMBER(SEARCH("3pm-6pm",'(B) Register of Participants'!$AD$80)))+(ISNUMBER(SEARCH("6pm-9pm",$AS$33))*ISNUMBER(SEARCH("6pm-9pm",'(B) Register of Participants'!$AD$80)))</f>
        <v/>
      </c>
      <c r="Q102" s="20">
        <f>IF(OR(AND($AS$17&lt;&gt;"",$AS$17&lt;&gt;"English",IF($AS$17="Persian",OR(ISNUMBER(SEARCH("Dari",'(B) Register of Participants'!$AR$80)),ISNUMBER(SEARCH("Farsi",'(B) Register of Participants'!$AR$80)),ISNUMBER(SEARCH("Persian",'(B) Register of Participants'!$AR$80)),ISNUMBER(SEARCH("Hazaragi",'(B) Register of Participants'!$AR$80))),ISNUMBER(SEARCH($AS$17,'(B) Register of Participants'!$AR$80)))),AND($AS$20&lt;&gt;"",$AS$20&lt;&gt;"English",IF($AS$20="Persian",OR(ISNUMBER(SEARCH("Dari",'(B) Register of Participants'!$AR$80)),ISNUMBER(SEARCH("Farsi",'(B) Register of Participants'!$AR$80)),ISNUMBER(SEARCH("Persian",'(B) Register of Participants'!$AR$80)),ISNUMBER(SEARCH("Hazaragi",'(B) Register of Participants'!$AR$80))),ISNUMBER(SEARCH($AS$20,'(B) Register of Participants'!$AR$80))))),1,0)</f>
        <v/>
      </c>
      <c r="R102" s="20">
        <f>IF(AND(AH102,AI102,NOT(AJ102),NOT($AS$25),AK102,$AS$26,AM102,AN102,NOT(AL102)),"Yes","No")</f>
        <v/>
      </c>
      <c r="S102" s="20">
        <f>IF(OR(COUNTIF('Engine Lists'!$A:$A,$AS$14&amp;"|"&amp;AO102)&gt;0,COUNTIF('Engine Lists'!$A:$A,$AS$14&amp;"|"&amp;AP102)&gt;0,COUNTIF('Engine Lists'!$A:$A,$AS$15&amp;"|"&amp;AO102)&gt;0,COUNTIF('Engine Lists'!$A:$A,$AS$15&amp;"|"&amp;AP102)&gt;0,COUNTIF('Engine Lists'!$A:$A,$AS$21&amp;"|"&amp;I102)&gt;0),-8,0)</f>
        <v/>
      </c>
      <c r="T102" s="20">
        <f>IF(Q102=1,IF(OR($AS$8="A2",$AS$8="B1"),7,IF(OR($AS$8="B2",$AS$8="C1",$AS$8="C2"),-5,0)),0)</f>
        <v/>
      </c>
      <c r="U102" s="20">
        <f>IF(AND($AS$6=G102,OR($AS$6="Male",$AS$6="Female")),5,0)</f>
        <v/>
      </c>
      <c r="V102" s="20">
        <f>IF(AND($AS$24,$AS$11&lt;&gt;"In-Person",K102&lt;&gt;"In-Person"),-5,0)</f>
        <v/>
      </c>
      <c r="W102" s="20">
        <f>IF(OR($AS$11=K102,$AS$11="Either",K102="Either"),3,0)</f>
        <v/>
      </c>
      <c r="X102" s="20">
        <f>IF(AND($AS$11&lt;&gt;"Online",K102&lt;&gt;"Online",ISNUMBER($AS$22),ISNUMBER(IFERROR(VALUE(M102),"x"))),IF(ABS($AS$22-VALUE(M102))&lt;=50,3,0),0)</f>
        <v/>
      </c>
      <c r="Y102" s="20">
        <f>IF(AND($AS$10&lt;&gt;"",$AS$10=J102),3,0)</f>
        <v/>
      </c>
      <c r="Z102" s="20">
        <f>IF(OR(N($AS$13)&gt;=150,N(O102)&gt;=150),3,0)</f>
        <v/>
      </c>
      <c r="AA102" s="20">
        <f>IF(AND($AS$21&lt;&gt;"",$AS$21&lt;&gt;"NA",$AS$21=I102),2,0)</f>
        <v/>
      </c>
      <c r="AB102" s="20">
        <f>IF(OR(AND($AS$14&lt;&gt;"",$AS$14&lt;&gt;"NA",OR($AS$14=AO102,$AS$14=AP102)),AND($AS$15&lt;&gt;"",OR($AS$15=AO102,$AS$15=AP102))),2,0)</f>
        <v/>
      </c>
      <c r="AC102" s="20">
        <f>IF(AND(ISNUMBER($AS$12),ISNUMBER(N102),ABS($AS$12-N102)&lt;=10),2,0)</f>
        <v/>
      </c>
      <c r="AD102" s="20">
        <f>IF(R102="Yes",SUM(S102:AC102),"")</f>
        <v/>
      </c>
      <c r="AE102" s="20">
        <f>IF(R102="Yes","Score "&amp;AD102&amp;": "&amp;TRIM(IF(S102&lt;&gt;0,"−8 acrimonious; ","")&amp;IF(T102=7,"+7 shared language; ","")&amp;IF(T102=-5,"−5 shared lang(adv); ","")&amp;IF(U102=5,"+5 same-sex; ","")&amp;IF(V102=-5,"−5 online no device; ","")&amp;IF(W102=3,"+3 mode; ","")&amp;IF(X102=3,"+3 proximity; ","")&amp;IF(Y102=3,"+3 category; ","")&amp;IF(Z102=3,"+3 long wait; ","")&amp;IF(AA102=2,"+2 religion; ","")&amp;IF(AB102=2,"+2 nationality; ","")&amp;IF(AC102=2,"+2 age; ","")),"Not eligible: "&amp;IF(NOT(AH102),"tutor not pending/with-capacity",IF(NOT(AI102),"no spare capacity",IF(AJ102,"tutor blacklisted",IF($AS$25,"student blacklisted",IF(NOT(AK102),"tutor vetting incomplete",IF(NOT($AS$26),"student vetting incomplete",IF(NOT(AM102),"no overlapping 3h AEST block",IF(NOT(AN102),"A1 student needs a shared language",IF(AL102,"'do not pair' note present",""))))))))))</f>
        <v/>
      </c>
      <c r="AF102">
        <f>TRIM(IFERROR(LEFT('(B) Register of Participants'!$AR$80,FIND(" (",'(B) Register of Participants'!$AR$80)-1),'(B) Register of Participants'!$AR$80))</f>
        <v/>
      </c>
      <c r="AG102">
        <f>IF(ISNUMBER(SEARCH("Mandarin",'(B) Register of Participants'!$AR$80)),"Mandarin",IF(ISNUMBER(SEARCH("Cantonese",'(B) Register of Participants'!$AR$80)),"Cantonese",IF(OR(AF102="Dari",AF102="Farsi",AF102="Persian",AF102="Hazaragi"),"Persian",AF102)))</f>
        <v/>
      </c>
      <c r="AH102">
        <f>OR(E102="ADM-ACT-UNMAT",E102="ADM-ACT-MAT-CNE")</f>
        <v/>
      </c>
      <c r="AI102">
        <f>F102&gt;0</f>
        <v/>
      </c>
      <c r="AJ102">
        <f>LEFT('(B) Register of Participants'!$L$80,3)="Yes"</f>
        <v/>
      </c>
      <c r="AK102">
        <f>AND(OR(LEFT('(B) Register of Participants'!$AY$80,3)="Yes",LEFT('(B) Register of Participants'!$AY$80,2)="NA"),OR(LEFT('(B) Register of Participants'!$AZ$80,3)="Yes",LEFT('(B) Register of Participants'!$AZ$80,2)="NA"))</f>
        <v/>
      </c>
      <c r="AL102">
        <f>OR(ISNUMBER(SEARCH("do not pair",'(B) Register of Participants'!$BL$80)),ISNUMBER(SEARCH("do not pair",'(B) Register of Participants'!$BM$80)))</f>
        <v/>
      </c>
      <c r="AM102">
        <f>P102&gt;0</f>
        <v/>
      </c>
      <c r="AN102">
        <f>IF($AS$8="A1",Q102=1,TRUE)</f>
        <v/>
      </c>
      <c r="AO102">
        <f>TRIM(IFERROR(LEFT('(B) Register of Participants'!$AP$80,FIND(";",'(B) Register of Participants'!$AP$80)-1),'(B) Register of Participants'!$AP$80))</f>
        <v/>
      </c>
      <c r="AP102">
        <f>IF(ISNUMBER(FIND(";",'(B) Register of Participants'!$AP$80)),TRIM(MID('(B) Register of Participants'!$AP$80,FIND(";",'(B) Register of Participants'!$AP$80)+1,80)),"")</f>
        <v/>
      </c>
    </row>
    <row r="103">
      <c r="B103" s="20">
        <f>IF(R103="Yes",RANK(AD103,$AD$25:$AD$124),"")</f>
        <v/>
      </c>
      <c r="C103" s="20">
        <f>'(B) Register of Participants'!$A$81</f>
        <v/>
      </c>
      <c r="D103" s="20">
        <f>'(B) Register of Participants'!$B$81</f>
        <v/>
      </c>
      <c r="E103" s="20">
        <f>'(B) Register of Participants'!$J$81</f>
        <v/>
      </c>
      <c r="F103" s="20">
        <f>IFERROR('(B) Register of Participants'!$O$81-'(B) Register of Participants'!$P$81,0)</f>
        <v/>
      </c>
      <c r="G103" s="20">
        <f>'(B) Register of Participants'!$AL$81</f>
        <v/>
      </c>
      <c r="H103" s="20">
        <f>'(B) Register of Participants'!$AP$81</f>
        <v/>
      </c>
      <c r="I103" s="20">
        <f>TRIM(IFERROR(LEFT('(B) Register of Participants'!$AS$81,FIND(" (",'(B) Register of Participants'!$AS$81)-1),'(B) Register of Participants'!$AS$81))</f>
        <v/>
      </c>
      <c r="J103" s="20">
        <f>'(B) Register of Participants'!$AT$81</f>
        <v/>
      </c>
      <c r="K103" s="20">
        <f>'(B) Register of Participants'!$AE$81</f>
        <v/>
      </c>
      <c r="L103" s="20">
        <f>'(B) Register of Participants'!$AF$81</f>
        <v/>
      </c>
      <c r="M103" s="20">
        <f>'(B) Register of Participants'!$AJ$81</f>
        <v/>
      </c>
      <c r="N103" s="20">
        <f>'(B) Register of Participants'!$CY$81</f>
        <v/>
      </c>
      <c r="O103" s="20">
        <f>'(B) Register of Participants'!$CW$81</f>
        <v/>
      </c>
      <c r="P103" s="20">
        <f>(ISNUMBER(SEARCH("6am-9am",$AS$27))*ISNUMBER(SEARCH("6am-9am",'(B) Register of Participants'!$X$81)))+(ISNUMBER(SEARCH("9am-12pm",$AS$27))*ISNUMBER(SEARCH("9am-12pm",'(B) Register of Participants'!$X$81)))+(ISNUMBER(SEARCH("12pm-3pm",$AS$27))*ISNUMBER(SEARCH("12pm-3pm",'(B) Register of Participants'!$X$81)))+(ISNUMBER(SEARCH("3pm-6pm",$AS$27))*ISNUMBER(SEARCH("3pm-6pm",'(B) Register of Participants'!$X$81)))+(ISNUMBER(SEARCH("6pm-9pm",$AS$27))*ISNUMBER(SEARCH("6pm-9pm",'(B) Register of Participants'!$X$81)))+(ISNUMBER(SEARCH("6am-9am",$AS$28))*ISNUMBER(SEARCH("6am-9am",'(B) Register of Participants'!$Y$81)))+(ISNUMBER(SEARCH("9am-12pm",$AS$28))*ISNUMBER(SEARCH("9am-12pm",'(B) Register of Participants'!$Y$81)))+(ISNUMBER(SEARCH("12pm-3pm",$AS$28))*ISNUMBER(SEARCH("12pm-3pm",'(B) Register of Participants'!$Y$81)))+(ISNUMBER(SEARCH("3pm-6pm",$AS$28))*ISNUMBER(SEARCH("3pm-6pm",'(B) Register of Participants'!$Y$81)))+(ISNUMBER(SEARCH("6pm-9pm",$AS$28))*ISNUMBER(SEARCH("6pm-9pm",'(B) Register of Participants'!$Y$81)))+(ISNUMBER(SEARCH("6am-9am",$AS$29))*ISNUMBER(SEARCH("6am-9am",'(B) Register of Participants'!$Z$81)))+(ISNUMBER(SEARCH("9am-12pm",$AS$29))*ISNUMBER(SEARCH("9am-12pm",'(B) Register of Participants'!$Z$81)))+(ISNUMBER(SEARCH("12pm-3pm",$AS$29))*ISNUMBER(SEARCH("12pm-3pm",'(B) Register of Participants'!$Z$81)))+(ISNUMBER(SEARCH("3pm-6pm",$AS$29))*ISNUMBER(SEARCH("3pm-6pm",'(B) Register of Participants'!$Z$81)))+(ISNUMBER(SEARCH("6pm-9pm",$AS$29))*ISNUMBER(SEARCH("6pm-9pm",'(B) Register of Participants'!$Z$81)))+(ISNUMBER(SEARCH("6am-9am",$AS$30))*ISNUMBER(SEARCH("6am-9am",'(B) Register of Participants'!$AA$81)))+(ISNUMBER(SEARCH("9am-12pm",$AS$30))*ISNUMBER(SEARCH("9am-12pm",'(B) Register of Participants'!$AA$81)))+(ISNUMBER(SEARCH("12pm-3pm",$AS$30))*ISNUMBER(SEARCH("12pm-3pm",'(B) Register of Participants'!$AA$81)))+(ISNUMBER(SEARCH("3pm-6pm",$AS$30))*ISNUMBER(SEARCH("3pm-6pm",'(B) Register of Participants'!$AA$81)))+(ISNUMBER(SEARCH("6pm-9pm",$AS$30))*ISNUMBER(SEARCH("6pm-9pm",'(B) Register of Participants'!$AA$81)))+(ISNUMBER(SEARCH("6am-9am",$AS$31))*ISNUMBER(SEARCH("6am-9am",'(B) Register of Participants'!$AB$81)))+(ISNUMBER(SEARCH("9am-12pm",$AS$31))*ISNUMBER(SEARCH("9am-12pm",'(B) Register of Participants'!$AB$81)))+(ISNUMBER(SEARCH("12pm-3pm",$AS$31))*ISNUMBER(SEARCH("12pm-3pm",'(B) Register of Participants'!$AB$81)))+(ISNUMBER(SEARCH("3pm-6pm",$AS$31))*ISNUMBER(SEARCH("3pm-6pm",'(B) Register of Participants'!$AB$81)))+(ISNUMBER(SEARCH("6pm-9pm",$AS$31))*ISNUMBER(SEARCH("6pm-9pm",'(B) Register of Participants'!$AB$81)))+(ISNUMBER(SEARCH("6am-9am",$AS$32))*ISNUMBER(SEARCH("6am-9am",'(B) Register of Participants'!$AC$81)))+(ISNUMBER(SEARCH("9am-12pm",$AS$32))*ISNUMBER(SEARCH("9am-12pm",'(B) Register of Participants'!$AC$81)))+(ISNUMBER(SEARCH("12pm-3pm",$AS$32))*ISNUMBER(SEARCH("12pm-3pm",'(B) Register of Participants'!$AC$81)))+(ISNUMBER(SEARCH("3pm-6pm",$AS$32))*ISNUMBER(SEARCH("3pm-6pm",'(B) Register of Participants'!$AC$81)))+(ISNUMBER(SEARCH("6pm-9pm",$AS$32))*ISNUMBER(SEARCH("6pm-9pm",'(B) Register of Participants'!$AC$81)))+(ISNUMBER(SEARCH("6am-9am",$AS$33))*ISNUMBER(SEARCH("6am-9am",'(B) Register of Participants'!$AD$81)))+(ISNUMBER(SEARCH("9am-12pm",$AS$33))*ISNUMBER(SEARCH("9am-12pm",'(B) Register of Participants'!$AD$81)))+(ISNUMBER(SEARCH("12pm-3pm",$AS$33))*ISNUMBER(SEARCH("12pm-3pm",'(B) Register of Participants'!$AD$81)))+(ISNUMBER(SEARCH("3pm-6pm",$AS$33))*ISNUMBER(SEARCH("3pm-6pm",'(B) Register of Participants'!$AD$81)))+(ISNUMBER(SEARCH("6pm-9pm",$AS$33))*ISNUMBER(SEARCH("6pm-9pm",'(B) Register of Participants'!$AD$81)))</f>
        <v/>
      </c>
      <c r="Q103" s="20">
        <f>IF(OR(AND($AS$17&lt;&gt;"",$AS$17&lt;&gt;"English",IF($AS$17="Persian",OR(ISNUMBER(SEARCH("Dari",'(B) Register of Participants'!$AR$81)),ISNUMBER(SEARCH("Farsi",'(B) Register of Participants'!$AR$81)),ISNUMBER(SEARCH("Persian",'(B) Register of Participants'!$AR$81)),ISNUMBER(SEARCH("Hazaragi",'(B) Register of Participants'!$AR$81))),ISNUMBER(SEARCH($AS$17,'(B) Register of Participants'!$AR$81)))),AND($AS$20&lt;&gt;"",$AS$20&lt;&gt;"English",IF($AS$20="Persian",OR(ISNUMBER(SEARCH("Dari",'(B) Register of Participants'!$AR$81)),ISNUMBER(SEARCH("Farsi",'(B) Register of Participants'!$AR$81)),ISNUMBER(SEARCH("Persian",'(B) Register of Participants'!$AR$81)),ISNUMBER(SEARCH("Hazaragi",'(B) Register of Participants'!$AR$81))),ISNUMBER(SEARCH($AS$20,'(B) Register of Participants'!$AR$81))))),1,0)</f>
        <v/>
      </c>
      <c r="R103" s="20">
        <f>IF(AND(AH103,AI103,NOT(AJ103),NOT($AS$25),AK103,$AS$26,AM103,AN103,NOT(AL103)),"Yes","No")</f>
        <v/>
      </c>
      <c r="S103" s="20">
        <f>IF(OR(COUNTIF('Engine Lists'!$A:$A,$AS$14&amp;"|"&amp;AO103)&gt;0,COUNTIF('Engine Lists'!$A:$A,$AS$14&amp;"|"&amp;AP103)&gt;0,COUNTIF('Engine Lists'!$A:$A,$AS$15&amp;"|"&amp;AO103)&gt;0,COUNTIF('Engine Lists'!$A:$A,$AS$15&amp;"|"&amp;AP103)&gt;0,COUNTIF('Engine Lists'!$A:$A,$AS$21&amp;"|"&amp;I103)&gt;0),-8,0)</f>
        <v/>
      </c>
      <c r="T103" s="20">
        <f>IF(Q103=1,IF(OR($AS$8="A2",$AS$8="B1"),7,IF(OR($AS$8="B2",$AS$8="C1",$AS$8="C2"),-5,0)),0)</f>
        <v/>
      </c>
      <c r="U103" s="20">
        <f>IF(AND($AS$6=G103,OR($AS$6="Male",$AS$6="Female")),5,0)</f>
        <v/>
      </c>
      <c r="V103" s="20">
        <f>IF(AND($AS$24,$AS$11&lt;&gt;"In-Person",K103&lt;&gt;"In-Person"),-5,0)</f>
        <v/>
      </c>
      <c r="W103" s="20">
        <f>IF(OR($AS$11=K103,$AS$11="Either",K103="Either"),3,0)</f>
        <v/>
      </c>
      <c r="X103" s="20">
        <f>IF(AND($AS$11&lt;&gt;"Online",K103&lt;&gt;"Online",ISNUMBER($AS$22),ISNUMBER(IFERROR(VALUE(M103),"x"))),IF(ABS($AS$22-VALUE(M103))&lt;=50,3,0),0)</f>
        <v/>
      </c>
      <c r="Y103" s="20">
        <f>IF(AND($AS$10&lt;&gt;"",$AS$10=J103),3,0)</f>
        <v/>
      </c>
      <c r="Z103" s="20">
        <f>IF(OR(N($AS$13)&gt;=150,N(O103)&gt;=150),3,0)</f>
        <v/>
      </c>
      <c r="AA103" s="20">
        <f>IF(AND($AS$21&lt;&gt;"",$AS$21&lt;&gt;"NA",$AS$21=I103),2,0)</f>
        <v/>
      </c>
      <c r="AB103" s="20">
        <f>IF(OR(AND($AS$14&lt;&gt;"",$AS$14&lt;&gt;"NA",OR($AS$14=AO103,$AS$14=AP103)),AND($AS$15&lt;&gt;"",OR($AS$15=AO103,$AS$15=AP103))),2,0)</f>
        <v/>
      </c>
      <c r="AC103" s="20">
        <f>IF(AND(ISNUMBER($AS$12),ISNUMBER(N103),ABS($AS$12-N103)&lt;=10),2,0)</f>
        <v/>
      </c>
      <c r="AD103" s="20">
        <f>IF(R103="Yes",SUM(S103:AC103),"")</f>
        <v/>
      </c>
      <c r="AE103" s="20">
        <f>IF(R103="Yes","Score "&amp;AD103&amp;": "&amp;TRIM(IF(S103&lt;&gt;0,"−8 acrimonious; ","")&amp;IF(T103=7,"+7 shared language; ","")&amp;IF(T103=-5,"−5 shared lang(adv); ","")&amp;IF(U103=5,"+5 same-sex; ","")&amp;IF(V103=-5,"−5 online no device; ","")&amp;IF(W103=3,"+3 mode; ","")&amp;IF(X103=3,"+3 proximity; ","")&amp;IF(Y103=3,"+3 category; ","")&amp;IF(Z103=3,"+3 long wait; ","")&amp;IF(AA103=2,"+2 religion; ","")&amp;IF(AB103=2,"+2 nationality; ","")&amp;IF(AC103=2,"+2 age; ","")),"Not eligible: "&amp;IF(NOT(AH103),"tutor not pending/with-capacity",IF(NOT(AI103),"no spare capacity",IF(AJ103,"tutor blacklisted",IF($AS$25,"student blacklisted",IF(NOT(AK103),"tutor vetting incomplete",IF(NOT($AS$26),"student vetting incomplete",IF(NOT(AM103),"no overlapping 3h AEST block",IF(NOT(AN103),"A1 student needs a shared language",IF(AL103,"'do not pair' note present",""))))))))))</f>
        <v/>
      </c>
      <c r="AF103">
        <f>TRIM(IFERROR(LEFT('(B) Register of Participants'!$AR$81,FIND(" (",'(B) Register of Participants'!$AR$81)-1),'(B) Register of Participants'!$AR$81))</f>
        <v/>
      </c>
      <c r="AG103">
        <f>IF(ISNUMBER(SEARCH("Mandarin",'(B) Register of Participants'!$AR$81)),"Mandarin",IF(ISNUMBER(SEARCH("Cantonese",'(B) Register of Participants'!$AR$81)),"Cantonese",IF(OR(AF103="Dari",AF103="Farsi",AF103="Persian",AF103="Hazaragi"),"Persian",AF103)))</f>
        <v/>
      </c>
      <c r="AH103">
        <f>OR(E103="ADM-ACT-UNMAT",E103="ADM-ACT-MAT-CNE")</f>
        <v/>
      </c>
      <c r="AI103">
        <f>F103&gt;0</f>
        <v/>
      </c>
      <c r="AJ103">
        <f>LEFT('(B) Register of Participants'!$L$81,3)="Yes"</f>
        <v/>
      </c>
      <c r="AK103">
        <f>AND(OR(LEFT('(B) Register of Participants'!$AY$81,3)="Yes",LEFT('(B) Register of Participants'!$AY$81,2)="NA"),OR(LEFT('(B) Register of Participants'!$AZ$81,3)="Yes",LEFT('(B) Register of Participants'!$AZ$81,2)="NA"))</f>
        <v/>
      </c>
      <c r="AL103">
        <f>OR(ISNUMBER(SEARCH("do not pair",'(B) Register of Participants'!$BL$81)),ISNUMBER(SEARCH("do not pair",'(B) Register of Participants'!$BM$81)))</f>
        <v/>
      </c>
      <c r="AM103">
        <f>P103&gt;0</f>
        <v/>
      </c>
      <c r="AN103">
        <f>IF($AS$8="A1",Q103=1,TRUE)</f>
        <v/>
      </c>
      <c r="AO103">
        <f>TRIM(IFERROR(LEFT('(B) Register of Participants'!$AP$81,FIND(";",'(B) Register of Participants'!$AP$81)-1),'(B) Register of Participants'!$AP$81))</f>
        <v/>
      </c>
      <c r="AP103">
        <f>IF(ISNUMBER(FIND(";",'(B) Register of Participants'!$AP$81)),TRIM(MID('(B) Register of Participants'!$AP$81,FIND(";",'(B) Register of Participants'!$AP$81)+1,80)),"")</f>
        <v/>
      </c>
    </row>
    <row r="104">
      <c r="B104" s="20">
        <f>IF(R104="Yes",RANK(AD104,$AD$25:$AD$124),"")</f>
        <v/>
      </c>
      <c r="C104" s="20">
        <f>'(B) Register of Participants'!$A$82</f>
        <v/>
      </c>
      <c r="D104" s="20">
        <f>'(B) Register of Participants'!$B$82</f>
        <v/>
      </c>
      <c r="E104" s="20">
        <f>'(B) Register of Participants'!$J$82</f>
        <v/>
      </c>
      <c r="F104" s="20">
        <f>IFERROR('(B) Register of Participants'!$O$82-'(B) Register of Participants'!$P$82,0)</f>
        <v/>
      </c>
      <c r="G104" s="20">
        <f>'(B) Register of Participants'!$AL$82</f>
        <v/>
      </c>
      <c r="H104" s="20">
        <f>'(B) Register of Participants'!$AP$82</f>
        <v/>
      </c>
      <c r="I104" s="20">
        <f>TRIM(IFERROR(LEFT('(B) Register of Participants'!$AS$82,FIND(" (",'(B) Register of Participants'!$AS$82)-1),'(B) Register of Participants'!$AS$82))</f>
        <v/>
      </c>
      <c r="J104" s="20">
        <f>'(B) Register of Participants'!$AT$82</f>
        <v/>
      </c>
      <c r="K104" s="20">
        <f>'(B) Register of Participants'!$AE$82</f>
        <v/>
      </c>
      <c r="L104" s="20">
        <f>'(B) Register of Participants'!$AF$82</f>
        <v/>
      </c>
      <c r="M104" s="20">
        <f>'(B) Register of Participants'!$AJ$82</f>
        <v/>
      </c>
      <c r="N104" s="20">
        <f>'(B) Register of Participants'!$CY$82</f>
        <v/>
      </c>
      <c r="O104" s="20">
        <f>'(B) Register of Participants'!$CW$82</f>
        <v/>
      </c>
      <c r="P104" s="20">
        <f>(ISNUMBER(SEARCH("6am-9am",$AS$27))*ISNUMBER(SEARCH("6am-9am",'(B) Register of Participants'!$X$82)))+(ISNUMBER(SEARCH("9am-12pm",$AS$27))*ISNUMBER(SEARCH("9am-12pm",'(B) Register of Participants'!$X$82)))+(ISNUMBER(SEARCH("12pm-3pm",$AS$27))*ISNUMBER(SEARCH("12pm-3pm",'(B) Register of Participants'!$X$82)))+(ISNUMBER(SEARCH("3pm-6pm",$AS$27))*ISNUMBER(SEARCH("3pm-6pm",'(B) Register of Participants'!$X$82)))+(ISNUMBER(SEARCH("6pm-9pm",$AS$27))*ISNUMBER(SEARCH("6pm-9pm",'(B) Register of Participants'!$X$82)))+(ISNUMBER(SEARCH("6am-9am",$AS$28))*ISNUMBER(SEARCH("6am-9am",'(B) Register of Participants'!$Y$82)))+(ISNUMBER(SEARCH("9am-12pm",$AS$28))*ISNUMBER(SEARCH("9am-12pm",'(B) Register of Participants'!$Y$82)))+(ISNUMBER(SEARCH("12pm-3pm",$AS$28))*ISNUMBER(SEARCH("12pm-3pm",'(B) Register of Participants'!$Y$82)))+(ISNUMBER(SEARCH("3pm-6pm",$AS$28))*ISNUMBER(SEARCH("3pm-6pm",'(B) Register of Participants'!$Y$82)))+(ISNUMBER(SEARCH("6pm-9pm",$AS$28))*ISNUMBER(SEARCH("6pm-9pm",'(B) Register of Participants'!$Y$82)))+(ISNUMBER(SEARCH("6am-9am",$AS$29))*ISNUMBER(SEARCH("6am-9am",'(B) Register of Participants'!$Z$82)))+(ISNUMBER(SEARCH("9am-12pm",$AS$29))*ISNUMBER(SEARCH("9am-12pm",'(B) Register of Participants'!$Z$82)))+(ISNUMBER(SEARCH("12pm-3pm",$AS$29))*ISNUMBER(SEARCH("12pm-3pm",'(B) Register of Participants'!$Z$82)))+(ISNUMBER(SEARCH("3pm-6pm",$AS$29))*ISNUMBER(SEARCH("3pm-6pm",'(B) Register of Participants'!$Z$82)))+(ISNUMBER(SEARCH("6pm-9pm",$AS$29))*ISNUMBER(SEARCH("6pm-9pm",'(B) Register of Participants'!$Z$82)))+(ISNUMBER(SEARCH("6am-9am",$AS$30))*ISNUMBER(SEARCH("6am-9am",'(B) Register of Participants'!$AA$82)))+(ISNUMBER(SEARCH("9am-12pm",$AS$30))*ISNUMBER(SEARCH("9am-12pm",'(B) Register of Participants'!$AA$82)))+(ISNUMBER(SEARCH("12pm-3pm",$AS$30))*ISNUMBER(SEARCH("12pm-3pm",'(B) Register of Participants'!$AA$82)))+(ISNUMBER(SEARCH("3pm-6pm",$AS$30))*ISNUMBER(SEARCH("3pm-6pm",'(B) Register of Participants'!$AA$82)))+(ISNUMBER(SEARCH("6pm-9pm",$AS$30))*ISNUMBER(SEARCH("6pm-9pm",'(B) Register of Participants'!$AA$82)))+(ISNUMBER(SEARCH("6am-9am",$AS$31))*ISNUMBER(SEARCH("6am-9am",'(B) Register of Participants'!$AB$82)))+(ISNUMBER(SEARCH("9am-12pm",$AS$31))*ISNUMBER(SEARCH("9am-12pm",'(B) Register of Participants'!$AB$82)))+(ISNUMBER(SEARCH("12pm-3pm",$AS$31))*ISNUMBER(SEARCH("12pm-3pm",'(B) Register of Participants'!$AB$82)))+(ISNUMBER(SEARCH("3pm-6pm",$AS$31))*ISNUMBER(SEARCH("3pm-6pm",'(B) Register of Participants'!$AB$82)))+(ISNUMBER(SEARCH("6pm-9pm",$AS$31))*ISNUMBER(SEARCH("6pm-9pm",'(B) Register of Participants'!$AB$82)))+(ISNUMBER(SEARCH("6am-9am",$AS$32))*ISNUMBER(SEARCH("6am-9am",'(B) Register of Participants'!$AC$82)))+(ISNUMBER(SEARCH("9am-12pm",$AS$32))*ISNUMBER(SEARCH("9am-12pm",'(B) Register of Participants'!$AC$82)))+(ISNUMBER(SEARCH("12pm-3pm",$AS$32))*ISNUMBER(SEARCH("12pm-3pm",'(B) Register of Participants'!$AC$82)))+(ISNUMBER(SEARCH("3pm-6pm",$AS$32))*ISNUMBER(SEARCH("3pm-6pm",'(B) Register of Participants'!$AC$82)))+(ISNUMBER(SEARCH("6pm-9pm",$AS$32))*ISNUMBER(SEARCH("6pm-9pm",'(B) Register of Participants'!$AC$82)))+(ISNUMBER(SEARCH("6am-9am",$AS$33))*ISNUMBER(SEARCH("6am-9am",'(B) Register of Participants'!$AD$82)))+(ISNUMBER(SEARCH("9am-12pm",$AS$33))*ISNUMBER(SEARCH("9am-12pm",'(B) Register of Participants'!$AD$82)))+(ISNUMBER(SEARCH("12pm-3pm",$AS$33))*ISNUMBER(SEARCH("12pm-3pm",'(B) Register of Participants'!$AD$82)))+(ISNUMBER(SEARCH("3pm-6pm",$AS$33))*ISNUMBER(SEARCH("3pm-6pm",'(B) Register of Participants'!$AD$82)))+(ISNUMBER(SEARCH("6pm-9pm",$AS$33))*ISNUMBER(SEARCH("6pm-9pm",'(B) Register of Participants'!$AD$82)))</f>
        <v/>
      </c>
      <c r="Q104" s="20">
        <f>IF(OR(AND($AS$17&lt;&gt;"",$AS$17&lt;&gt;"English",IF($AS$17="Persian",OR(ISNUMBER(SEARCH("Dari",'(B) Register of Participants'!$AR$82)),ISNUMBER(SEARCH("Farsi",'(B) Register of Participants'!$AR$82)),ISNUMBER(SEARCH("Persian",'(B) Register of Participants'!$AR$82)),ISNUMBER(SEARCH("Hazaragi",'(B) Register of Participants'!$AR$82))),ISNUMBER(SEARCH($AS$17,'(B) Register of Participants'!$AR$82)))),AND($AS$20&lt;&gt;"",$AS$20&lt;&gt;"English",IF($AS$20="Persian",OR(ISNUMBER(SEARCH("Dari",'(B) Register of Participants'!$AR$82)),ISNUMBER(SEARCH("Farsi",'(B) Register of Participants'!$AR$82)),ISNUMBER(SEARCH("Persian",'(B) Register of Participants'!$AR$82)),ISNUMBER(SEARCH("Hazaragi",'(B) Register of Participants'!$AR$82))),ISNUMBER(SEARCH($AS$20,'(B) Register of Participants'!$AR$82))))),1,0)</f>
        <v/>
      </c>
      <c r="R104" s="20">
        <f>IF(AND(AH104,AI104,NOT(AJ104),NOT($AS$25),AK104,$AS$26,AM104,AN104,NOT(AL104)),"Yes","No")</f>
        <v/>
      </c>
      <c r="S104" s="20">
        <f>IF(OR(COUNTIF('Engine Lists'!$A:$A,$AS$14&amp;"|"&amp;AO104)&gt;0,COUNTIF('Engine Lists'!$A:$A,$AS$14&amp;"|"&amp;AP104)&gt;0,COUNTIF('Engine Lists'!$A:$A,$AS$15&amp;"|"&amp;AO104)&gt;0,COUNTIF('Engine Lists'!$A:$A,$AS$15&amp;"|"&amp;AP104)&gt;0,COUNTIF('Engine Lists'!$A:$A,$AS$21&amp;"|"&amp;I104)&gt;0),-8,0)</f>
        <v/>
      </c>
      <c r="T104" s="20">
        <f>IF(Q104=1,IF(OR($AS$8="A2",$AS$8="B1"),7,IF(OR($AS$8="B2",$AS$8="C1",$AS$8="C2"),-5,0)),0)</f>
        <v/>
      </c>
      <c r="U104" s="20">
        <f>IF(AND($AS$6=G104,OR($AS$6="Male",$AS$6="Female")),5,0)</f>
        <v/>
      </c>
      <c r="V104" s="20">
        <f>IF(AND($AS$24,$AS$11&lt;&gt;"In-Person",K104&lt;&gt;"In-Person"),-5,0)</f>
        <v/>
      </c>
      <c r="W104" s="20">
        <f>IF(OR($AS$11=K104,$AS$11="Either",K104="Either"),3,0)</f>
        <v/>
      </c>
      <c r="X104" s="20">
        <f>IF(AND($AS$11&lt;&gt;"Online",K104&lt;&gt;"Online",ISNUMBER($AS$22),ISNUMBER(IFERROR(VALUE(M104),"x"))),IF(ABS($AS$22-VALUE(M104))&lt;=50,3,0),0)</f>
        <v/>
      </c>
      <c r="Y104" s="20">
        <f>IF(AND($AS$10&lt;&gt;"",$AS$10=J104),3,0)</f>
        <v/>
      </c>
      <c r="Z104" s="20">
        <f>IF(OR(N($AS$13)&gt;=150,N(O104)&gt;=150),3,0)</f>
        <v/>
      </c>
      <c r="AA104" s="20">
        <f>IF(AND($AS$21&lt;&gt;"",$AS$21&lt;&gt;"NA",$AS$21=I104),2,0)</f>
        <v/>
      </c>
      <c r="AB104" s="20">
        <f>IF(OR(AND($AS$14&lt;&gt;"",$AS$14&lt;&gt;"NA",OR($AS$14=AO104,$AS$14=AP104)),AND($AS$15&lt;&gt;"",OR($AS$15=AO104,$AS$15=AP104))),2,0)</f>
        <v/>
      </c>
      <c r="AC104" s="20">
        <f>IF(AND(ISNUMBER($AS$12),ISNUMBER(N104),ABS($AS$12-N104)&lt;=10),2,0)</f>
        <v/>
      </c>
      <c r="AD104" s="20">
        <f>IF(R104="Yes",SUM(S104:AC104),"")</f>
        <v/>
      </c>
      <c r="AE104" s="20">
        <f>IF(R104="Yes","Score "&amp;AD104&amp;": "&amp;TRIM(IF(S104&lt;&gt;0,"−8 acrimonious; ","")&amp;IF(T104=7,"+7 shared language; ","")&amp;IF(T104=-5,"−5 shared lang(adv); ","")&amp;IF(U104=5,"+5 same-sex; ","")&amp;IF(V104=-5,"−5 online no device; ","")&amp;IF(W104=3,"+3 mode; ","")&amp;IF(X104=3,"+3 proximity; ","")&amp;IF(Y104=3,"+3 category; ","")&amp;IF(Z104=3,"+3 long wait; ","")&amp;IF(AA104=2,"+2 religion; ","")&amp;IF(AB104=2,"+2 nationality; ","")&amp;IF(AC104=2,"+2 age; ","")),"Not eligible: "&amp;IF(NOT(AH104),"tutor not pending/with-capacity",IF(NOT(AI104),"no spare capacity",IF(AJ104,"tutor blacklisted",IF($AS$25,"student blacklisted",IF(NOT(AK104),"tutor vetting incomplete",IF(NOT($AS$26),"student vetting incomplete",IF(NOT(AM104),"no overlapping 3h AEST block",IF(NOT(AN104),"A1 student needs a shared language",IF(AL104,"'do not pair' note present",""))))))))))</f>
        <v/>
      </c>
      <c r="AF104">
        <f>TRIM(IFERROR(LEFT('(B) Register of Participants'!$AR$82,FIND(" (",'(B) Register of Participants'!$AR$82)-1),'(B) Register of Participants'!$AR$82))</f>
        <v/>
      </c>
      <c r="AG104">
        <f>IF(ISNUMBER(SEARCH("Mandarin",'(B) Register of Participants'!$AR$82)),"Mandarin",IF(ISNUMBER(SEARCH("Cantonese",'(B) Register of Participants'!$AR$82)),"Cantonese",IF(OR(AF104="Dari",AF104="Farsi",AF104="Persian",AF104="Hazaragi"),"Persian",AF104)))</f>
        <v/>
      </c>
      <c r="AH104">
        <f>OR(E104="ADM-ACT-UNMAT",E104="ADM-ACT-MAT-CNE")</f>
        <v/>
      </c>
      <c r="AI104">
        <f>F104&gt;0</f>
        <v/>
      </c>
      <c r="AJ104">
        <f>LEFT('(B) Register of Participants'!$L$82,3)="Yes"</f>
        <v/>
      </c>
      <c r="AK104">
        <f>AND(OR(LEFT('(B) Register of Participants'!$AY$82,3)="Yes",LEFT('(B) Register of Participants'!$AY$82,2)="NA"),OR(LEFT('(B) Register of Participants'!$AZ$82,3)="Yes",LEFT('(B) Register of Participants'!$AZ$82,2)="NA"))</f>
        <v/>
      </c>
      <c r="AL104">
        <f>OR(ISNUMBER(SEARCH("do not pair",'(B) Register of Participants'!$BL$82)),ISNUMBER(SEARCH("do not pair",'(B) Register of Participants'!$BM$82)))</f>
        <v/>
      </c>
      <c r="AM104">
        <f>P104&gt;0</f>
        <v/>
      </c>
      <c r="AN104">
        <f>IF($AS$8="A1",Q104=1,TRUE)</f>
        <v/>
      </c>
      <c r="AO104">
        <f>TRIM(IFERROR(LEFT('(B) Register of Participants'!$AP$82,FIND(";",'(B) Register of Participants'!$AP$82)-1),'(B) Register of Participants'!$AP$82))</f>
        <v/>
      </c>
      <c r="AP104">
        <f>IF(ISNUMBER(FIND(";",'(B) Register of Participants'!$AP$82)),TRIM(MID('(B) Register of Participants'!$AP$82,FIND(";",'(B) Register of Participants'!$AP$82)+1,80)),"")</f>
        <v/>
      </c>
    </row>
    <row r="105">
      <c r="B105" s="20">
        <f>IF(R105="Yes",RANK(AD105,$AD$25:$AD$124),"")</f>
        <v/>
      </c>
      <c r="C105" s="20">
        <f>'(B) Register of Participants'!$A$83</f>
        <v/>
      </c>
      <c r="D105" s="20">
        <f>'(B) Register of Participants'!$B$83</f>
        <v/>
      </c>
      <c r="E105" s="20">
        <f>'(B) Register of Participants'!$J$83</f>
        <v/>
      </c>
      <c r="F105" s="20">
        <f>IFERROR('(B) Register of Participants'!$O$83-'(B) Register of Participants'!$P$83,0)</f>
        <v/>
      </c>
      <c r="G105" s="20">
        <f>'(B) Register of Participants'!$AL$83</f>
        <v/>
      </c>
      <c r="H105" s="20">
        <f>'(B) Register of Participants'!$AP$83</f>
        <v/>
      </c>
      <c r="I105" s="20">
        <f>TRIM(IFERROR(LEFT('(B) Register of Participants'!$AS$83,FIND(" (",'(B) Register of Participants'!$AS$83)-1),'(B) Register of Participants'!$AS$83))</f>
        <v/>
      </c>
      <c r="J105" s="20">
        <f>'(B) Register of Participants'!$AT$83</f>
        <v/>
      </c>
      <c r="K105" s="20">
        <f>'(B) Register of Participants'!$AE$83</f>
        <v/>
      </c>
      <c r="L105" s="20">
        <f>'(B) Register of Participants'!$AF$83</f>
        <v/>
      </c>
      <c r="M105" s="20">
        <f>'(B) Register of Participants'!$AJ$83</f>
        <v/>
      </c>
      <c r="N105" s="20">
        <f>'(B) Register of Participants'!$CY$83</f>
        <v/>
      </c>
      <c r="O105" s="20">
        <f>'(B) Register of Participants'!$CW$83</f>
        <v/>
      </c>
      <c r="P105" s="20">
        <f>(ISNUMBER(SEARCH("6am-9am",$AS$27))*ISNUMBER(SEARCH("6am-9am",'(B) Register of Participants'!$X$83)))+(ISNUMBER(SEARCH("9am-12pm",$AS$27))*ISNUMBER(SEARCH("9am-12pm",'(B) Register of Participants'!$X$83)))+(ISNUMBER(SEARCH("12pm-3pm",$AS$27))*ISNUMBER(SEARCH("12pm-3pm",'(B) Register of Participants'!$X$83)))+(ISNUMBER(SEARCH("3pm-6pm",$AS$27))*ISNUMBER(SEARCH("3pm-6pm",'(B) Register of Participants'!$X$83)))+(ISNUMBER(SEARCH("6pm-9pm",$AS$27))*ISNUMBER(SEARCH("6pm-9pm",'(B) Register of Participants'!$X$83)))+(ISNUMBER(SEARCH("6am-9am",$AS$28))*ISNUMBER(SEARCH("6am-9am",'(B) Register of Participants'!$Y$83)))+(ISNUMBER(SEARCH("9am-12pm",$AS$28))*ISNUMBER(SEARCH("9am-12pm",'(B) Register of Participants'!$Y$83)))+(ISNUMBER(SEARCH("12pm-3pm",$AS$28))*ISNUMBER(SEARCH("12pm-3pm",'(B) Register of Participants'!$Y$83)))+(ISNUMBER(SEARCH("3pm-6pm",$AS$28))*ISNUMBER(SEARCH("3pm-6pm",'(B) Register of Participants'!$Y$83)))+(ISNUMBER(SEARCH("6pm-9pm",$AS$28))*ISNUMBER(SEARCH("6pm-9pm",'(B) Register of Participants'!$Y$83)))+(ISNUMBER(SEARCH("6am-9am",$AS$29))*ISNUMBER(SEARCH("6am-9am",'(B) Register of Participants'!$Z$83)))+(ISNUMBER(SEARCH("9am-12pm",$AS$29))*ISNUMBER(SEARCH("9am-12pm",'(B) Register of Participants'!$Z$83)))+(ISNUMBER(SEARCH("12pm-3pm",$AS$29))*ISNUMBER(SEARCH("12pm-3pm",'(B) Register of Participants'!$Z$83)))+(ISNUMBER(SEARCH("3pm-6pm",$AS$29))*ISNUMBER(SEARCH("3pm-6pm",'(B) Register of Participants'!$Z$83)))+(ISNUMBER(SEARCH("6pm-9pm",$AS$29))*ISNUMBER(SEARCH("6pm-9pm",'(B) Register of Participants'!$Z$83)))+(ISNUMBER(SEARCH("6am-9am",$AS$30))*ISNUMBER(SEARCH("6am-9am",'(B) Register of Participants'!$AA$83)))+(ISNUMBER(SEARCH("9am-12pm",$AS$30))*ISNUMBER(SEARCH("9am-12pm",'(B) Register of Participants'!$AA$83)))+(ISNUMBER(SEARCH("12pm-3pm",$AS$30))*ISNUMBER(SEARCH("12pm-3pm",'(B) Register of Participants'!$AA$83)))+(ISNUMBER(SEARCH("3pm-6pm",$AS$30))*ISNUMBER(SEARCH("3pm-6pm",'(B) Register of Participants'!$AA$83)))+(ISNUMBER(SEARCH("6pm-9pm",$AS$30))*ISNUMBER(SEARCH("6pm-9pm",'(B) Register of Participants'!$AA$83)))+(ISNUMBER(SEARCH("6am-9am",$AS$31))*ISNUMBER(SEARCH("6am-9am",'(B) Register of Participants'!$AB$83)))+(ISNUMBER(SEARCH("9am-12pm",$AS$31))*ISNUMBER(SEARCH("9am-12pm",'(B) Register of Participants'!$AB$83)))+(ISNUMBER(SEARCH("12pm-3pm",$AS$31))*ISNUMBER(SEARCH("12pm-3pm",'(B) Register of Participants'!$AB$83)))+(ISNUMBER(SEARCH("3pm-6pm",$AS$31))*ISNUMBER(SEARCH("3pm-6pm",'(B) Register of Participants'!$AB$83)))+(ISNUMBER(SEARCH("6pm-9pm",$AS$31))*ISNUMBER(SEARCH("6pm-9pm",'(B) Register of Participants'!$AB$83)))+(ISNUMBER(SEARCH("6am-9am",$AS$32))*ISNUMBER(SEARCH("6am-9am",'(B) Register of Participants'!$AC$83)))+(ISNUMBER(SEARCH("9am-12pm",$AS$32))*ISNUMBER(SEARCH("9am-12pm",'(B) Register of Participants'!$AC$83)))+(ISNUMBER(SEARCH("12pm-3pm",$AS$32))*ISNUMBER(SEARCH("12pm-3pm",'(B) Register of Participants'!$AC$83)))+(ISNUMBER(SEARCH("3pm-6pm",$AS$32))*ISNUMBER(SEARCH("3pm-6pm",'(B) Register of Participants'!$AC$83)))+(ISNUMBER(SEARCH("6pm-9pm",$AS$32))*ISNUMBER(SEARCH("6pm-9pm",'(B) Register of Participants'!$AC$83)))+(ISNUMBER(SEARCH("6am-9am",$AS$33))*ISNUMBER(SEARCH("6am-9am",'(B) Register of Participants'!$AD$83)))+(ISNUMBER(SEARCH("9am-12pm",$AS$33))*ISNUMBER(SEARCH("9am-12pm",'(B) Register of Participants'!$AD$83)))+(ISNUMBER(SEARCH("12pm-3pm",$AS$33))*ISNUMBER(SEARCH("12pm-3pm",'(B) Register of Participants'!$AD$83)))+(ISNUMBER(SEARCH("3pm-6pm",$AS$33))*ISNUMBER(SEARCH("3pm-6pm",'(B) Register of Participants'!$AD$83)))+(ISNUMBER(SEARCH("6pm-9pm",$AS$33))*ISNUMBER(SEARCH("6pm-9pm",'(B) Register of Participants'!$AD$83)))</f>
        <v/>
      </c>
      <c r="Q105" s="20">
        <f>IF(OR(AND($AS$17&lt;&gt;"",$AS$17&lt;&gt;"English",IF($AS$17="Persian",OR(ISNUMBER(SEARCH("Dari",'(B) Register of Participants'!$AR$83)),ISNUMBER(SEARCH("Farsi",'(B) Register of Participants'!$AR$83)),ISNUMBER(SEARCH("Persian",'(B) Register of Participants'!$AR$83)),ISNUMBER(SEARCH("Hazaragi",'(B) Register of Participants'!$AR$83))),ISNUMBER(SEARCH($AS$17,'(B) Register of Participants'!$AR$83)))),AND($AS$20&lt;&gt;"",$AS$20&lt;&gt;"English",IF($AS$20="Persian",OR(ISNUMBER(SEARCH("Dari",'(B) Register of Participants'!$AR$83)),ISNUMBER(SEARCH("Farsi",'(B) Register of Participants'!$AR$83)),ISNUMBER(SEARCH("Persian",'(B) Register of Participants'!$AR$83)),ISNUMBER(SEARCH("Hazaragi",'(B) Register of Participants'!$AR$83))),ISNUMBER(SEARCH($AS$20,'(B) Register of Participants'!$AR$83))))),1,0)</f>
        <v/>
      </c>
      <c r="R105" s="20">
        <f>IF(AND(AH105,AI105,NOT(AJ105),NOT($AS$25),AK105,$AS$26,AM105,AN105,NOT(AL105)),"Yes","No")</f>
        <v/>
      </c>
      <c r="S105" s="20">
        <f>IF(OR(COUNTIF('Engine Lists'!$A:$A,$AS$14&amp;"|"&amp;AO105)&gt;0,COUNTIF('Engine Lists'!$A:$A,$AS$14&amp;"|"&amp;AP105)&gt;0,COUNTIF('Engine Lists'!$A:$A,$AS$15&amp;"|"&amp;AO105)&gt;0,COUNTIF('Engine Lists'!$A:$A,$AS$15&amp;"|"&amp;AP105)&gt;0,COUNTIF('Engine Lists'!$A:$A,$AS$21&amp;"|"&amp;I105)&gt;0),-8,0)</f>
        <v/>
      </c>
      <c r="T105" s="20">
        <f>IF(Q105=1,IF(OR($AS$8="A2",$AS$8="B1"),7,IF(OR($AS$8="B2",$AS$8="C1",$AS$8="C2"),-5,0)),0)</f>
        <v/>
      </c>
      <c r="U105" s="20">
        <f>IF(AND($AS$6=G105,OR($AS$6="Male",$AS$6="Female")),5,0)</f>
        <v/>
      </c>
      <c r="V105" s="20">
        <f>IF(AND($AS$24,$AS$11&lt;&gt;"In-Person",K105&lt;&gt;"In-Person"),-5,0)</f>
        <v/>
      </c>
      <c r="W105" s="20">
        <f>IF(OR($AS$11=K105,$AS$11="Either",K105="Either"),3,0)</f>
        <v/>
      </c>
      <c r="X105" s="20">
        <f>IF(AND($AS$11&lt;&gt;"Online",K105&lt;&gt;"Online",ISNUMBER($AS$22),ISNUMBER(IFERROR(VALUE(M105),"x"))),IF(ABS($AS$22-VALUE(M105))&lt;=50,3,0),0)</f>
        <v/>
      </c>
      <c r="Y105" s="20">
        <f>IF(AND($AS$10&lt;&gt;"",$AS$10=J105),3,0)</f>
        <v/>
      </c>
      <c r="Z105" s="20">
        <f>IF(OR(N($AS$13)&gt;=150,N(O105)&gt;=150),3,0)</f>
        <v/>
      </c>
      <c r="AA105" s="20">
        <f>IF(AND($AS$21&lt;&gt;"",$AS$21&lt;&gt;"NA",$AS$21=I105),2,0)</f>
        <v/>
      </c>
      <c r="AB105" s="20">
        <f>IF(OR(AND($AS$14&lt;&gt;"",$AS$14&lt;&gt;"NA",OR($AS$14=AO105,$AS$14=AP105)),AND($AS$15&lt;&gt;"",OR($AS$15=AO105,$AS$15=AP105))),2,0)</f>
        <v/>
      </c>
      <c r="AC105" s="20">
        <f>IF(AND(ISNUMBER($AS$12),ISNUMBER(N105),ABS($AS$12-N105)&lt;=10),2,0)</f>
        <v/>
      </c>
      <c r="AD105" s="20">
        <f>IF(R105="Yes",SUM(S105:AC105),"")</f>
        <v/>
      </c>
      <c r="AE105" s="20">
        <f>IF(R105="Yes","Score "&amp;AD105&amp;": "&amp;TRIM(IF(S105&lt;&gt;0,"−8 acrimonious; ","")&amp;IF(T105=7,"+7 shared language; ","")&amp;IF(T105=-5,"−5 shared lang(adv); ","")&amp;IF(U105=5,"+5 same-sex; ","")&amp;IF(V105=-5,"−5 online no device; ","")&amp;IF(W105=3,"+3 mode; ","")&amp;IF(X105=3,"+3 proximity; ","")&amp;IF(Y105=3,"+3 category; ","")&amp;IF(Z105=3,"+3 long wait; ","")&amp;IF(AA105=2,"+2 religion; ","")&amp;IF(AB105=2,"+2 nationality; ","")&amp;IF(AC105=2,"+2 age; ","")),"Not eligible: "&amp;IF(NOT(AH105),"tutor not pending/with-capacity",IF(NOT(AI105),"no spare capacity",IF(AJ105,"tutor blacklisted",IF($AS$25,"student blacklisted",IF(NOT(AK105),"tutor vetting incomplete",IF(NOT($AS$26),"student vetting incomplete",IF(NOT(AM105),"no overlapping 3h AEST block",IF(NOT(AN105),"A1 student needs a shared language",IF(AL105,"'do not pair' note present",""))))))))))</f>
        <v/>
      </c>
      <c r="AF105">
        <f>TRIM(IFERROR(LEFT('(B) Register of Participants'!$AR$83,FIND(" (",'(B) Register of Participants'!$AR$83)-1),'(B) Register of Participants'!$AR$83))</f>
        <v/>
      </c>
      <c r="AG105">
        <f>IF(ISNUMBER(SEARCH("Mandarin",'(B) Register of Participants'!$AR$83)),"Mandarin",IF(ISNUMBER(SEARCH("Cantonese",'(B) Register of Participants'!$AR$83)),"Cantonese",IF(OR(AF105="Dari",AF105="Farsi",AF105="Persian",AF105="Hazaragi"),"Persian",AF105)))</f>
        <v/>
      </c>
      <c r="AH105">
        <f>OR(E105="ADM-ACT-UNMAT",E105="ADM-ACT-MAT-CNE")</f>
        <v/>
      </c>
      <c r="AI105">
        <f>F105&gt;0</f>
        <v/>
      </c>
      <c r="AJ105">
        <f>LEFT('(B) Register of Participants'!$L$83,3)="Yes"</f>
        <v/>
      </c>
      <c r="AK105">
        <f>AND(OR(LEFT('(B) Register of Participants'!$AY$83,3)="Yes",LEFT('(B) Register of Participants'!$AY$83,2)="NA"),OR(LEFT('(B) Register of Participants'!$AZ$83,3)="Yes",LEFT('(B) Register of Participants'!$AZ$83,2)="NA"))</f>
        <v/>
      </c>
      <c r="AL105">
        <f>OR(ISNUMBER(SEARCH("do not pair",'(B) Register of Participants'!$BL$83)),ISNUMBER(SEARCH("do not pair",'(B) Register of Participants'!$BM$83)))</f>
        <v/>
      </c>
      <c r="AM105">
        <f>P105&gt;0</f>
        <v/>
      </c>
      <c r="AN105">
        <f>IF($AS$8="A1",Q105=1,TRUE)</f>
        <v/>
      </c>
      <c r="AO105">
        <f>TRIM(IFERROR(LEFT('(B) Register of Participants'!$AP$83,FIND(";",'(B) Register of Participants'!$AP$83)-1),'(B) Register of Participants'!$AP$83))</f>
        <v/>
      </c>
      <c r="AP105">
        <f>IF(ISNUMBER(FIND(";",'(B) Register of Participants'!$AP$83)),TRIM(MID('(B) Register of Participants'!$AP$83,FIND(";",'(B) Register of Participants'!$AP$83)+1,80)),"")</f>
        <v/>
      </c>
    </row>
    <row r="106">
      <c r="B106" s="20">
        <f>IF(R106="Yes",RANK(AD106,$AD$25:$AD$124),"")</f>
        <v/>
      </c>
      <c r="C106" s="20">
        <f>'(B) Register of Participants'!$A$84</f>
        <v/>
      </c>
      <c r="D106" s="20">
        <f>'(B) Register of Participants'!$B$84</f>
        <v/>
      </c>
      <c r="E106" s="20">
        <f>'(B) Register of Participants'!$J$84</f>
        <v/>
      </c>
      <c r="F106" s="20">
        <f>IFERROR('(B) Register of Participants'!$O$84-'(B) Register of Participants'!$P$84,0)</f>
        <v/>
      </c>
      <c r="G106" s="20">
        <f>'(B) Register of Participants'!$AL$84</f>
        <v/>
      </c>
      <c r="H106" s="20">
        <f>'(B) Register of Participants'!$AP$84</f>
        <v/>
      </c>
      <c r="I106" s="20">
        <f>TRIM(IFERROR(LEFT('(B) Register of Participants'!$AS$84,FIND(" (",'(B) Register of Participants'!$AS$84)-1),'(B) Register of Participants'!$AS$84))</f>
        <v/>
      </c>
      <c r="J106" s="20">
        <f>'(B) Register of Participants'!$AT$84</f>
        <v/>
      </c>
      <c r="K106" s="20">
        <f>'(B) Register of Participants'!$AE$84</f>
        <v/>
      </c>
      <c r="L106" s="20">
        <f>'(B) Register of Participants'!$AF$84</f>
        <v/>
      </c>
      <c r="M106" s="20">
        <f>'(B) Register of Participants'!$AJ$84</f>
        <v/>
      </c>
      <c r="N106" s="20">
        <f>'(B) Register of Participants'!$CY$84</f>
        <v/>
      </c>
      <c r="O106" s="20">
        <f>'(B) Register of Participants'!$CW$84</f>
        <v/>
      </c>
      <c r="P106" s="20">
        <f>(ISNUMBER(SEARCH("6am-9am",$AS$27))*ISNUMBER(SEARCH("6am-9am",'(B) Register of Participants'!$X$84)))+(ISNUMBER(SEARCH("9am-12pm",$AS$27))*ISNUMBER(SEARCH("9am-12pm",'(B) Register of Participants'!$X$84)))+(ISNUMBER(SEARCH("12pm-3pm",$AS$27))*ISNUMBER(SEARCH("12pm-3pm",'(B) Register of Participants'!$X$84)))+(ISNUMBER(SEARCH("3pm-6pm",$AS$27))*ISNUMBER(SEARCH("3pm-6pm",'(B) Register of Participants'!$X$84)))+(ISNUMBER(SEARCH("6pm-9pm",$AS$27))*ISNUMBER(SEARCH("6pm-9pm",'(B) Register of Participants'!$X$84)))+(ISNUMBER(SEARCH("6am-9am",$AS$28))*ISNUMBER(SEARCH("6am-9am",'(B) Register of Participants'!$Y$84)))+(ISNUMBER(SEARCH("9am-12pm",$AS$28))*ISNUMBER(SEARCH("9am-12pm",'(B) Register of Participants'!$Y$84)))+(ISNUMBER(SEARCH("12pm-3pm",$AS$28))*ISNUMBER(SEARCH("12pm-3pm",'(B) Register of Participants'!$Y$84)))+(ISNUMBER(SEARCH("3pm-6pm",$AS$28))*ISNUMBER(SEARCH("3pm-6pm",'(B) Register of Participants'!$Y$84)))+(ISNUMBER(SEARCH("6pm-9pm",$AS$28))*ISNUMBER(SEARCH("6pm-9pm",'(B) Register of Participants'!$Y$84)))+(ISNUMBER(SEARCH("6am-9am",$AS$29))*ISNUMBER(SEARCH("6am-9am",'(B) Register of Participants'!$Z$84)))+(ISNUMBER(SEARCH("9am-12pm",$AS$29))*ISNUMBER(SEARCH("9am-12pm",'(B) Register of Participants'!$Z$84)))+(ISNUMBER(SEARCH("12pm-3pm",$AS$29))*ISNUMBER(SEARCH("12pm-3pm",'(B) Register of Participants'!$Z$84)))+(ISNUMBER(SEARCH("3pm-6pm",$AS$29))*ISNUMBER(SEARCH("3pm-6pm",'(B) Register of Participants'!$Z$84)))+(ISNUMBER(SEARCH("6pm-9pm",$AS$29))*ISNUMBER(SEARCH("6pm-9pm",'(B) Register of Participants'!$Z$84)))+(ISNUMBER(SEARCH("6am-9am",$AS$30))*ISNUMBER(SEARCH("6am-9am",'(B) Register of Participants'!$AA$84)))+(ISNUMBER(SEARCH("9am-12pm",$AS$30))*ISNUMBER(SEARCH("9am-12pm",'(B) Register of Participants'!$AA$84)))+(ISNUMBER(SEARCH("12pm-3pm",$AS$30))*ISNUMBER(SEARCH("12pm-3pm",'(B) Register of Participants'!$AA$84)))+(ISNUMBER(SEARCH("3pm-6pm",$AS$30))*ISNUMBER(SEARCH("3pm-6pm",'(B) Register of Participants'!$AA$84)))+(ISNUMBER(SEARCH("6pm-9pm",$AS$30))*ISNUMBER(SEARCH("6pm-9pm",'(B) Register of Participants'!$AA$84)))+(ISNUMBER(SEARCH("6am-9am",$AS$31))*ISNUMBER(SEARCH("6am-9am",'(B) Register of Participants'!$AB$84)))+(ISNUMBER(SEARCH("9am-12pm",$AS$31))*ISNUMBER(SEARCH("9am-12pm",'(B) Register of Participants'!$AB$84)))+(ISNUMBER(SEARCH("12pm-3pm",$AS$31))*ISNUMBER(SEARCH("12pm-3pm",'(B) Register of Participants'!$AB$84)))+(ISNUMBER(SEARCH("3pm-6pm",$AS$31))*ISNUMBER(SEARCH("3pm-6pm",'(B) Register of Participants'!$AB$84)))+(ISNUMBER(SEARCH("6pm-9pm",$AS$31))*ISNUMBER(SEARCH("6pm-9pm",'(B) Register of Participants'!$AB$84)))+(ISNUMBER(SEARCH("6am-9am",$AS$32))*ISNUMBER(SEARCH("6am-9am",'(B) Register of Participants'!$AC$84)))+(ISNUMBER(SEARCH("9am-12pm",$AS$32))*ISNUMBER(SEARCH("9am-12pm",'(B) Register of Participants'!$AC$84)))+(ISNUMBER(SEARCH("12pm-3pm",$AS$32))*ISNUMBER(SEARCH("12pm-3pm",'(B) Register of Participants'!$AC$84)))+(ISNUMBER(SEARCH("3pm-6pm",$AS$32))*ISNUMBER(SEARCH("3pm-6pm",'(B) Register of Participants'!$AC$84)))+(ISNUMBER(SEARCH("6pm-9pm",$AS$32))*ISNUMBER(SEARCH("6pm-9pm",'(B) Register of Participants'!$AC$84)))+(ISNUMBER(SEARCH("6am-9am",$AS$33))*ISNUMBER(SEARCH("6am-9am",'(B) Register of Participants'!$AD$84)))+(ISNUMBER(SEARCH("9am-12pm",$AS$33))*ISNUMBER(SEARCH("9am-12pm",'(B) Register of Participants'!$AD$84)))+(ISNUMBER(SEARCH("12pm-3pm",$AS$33))*ISNUMBER(SEARCH("12pm-3pm",'(B) Register of Participants'!$AD$84)))+(ISNUMBER(SEARCH("3pm-6pm",$AS$33))*ISNUMBER(SEARCH("3pm-6pm",'(B) Register of Participants'!$AD$84)))+(ISNUMBER(SEARCH("6pm-9pm",$AS$33))*ISNUMBER(SEARCH("6pm-9pm",'(B) Register of Participants'!$AD$84)))</f>
        <v/>
      </c>
      <c r="Q106" s="20">
        <f>IF(OR(AND($AS$17&lt;&gt;"",$AS$17&lt;&gt;"English",IF($AS$17="Persian",OR(ISNUMBER(SEARCH("Dari",'(B) Register of Participants'!$AR$84)),ISNUMBER(SEARCH("Farsi",'(B) Register of Participants'!$AR$84)),ISNUMBER(SEARCH("Persian",'(B) Register of Participants'!$AR$84)),ISNUMBER(SEARCH("Hazaragi",'(B) Register of Participants'!$AR$84))),ISNUMBER(SEARCH($AS$17,'(B) Register of Participants'!$AR$84)))),AND($AS$20&lt;&gt;"",$AS$20&lt;&gt;"English",IF($AS$20="Persian",OR(ISNUMBER(SEARCH("Dari",'(B) Register of Participants'!$AR$84)),ISNUMBER(SEARCH("Farsi",'(B) Register of Participants'!$AR$84)),ISNUMBER(SEARCH("Persian",'(B) Register of Participants'!$AR$84)),ISNUMBER(SEARCH("Hazaragi",'(B) Register of Participants'!$AR$84))),ISNUMBER(SEARCH($AS$20,'(B) Register of Participants'!$AR$84))))),1,0)</f>
        <v/>
      </c>
      <c r="R106" s="20">
        <f>IF(AND(AH106,AI106,NOT(AJ106),NOT($AS$25),AK106,$AS$26,AM106,AN106,NOT(AL106)),"Yes","No")</f>
        <v/>
      </c>
      <c r="S106" s="20">
        <f>IF(OR(COUNTIF('Engine Lists'!$A:$A,$AS$14&amp;"|"&amp;AO106)&gt;0,COUNTIF('Engine Lists'!$A:$A,$AS$14&amp;"|"&amp;AP106)&gt;0,COUNTIF('Engine Lists'!$A:$A,$AS$15&amp;"|"&amp;AO106)&gt;0,COUNTIF('Engine Lists'!$A:$A,$AS$15&amp;"|"&amp;AP106)&gt;0,COUNTIF('Engine Lists'!$A:$A,$AS$21&amp;"|"&amp;I106)&gt;0),-8,0)</f>
        <v/>
      </c>
      <c r="T106" s="20">
        <f>IF(Q106=1,IF(OR($AS$8="A2",$AS$8="B1"),7,IF(OR($AS$8="B2",$AS$8="C1",$AS$8="C2"),-5,0)),0)</f>
        <v/>
      </c>
      <c r="U106" s="20">
        <f>IF(AND($AS$6=G106,OR($AS$6="Male",$AS$6="Female")),5,0)</f>
        <v/>
      </c>
      <c r="V106" s="20">
        <f>IF(AND($AS$24,$AS$11&lt;&gt;"In-Person",K106&lt;&gt;"In-Person"),-5,0)</f>
        <v/>
      </c>
      <c r="W106" s="20">
        <f>IF(OR($AS$11=K106,$AS$11="Either",K106="Either"),3,0)</f>
        <v/>
      </c>
      <c r="X106" s="20">
        <f>IF(AND($AS$11&lt;&gt;"Online",K106&lt;&gt;"Online",ISNUMBER($AS$22),ISNUMBER(IFERROR(VALUE(M106),"x"))),IF(ABS($AS$22-VALUE(M106))&lt;=50,3,0),0)</f>
        <v/>
      </c>
      <c r="Y106" s="20">
        <f>IF(AND($AS$10&lt;&gt;"",$AS$10=J106),3,0)</f>
        <v/>
      </c>
      <c r="Z106" s="20">
        <f>IF(OR(N($AS$13)&gt;=150,N(O106)&gt;=150),3,0)</f>
        <v/>
      </c>
      <c r="AA106" s="20">
        <f>IF(AND($AS$21&lt;&gt;"",$AS$21&lt;&gt;"NA",$AS$21=I106),2,0)</f>
        <v/>
      </c>
      <c r="AB106" s="20">
        <f>IF(OR(AND($AS$14&lt;&gt;"",$AS$14&lt;&gt;"NA",OR($AS$14=AO106,$AS$14=AP106)),AND($AS$15&lt;&gt;"",OR($AS$15=AO106,$AS$15=AP106))),2,0)</f>
        <v/>
      </c>
      <c r="AC106" s="20">
        <f>IF(AND(ISNUMBER($AS$12),ISNUMBER(N106),ABS($AS$12-N106)&lt;=10),2,0)</f>
        <v/>
      </c>
      <c r="AD106" s="20">
        <f>IF(R106="Yes",SUM(S106:AC106),"")</f>
        <v/>
      </c>
      <c r="AE106" s="20">
        <f>IF(R106="Yes","Score "&amp;AD106&amp;": "&amp;TRIM(IF(S106&lt;&gt;0,"−8 acrimonious; ","")&amp;IF(T106=7,"+7 shared language; ","")&amp;IF(T106=-5,"−5 shared lang(adv); ","")&amp;IF(U106=5,"+5 same-sex; ","")&amp;IF(V106=-5,"−5 online no device; ","")&amp;IF(W106=3,"+3 mode; ","")&amp;IF(X106=3,"+3 proximity; ","")&amp;IF(Y106=3,"+3 category; ","")&amp;IF(Z106=3,"+3 long wait; ","")&amp;IF(AA106=2,"+2 religion; ","")&amp;IF(AB106=2,"+2 nationality; ","")&amp;IF(AC106=2,"+2 age; ","")),"Not eligible: "&amp;IF(NOT(AH106),"tutor not pending/with-capacity",IF(NOT(AI106),"no spare capacity",IF(AJ106,"tutor blacklisted",IF($AS$25,"student blacklisted",IF(NOT(AK106),"tutor vetting incomplete",IF(NOT($AS$26),"student vetting incomplete",IF(NOT(AM106),"no overlapping 3h AEST block",IF(NOT(AN106),"A1 student needs a shared language",IF(AL106,"'do not pair' note present",""))))))))))</f>
        <v/>
      </c>
      <c r="AF106">
        <f>TRIM(IFERROR(LEFT('(B) Register of Participants'!$AR$84,FIND(" (",'(B) Register of Participants'!$AR$84)-1),'(B) Register of Participants'!$AR$84))</f>
        <v/>
      </c>
      <c r="AG106">
        <f>IF(ISNUMBER(SEARCH("Mandarin",'(B) Register of Participants'!$AR$84)),"Mandarin",IF(ISNUMBER(SEARCH("Cantonese",'(B) Register of Participants'!$AR$84)),"Cantonese",IF(OR(AF106="Dari",AF106="Farsi",AF106="Persian",AF106="Hazaragi"),"Persian",AF106)))</f>
        <v/>
      </c>
      <c r="AH106">
        <f>OR(E106="ADM-ACT-UNMAT",E106="ADM-ACT-MAT-CNE")</f>
        <v/>
      </c>
      <c r="AI106">
        <f>F106&gt;0</f>
        <v/>
      </c>
      <c r="AJ106">
        <f>LEFT('(B) Register of Participants'!$L$84,3)="Yes"</f>
        <v/>
      </c>
      <c r="AK106">
        <f>AND(OR(LEFT('(B) Register of Participants'!$AY$84,3)="Yes",LEFT('(B) Register of Participants'!$AY$84,2)="NA"),OR(LEFT('(B) Register of Participants'!$AZ$84,3)="Yes",LEFT('(B) Register of Participants'!$AZ$84,2)="NA"))</f>
        <v/>
      </c>
      <c r="AL106">
        <f>OR(ISNUMBER(SEARCH("do not pair",'(B) Register of Participants'!$BL$84)),ISNUMBER(SEARCH("do not pair",'(B) Register of Participants'!$BM$84)))</f>
        <v/>
      </c>
      <c r="AM106">
        <f>P106&gt;0</f>
        <v/>
      </c>
      <c r="AN106">
        <f>IF($AS$8="A1",Q106=1,TRUE)</f>
        <v/>
      </c>
      <c r="AO106">
        <f>TRIM(IFERROR(LEFT('(B) Register of Participants'!$AP$84,FIND(";",'(B) Register of Participants'!$AP$84)-1),'(B) Register of Participants'!$AP$84))</f>
        <v/>
      </c>
      <c r="AP106">
        <f>IF(ISNUMBER(FIND(";",'(B) Register of Participants'!$AP$84)),TRIM(MID('(B) Register of Participants'!$AP$84,FIND(";",'(B) Register of Participants'!$AP$84)+1,80)),"")</f>
        <v/>
      </c>
    </row>
    <row r="107">
      <c r="B107" s="20">
        <f>IF(R107="Yes",RANK(AD107,$AD$25:$AD$124),"")</f>
        <v/>
      </c>
      <c r="C107" s="20">
        <f>'(B) Register of Participants'!$A$85</f>
        <v/>
      </c>
      <c r="D107" s="20">
        <f>'(B) Register of Participants'!$B$85</f>
        <v/>
      </c>
      <c r="E107" s="20">
        <f>'(B) Register of Participants'!$J$85</f>
        <v/>
      </c>
      <c r="F107" s="20">
        <f>IFERROR('(B) Register of Participants'!$O$85-'(B) Register of Participants'!$P$85,0)</f>
        <v/>
      </c>
      <c r="G107" s="20">
        <f>'(B) Register of Participants'!$AL$85</f>
        <v/>
      </c>
      <c r="H107" s="20">
        <f>'(B) Register of Participants'!$AP$85</f>
        <v/>
      </c>
      <c r="I107" s="20">
        <f>TRIM(IFERROR(LEFT('(B) Register of Participants'!$AS$85,FIND(" (",'(B) Register of Participants'!$AS$85)-1),'(B) Register of Participants'!$AS$85))</f>
        <v/>
      </c>
      <c r="J107" s="20">
        <f>'(B) Register of Participants'!$AT$85</f>
        <v/>
      </c>
      <c r="K107" s="20">
        <f>'(B) Register of Participants'!$AE$85</f>
        <v/>
      </c>
      <c r="L107" s="20">
        <f>'(B) Register of Participants'!$AF$85</f>
        <v/>
      </c>
      <c r="M107" s="20">
        <f>'(B) Register of Participants'!$AJ$85</f>
        <v/>
      </c>
      <c r="N107" s="20">
        <f>'(B) Register of Participants'!$CY$85</f>
        <v/>
      </c>
      <c r="O107" s="20">
        <f>'(B) Register of Participants'!$CW$85</f>
        <v/>
      </c>
      <c r="P107" s="20">
        <f>(ISNUMBER(SEARCH("6am-9am",$AS$27))*ISNUMBER(SEARCH("6am-9am",'(B) Register of Participants'!$X$85)))+(ISNUMBER(SEARCH("9am-12pm",$AS$27))*ISNUMBER(SEARCH("9am-12pm",'(B) Register of Participants'!$X$85)))+(ISNUMBER(SEARCH("12pm-3pm",$AS$27))*ISNUMBER(SEARCH("12pm-3pm",'(B) Register of Participants'!$X$85)))+(ISNUMBER(SEARCH("3pm-6pm",$AS$27))*ISNUMBER(SEARCH("3pm-6pm",'(B) Register of Participants'!$X$85)))+(ISNUMBER(SEARCH("6pm-9pm",$AS$27))*ISNUMBER(SEARCH("6pm-9pm",'(B) Register of Participants'!$X$85)))+(ISNUMBER(SEARCH("6am-9am",$AS$28))*ISNUMBER(SEARCH("6am-9am",'(B) Register of Participants'!$Y$85)))+(ISNUMBER(SEARCH("9am-12pm",$AS$28))*ISNUMBER(SEARCH("9am-12pm",'(B) Register of Participants'!$Y$85)))+(ISNUMBER(SEARCH("12pm-3pm",$AS$28))*ISNUMBER(SEARCH("12pm-3pm",'(B) Register of Participants'!$Y$85)))+(ISNUMBER(SEARCH("3pm-6pm",$AS$28))*ISNUMBER(SEARCH("3pm-6pm",'(B) Register of Participants'!$Y$85)))+(ISNUMBER(SEARCH("6pm-9pm",$AS$28))*ISNUMBER(SEARCH("6pm-9pm",'(B) Register of Participants'!$Y$85)))+(ISNUMBER(SEARCH("6am-9am",$AS$29))*ISNUMBER(SEARCH("6am-9am",'(B) Register of Participants'!$Z$85)))+(ISNUMBER(SEARCH("9am-12pm",$AS$29))*ISNUMBER(SEARCH("9am-12pm",'(B) Register of Participants'!$Z$85)))+(ISNUMBER(SEARCH("12pm-3pm",$AS$29))*ISNUMBER(SEARCH("12pm-3pm",'(B) Register of Participants'!$Z$85)))+(ISNUMBER(SEARCH("3pm-6pm",$AS$29))*ISNUMBER(SEARCH("3pm-6pm",'(B) Register of Participants'!$Z$85)))+(ISNUMBER(SEARCH("6pm-9pm",$AS$29))*ISNUMBER(SEARCH("6pm-9pm",'(B) Register of Participants'!$Z$85)))+(ISNUMBER(SEARCH("6am-9am",$AS$30))*ISNUMBER(SEARCH("6am-9am",'(B) Register of Participants'!$AA$85)))+(ISNUMBER(SEARCH("9am-12pm",$AS$30))*ISNUMBER(SEARCH("9am-12pm",'(B) Register of Participants'!$AA$85)))+(ISNUMBER(SEARCH("12pm-3pm",$AS$30))*ISNUMBER(SEARCH("12pm-3pm",'(B) Register of Participants'!$AA$85)))+(ISNUMBER(SEARCH("3pm-6pm",$AS$30))*ISNUMBER(SEARCH("3pm-6pm",'(B) Register of Participants'!$AA$85)))+(ISNUMBER(SEARCH("6pm-9pm",$AS$30))*ISNUMBER(SEARCH("6pm-9pm",'(B) Register of Participants'!$AA$85)))+(ISNUMBER(SEARCH("6am-9am",$AS$31))*ISNUMBER(SEARCH("6am-9am",'(B) Register of Participants'!$AB$85)))+(ISNUMBER(SEARCH("9am-12pm",$AS$31))*ISNUMBER(SEARCH("9am-12pm",'(B) Register of Participants'!$AB$85)))+(ISNUMBER(SEARCH("12pm-3pm",$AS$31))*ISNUMBER(SEARCH("12pm-3pm",'(B) Register of Participants'!$AB$85)))+(ISNUMBER(SEARCH("3pm-6pm",$AS$31))*ISNUMBER(SEARCH("3pm-6pm",'(B) Register of Participants'!$AB$85)))+(ISNUMBER(SEARCH("6pm-9pm",$AS$31))*ISNUMBER(SEARCH("6pm-9pm",'(B) Register of Participants'!$AB$85)))+(ISNUMBER(SEARCH("6am-9am",$AS$32))*ISNUMBER(SEARCH("6am-9am",'(B) Register of Participants'!$AC$85)))+(ISNUMBER(SEARCH("9am-12pm",$AS$32))*ISNUMBER(SEARCH("9am-12pm",'(B) Register of Participants'!$AC$85)))+(ISNUMBER(SEARCH("12pm-3pm",$AS$32))*ISNUMBER(SEARCH("12pm-3pm",'(B) Register of Participants'!$AC$85)))+(ISNUMBER(SEARCH("3pm-6pm",$AS$32))*ISNUMBER(SEARCH("3pm-6pm",'(B) Register of Participants'!$AC$85)))+(ISNUMBER(SEARCH("6pm-9pm",$AS$32))*ISNUMBER(SEARCH("6pm-9pm",'(B) Register of Participants'!$AC$85)))+(ISNUMBER(SEARCH("6am-9am",$AS$33))*ISNUMBER(SEARCH("6am-9am",'(B) Register of Participants'!$AD$85)))+(ISNUMBER(SEARCH("9am-12pm",$AS$33))*ISNUMBER(SEARCH("9am-12pm",'(B) Register of Participants'!$AD$85)))+(ISNUMBER(SEARCH("12pm-3pm",$AS$33))*ISNUMBER(SEARCH("12pm-3pm",'(B) Register of Participants'!$AD$85)))+(ISNUMBER(SEARCH("3pm-6pm",$AS$33))*ISNUMBER(SEARCH("3pm-6pm",'(B) Register of Participants'!$AD$85)))+(ISNUMBER(SEARCH("6pm-9pm",$AS$33))*ISNUMBER(SEARCH("6pm-9pm",'(B) Register of Participants'!$AD$85)))</f>
        <v/>
      </c>
      <c r="Q107" s="20">
        <f>IF(OR(AND($AS$17&lt;&gt;"",$AS$17&lt;&gt;"English",IF($AS$17="Persian",OR(ISNUMBER(SEARCH("Dari",'(B) Register of Participants'!$AR$85)),ISNUMBER(SEARCH("Farsi",'(B) Register of Participants'!$AR$85)),ISNUMBER(SEARCH("Persian",'(B) Register of Participants'!$AR$85)),ISNUMBER(SEARCH("Hazaragi",'(B) Register of Participants'!$AR$85))),ISNUMBER(SEARCH($AS$17,'(B) Register of Participants'!$AR$85)))),AND($AS$20&lt;&gt;"",$AS$20&lt;&gt;"English",IF($AS$20="Persian",OR(ISNUMBER(SEARCH("Dari",'(B) Register of Participants'!$AR$85)),ISNUMBER(SEARCH("Farsi",'(B) Register of Participants'!$AR$85)),ISNUMBER(SEARCH("Persian",'(B) Register of Participants'!$AR$85)),ISNUMBER(SEARCH("Hazaragi",'(B) Register of Participants'!$AR$85))),ISNUMBER(SEARCH($AS$20,'(B) Register of Participants'!$AR$85))))),1,0)</f>
        <v/>
      </c>
      <c r="R107" s="20">
        <f>IF(AND(AH107,AI107,NOT(AJ107),NOT($AS$25),AK107,$AS$26,AM107,AN107,NOT(AL107)),"Yes","No")</f>
        <v/>
      </c>
      <c r="S107" s="20">
        <f>IF(OR(COUNTIF('Engine Lists'!$A:$A,$AS$14&amp;"|"&amp;AO107)&gt;0,COUNTIF('Engine Lists'!$A:$A,$AS$14&amp;"|"&amp;AP107)&gt;0,COUNTIF('Engine Lists'!$A:$A,$AS$15&amp;"|"&amp;AO107)&gt;0,COUNTIF('Engine Lists'!$A:$A,$AS$15&amp;"|"&amp;AP107)&gt;0,COUNTIF('Engine Lists'!$A:$A,$AS$21&amp;"|"&amp;I107)&gt;0),-8,0)</f>
        <v/>
      </c>
      <c r="T107" s="20">
        <f>IF(Q107=1,IF(OR($AS$8="A2",$AS$8="B1"),7,IF(OR($AS$8="B2",$AS$8="C1",$AS$8="C2"),-5,0)),0)</f>
        <v/>
      </c>
      <c r="U107" s="20">
        <f>IF(AND($AS$6=G107,OR($AS$6="Male",$AS$6="Female")),5,0)</f>
        <v/>
      </c>
      <c r="V107" s="20">
        <f>IF(AND($AS$24,$AS$11&lt;&gt;"In-Person",K107&lt;&gt;"In-Person"),-5,0)</f>
        <v/>
      </c>
      <c r="W107" s="20">
        <f>IF(OR($AS$11=K107,$AS$11="Either",K107="Either"),3,0)</f>
        <v/>
      </c>
      <c r="X107" s="20">
        <f>IF(AND($AS$11&lt;&gt;"Online",K107&lt;&gt;"Online",ISNUMBER($AS$22),ISNUMBER(IFERROR(VALUE(M107),"x"))),IF(ABS($AS$22-VALUE(M107))&lt;=50,3,0),0)</f>
        <v/>
      </c>
      <c r="Y107" s="20">
        <f>IF(AND($AS$10&lt;&gt;"",$AS$10=J107),3,0)</f>
        <v/>
      </c>
      <c r="Z107" s="20">
        <f>IF(OR(N($AS$13)&gt;=150,N(O107)&gt;=150),3,0)</f>
        <v/>
      </c>
      <c r="AA107" s="20">
        <f>IF(AND($AS$21&lt;&gt;"",$AS$21&lt;&gt;"NA",$AS$21=I107),2,0)</f>
        <v/>
      </c>
      <c r="AB107" s="20">
        <f>IF(OR(AND($AS$14&lt;&gt;"",$AS$14&lt;&gt;"NA",OR($AS$14=AO107,$AS$14=AP107)),AND($AS$15&lt;&gt;"",OR($AS$15=AO107,$AS$15=AP107))),2,0)</f>
        <v/>
      </c>
      <c r="AC107" s="20">
        <f>IF(AND(ISNUMBER($AS$12),ISNUMBER(N107),ABS($AS$12-N107)&lt;=10),2,0)</f>
        <v/>
      </c>
      <c r="AD107" s="20">
        <f>IF(R107="Yes",SUM(S107:AC107),"")</f>
        <v/>
      </c>
      <c r="AE107" s="20">
        <f>IF(R107="Yes","Score "&amp;AD107&amp;": "&amp;TRIM(IF(S107&lt;&gt;0,"−8 acrimonious; ","")&amp;IF(T107=7,"+7 shared language; ","")&amp;IF(T107=-5,"−5 shared lang(adv); ","")&amp;IF(U107=5,"+5 same-sex; ","")&amp;IF(V107=-5,"−5 online no device; ","")&amp;IF(W107=3,"+3 mode; ","")&amp;IF(X107=3,"+3 proximity; ","")&amp;IF(Y107=3,"+3 category; ","")&amp;IF(Z107=3,"+3 long wait; ","")&amp;IF(AA107=2,"+2 religion; ","")&amp;IF(AB107=2,"+2 nationality; ","")&amp;IF(AC107=2,"+2 age; ","")),"Not eligible: "&amp;IF(NOT(AH107),"tutor not pending/with-capacity",IF(NOT(AI107),"no spare capacity",IF(AJ107,"tutor blacklisted",IF($AS$25,"student blacklisted",IF(NOT(AK107),"tutor vetting incomplete",IF(NOT($AS$26),"student vetting incomplete",IF(NOT(AM107),"no overlapping 3h AEST block",IF(NOT(AN107),"A1 student needs a shared language",IF(AL107,"'do not pair' note present",""))))))))))</f>
        <v/>
      </c>
      <c r="AF107">
        <f>TRIM(IFERROR(LEFT('(B) Register of Participants'!$AR$85,FIND(" (",'(B) Register of Participants'!$AR$85)-1),'(B) Register of Participants'!$AR$85))</f>
        <v/>
      </c>
      <c r="AG107">
        <f>IF(ISNUMBER(SEARCH("Mandarin",'(B) Register of Participants'!$AR$85)),"Mandarin",IF(ISNUMBER(SEARCH("Cantonese",'(B) Register of Participants'!$AR$85)),"Cantonese",IF(OR(AF107="Dari",AF107="Farsi",AF107="Persian",AF107="Hazaragi"),"Persian",AF107)))</f>
        <v/>
      </c>
      <c r="AH107">
        <f>OR(E107="ADM-ACT-UNMAT",E107="ADM-ACT-MAT-CNE")</f>
        <v/>
      </c>
      <c r="AI107">
        <f>F107&gt;0</f>
        <v/>
      </c>
      <c r="AJ107">
        <f>LEFT('(B) Register of Participants'!$L$85,3)="Yes"</f>
        <v/>
      </c>
      <c r="AK107">
        <f>AND(OR(LEFT('(B) Register of Participants'!$AY$85,3)="Yes",LEFT('(B) Register of Participants'!$AY$85,2)="NA"),OR(LEFT('(B) Register of Participants'!$AZ$85,3)="Yes",LEFT('(B) Register of Participants'!$AZ$85,2)="NA"))</f>
        <v/>
      </c>
      <c r="AL107">
        <f>OR(ISNUMBER(SEARCH("do not pair",'(B) Register of Participants'!$BL$85)),ISNUMBER(SEARCH("do not pair",'(B) Register of Participants'!$BM$85)))</f>
        <v/>
      </c>
      <c r="AM107">
        <f>P107&gt;0</f>
        <v/>
      </c>
      <c r="AN107">
        <f>IF($AS$8="A1",Q107=1,TRUE)</f>
        <v/>
      </c>
      <c r="AO107">
        <f>TRIM(IFERROR(LEFT('(B) Register of Participants'!$AP$85,FIND(";",'(B) Register of Participants'!$AP$85)-1),'(B) Register of Participants'!$AP$85))</f>
        <v/>
      </c>
      <c r="AP107">
        <f>IF(ISNUMBER(FIND(";",'(B) Register of Participants'!$AP$85)),TRIM(MID('(B) Register of Participants'!$AP$85,FIND(";",'(B) Register of Participants'!$AP$85)+1,80)),"")</f>
        <v/>
      </c>
    </row>
    <row r="108">
      <c r="B108" s="20">
        <f>IF(R108="Yes",RANK(AD108,$AD$25:$AD$124),"")</f>
        <v/>
      </c>
      <c r="C108" s="20">
        <f>'(B) Register of Participants'!$A$86</f>
        <v/>
      </c>
      <c r="D108" s="20">
        <f>'(B) Register of Participants'!$B$86</f>
        <v/>
      </c>
      <c r="E108" s="20">
        <f>'(B) Register of Participants'!$J$86</f>
        <v/>
      </c>
      <c r="F108" s="20">
        <f>IFERROR('(B) Register of Participants'!$O$86-'(B) Register of Participants'!$P$86,0)</f>
        <v/>
      </c>
      <c r="G108" s="20">
        <f>'(B) Register of Participants'!$AL$86</f>
        <v/>
      </c>
      <c r="H108" s="20">
        <f>'(B) Register of Participants'!$AP$86</f>
        <v/>
      </c>
      <c r="I108" s="20">
        <f>TRIM(IFERROR(LEFT('(B) Register of Participants'!$AS$86,FIND(" (",'(B) Register of Participants'!$AS$86)-1),'(B) Register of Participants'!$AS$86))</f>
        <v/>
      </c>
      <c r="J108" s="20">
        <f>'(B) Register of Participants'!$AT$86</f>
        <v/>
      </c>
      <c r="K108" s="20">
        <f>'(B) Register of Participants'!$AE$86</f>
        <v/>
      </c>
      <c r="L108" s="20">
        <f>'(B) Register of Participants'!$AF$86</f>
        <v/>
      </c>
      <c r="M108" s="20">
        <f>'(B) Register of Participants'!$AJ$86</f>
        <v/>
      </c>
      <c r="N108" s="20">
        <f>'(B) Register of Participants'!$CY$86</f>
        <v/>
      </c>
      <c r="O108" s="20">
        <f>'(B) Register of Participants'!$CW$86</f>
        <v/>
      </c>
      <c r="P108" s="20">
        <f>(ISNUMBER(SEARCH("6am-9am",$AS$27))*ISNUMBER(SEARCH("6am-9am",'(B) Register of Participants'!$X$86)))+(ISNUMBER(SEARCH("9am-12pm",$AS$27))*ISNUMBER(SEARCH("9am-12pm",'(B) Register of Participants'!$X$86)))+(ISNUMBER(SEARCH("12pm-3pm",$AS$27))*ISNUMBER(SEARCH("12pm-3pm",'(B) Register of Participants'!$X$86)))+(ISNUMBER(SEARCH("3pm-6pm",$AS$27))*ISNUMBER(SEARCH("3pm-6pm",'(B) Register of Participants'!$X$86)))+(ISNUMBER(SEARCH("6pm-9pm",$AS$27))*ISNUMBER(SEARCH("6pm-9pm",'(B) Register of Participants'!$X$86)))+(ISNUMBER(SEARCH("6am-9am",$AS$28))*ISNUMBER(SEARCH("6am-9am",'(B) Register of Participants'!$Y$86)))+(ISNUMBER(SEARCH("9am-12pm",$AS$28))*ISNUMBER(SEARCH("9am-12pm",'(B) Register of Participants'!$Y$86)))+(ISNUMBER(SEARCH("12pm-3pm",$AS$28))*ISNUMBER(SEARCH("12pm-3pm",'(B) Register of Participants'!$Y$86)))+(ISNUMBER(SEARCH("3pm-6pm",$AS$28))*ISNUMBER(SEARCH("3pm-6pm",'(B) Register of Participants'!$Y$86)))+(ISNUMBER(SEARCH("6pm-9pm",$AS$28))*ISNUMBER(SEARCH("6pm-9pm",'(B) Register of Participants'!$Y$86)))+(ISNUMBER(SEARCH("6am-9am",$AS$29))*ISNUMBER(SEARCH("6am-9am",'(B) Register of Participants'!$Z$86)))+(ISNUMBER(SEARCH("9am-12pm",$AS$29))*ISNUMBER(SEARCH("9am-12pm",'(B) Register of Participants'!$Z$86)))+(ISNUMBER(SEARCH("12pm-3pm",$AS$29))*ISNUMBER(SEARCH("12pm-3pm",'(B) Register of Participants'!$Z$86)))+(ISNUMBER(SEARCH("3pm-6pm",$AS$29))*ISNUMBER(SEARCH("3pm-6pm",'(B) Register of Participants'!$Z$86)))+(ISNUMBER(SEARCH("6pm-9pm",$AS$29))*ISNUMBER(SEARCH("6pm-9pm",'(B) Register of Participants'!$Z$86)))+(ISNUMBER(SEARCH("6am-9am",$AS$30))*ISNUMBER(SEARCH("6am-9am",'(B) Register of Participants'!$AA$86)))+(ISNUMBER(SEARCH("9am-12pm",$AS$30))*ISNUMBER(SEARCH("9am-12pm",'(B) Register of Participants'!$AA$86)))+(ISNUMBER(SEARCH("12pm-3pm",$AS$30))*ISNUMBER(SEARCH("12pm-3pm",'(B) Register of Participants'!$AA$86)))+(ISNUMBER(SEARCH("3pm-6pm",$AS$30))*ISNUMBER(SEARCH("3pm-6pm",'(B) Register of Participants'!$AA$86)))+(ISNUMBER(SEARCH("6pm-9pm",$AS$30))*ISNUMBER(SEARCH("6pm-9pm",'(B) Register of Participants'!$AA$86)))+(ISNUMBER(SEARCH("6am-9am",$AS$31))*ISNUMBER(SEARCH("6am-9am",'(B) Register of Participants'!$AB$86)))+(ISNUMBER(SEARCH("9am-12pm",$AS$31))*ISNUMBER(SEARCH("9am-12pm",'(B) Register of Participants'!$AB$86)))+(ISNUMBER(SEARCH("12pm-3pm",$AS$31))*ISNUMBER(SEARCH("12pm-3pm",'(B) Register of Participants'!$AB$86)))+(ISNUMBER(SEARCH("3pm-6pm",$AS$31))*ISNUMBER(SEARCH("3pm-6pm",'(B) Register of Participants'!$AB$86)))+(ISNUMBER(SEARCH("6pm-9pm",$AS$31))*ISNUMBER(SEARCH("6pm-9pm",'(B) Register of Participants'!$AB$86)))+(ISNUMBER(SEARCH("6am-9am",$AS$32))*ISNUMBER(SEARCH("6am-9am",'(B) Register of Participants'!$AC$86)))+(ISNUMBER(SEARCH("9am-12pm",$AS$32))*ISNUMBER(SEARCH("9am-12pm",'(B) Register of Participants'!$AC$86)))+(ISNUMBER(SEARCH("12pm-3pm",$AS$32))*ISNUMBER(SEARCH("12pm-3pm",'(B) Register of Participants'!$AC$86)))+(ISNUMBER(SEARCH("3pm-6pm",$AS$32))*ISNUMBER(SEARCH("3pm-6pm",'(B) Register of Participants'!$AC$86)))+(ISNUMBER(SEARCH("6pm-9pm",$AS$32))*ISNUMBER(SEARCH("6pm-9pm",'(B) Register of Participants'!$AC$86)))+(ISNUMBER(SEARCH("6am-9am",$AS$33))*ISNUMBER(SEARCH("6am-9am",'(B) Register of Participants'!$AD$86)))+(ISNUMBER(SEARCH("9am-12pm",$AS$33))*ISNUMBER(SEARCH("9am-12pm",'(B) Register of Participants'!$AD$86)))+(ISNUMBER(SEARCH("12pm-3pm",$AS$33))*ISNUMBER(SEARCH("12pm-3pm",'(B) Register of Participants'!$AD$86)))+(ISNUMBER(SEARCH("3pm-6pm",$AS$33))*ISNUMBER(SEARCH("3pm-6pm",'(B) Register of Participants'!$AD$86)))+(ISNUMBER(SEARCH("6pm-9pm",$AS$33))*ISNUMBER(SEARCH("6pm-9pm",'(B) Register of Participants'!$AD$86)))</f>
        <v/>
      </c>
      <c r="Q108" s="20">
        <f>IF(OR(AND($AS$17&lt;&gt;"",$AS$17&lt;&gt;"English",IF($AS$17="Persian",OR(ISNUMBER(SEARCH("Dari",'(B) Register of Participants'!$AR$86)),ISNUMBER(SEARCH("Farsi",'(B) Register of Participants'!$AR$86)),ISNUMBER(SEARCH("Persian",'(B) Register of Participants'!$AR$86)),ISNUMBER(SEARCH("Hazaragi",'(B) Register of Participants'!$AR$86))),ISNUMBER(SEARCH($AS$17,'(B) Register of Participants'!$AR$86)))),AND($AS$20&lt;&gt;"",$AS$20&lt;&gt;"English",IF($AS$20="Persian",OR(ISNUMBER(SEARCH("Dari",'(B) Register of Participants'!$AR$86)),ISNUMBER(SEARCH("Farsi",'(B) Register of Participants'!$AR$86)),ISNUMBER(SEARCH("Persian",'(B) Register of Participants'!$AR$86)),ISNUMBER(SEARCH("Hazaragi",'(B) Register of Participants'!$AR$86))),ISNUMBER(SEARCH($AS$20,'(B) Register of Participants'!$AR$86))))),1,0)</f>
        <v/>
      </c>
      <c r="R108" s="20">
        <f>IF(AND(AH108,AI108,NOT(AJ108),NOT($AS$25),AK108,$AS$26,AM108,AN108,NOT(AL108)),"Yes","No")</f>
        <v/>
      </c>
      <c r="S108" s="20">
        <f>IF(OR(COUNTIF('Engine Lists'!$A:$A,$AS$14&amp;"|"&amp;AO108)&gt;0,COUNTIF('Engine Lists'!$A:$A,$AS$14&amp;"|"&amp;AP108)&gt;0,COUNTIF('Engine Lists'!$A:$A,$AS$15&amp;"|"&amp;AO108)&gt;0,COUNTIF('Engine Lists'!$A:$A,$AS$15&amp;"|"&amp;AP108)&gt;0,COUNTIF('Engine Lists'!$A:$A,$AS$21&amp;"|"&amp;I108)&gt;0),-8,0)</f>
        <v/>
      </c>
      <c r="T108" s="20">
        <f>IF(Q108=1,IF(OR($AS$8="A2",$AS$8="B1"),7,IF(OR($AS$8="B2",$AS$8="C1",$AS$8="C2"),-5,0)),0)</f>
        <v/>
      </c>
      <c r="U108" s="20">
        <f>IF(AND($AS$6=G108,OR($AS$6="Male",$AS$6="Female")),5,0)</f>
        <v/>
      </c>
      <c r="V108" s="20">
        <f>IF(AND($AS$24,$AS$11&lt;&gt;"In-Person",K108&lt;&gt;"In-Person"),-5,0)</f>
        <v/>
      </c>
      <c r="W108" s="20">
        <f>IF(OR($AS$11=K108,$AS$11="Either",K108="Either"),3,0)</f>
        <v/>
      </c>
      <c r="X108" s="20">
        <f>IF(AND($AS$11&lt;&gt;"Online",K108&lt;&gt;"Online",ISNUMBER($AS$22),ISNUMBER(IFERROR(VALUE(M108),"x"))),IF(ABS($AS$22-VALUE(M108))&lt;=50,3,0),0)</f>
        <v/>
      </c>
      <c r="Y108" s="20">
        <f>IF(AND($AS$10&lt;&gt;"",$AS$10=J108),3,0)</f>
        <v/>
      </c>
      <c r="Z108" s="20">
        <f>IF(OR(N($AS$13)&gt;=150,N(O108)&gt;=150),3,0)</f>
        <v/>
      </c>
      <c r="AA108" s="20">
        <f>IF(AND($AS$21&lt;&gt;"",$AS$21&lt;&gt;"NA",$AS$21=I108),2,0)</f>
        <v/>
      </c>
      <c r="AB108" s="20">
        <f>IF(OR(AND($AS$14&lt;&gt;"",$AS$14&lt;&gt;"NA",OR($AS$14=AO108,$AS$14=AP108)),AND($AS$15&lt;&gt;"",OR($AS$15=AO108,$AS$15=AP108))),2,0)</f>
        <v/>
      </c>
      <c r="AC108" s="20">
        <f>IF(AND(ISNUMBER($AS$12),ISNUMBER(N108),ABS($AS$12-N108)&lt;=10),2,0)</f>
        <v/>
      </c>
      <c r="AD108" s="20">
        <f>IF(R108="Yes",SUM(S108:AC108),"")</f>
        <v/>
      </c>
      <c r="AE108" s="20">
        <f>IF(R108="Yes","Score "&amp;AD108&amp;": "&amp;TRIM(IF(S108&lt;&gt;0,"−8 acrimonious; ","")&amp;IF(T108=7,"+7 shared language; ","")&amp;IF(T108=-5,"−5 shared lang(adv); ","")&amp;IF(U108=5,"+5 same-sex; ","")&amp;IF(V108=-5,"−5 online no device; ","")&amp;IF(W108=3,"+3 mode; ","")&amp;IF(X108=3,"+3 proximity; ","")&amp;IF(Y108=3,"+3 category; ","")&amp;IF(Z108=3,"+3 long wait; ","")&amp;IF(AA108=2,"+2 religion; ","")&amp;IF(AB108=2,"+2 nationality; ","")&amp;IF(AC108=2,"+2 age; ","")),"Not eligible: "&amp;IF(NOT(AH108),"tutor not pending/with-capacity",IF(NOT(AI108),"no spare capacity",IF(AJ108,"tutor blacklisted",IF($AS$25,"student blacklisted",IF(NOT(AK108),"tutor vetting incomplete",IF(NOT($AS$26),"student vetting incomplete",IF(NOT(AM108),"no overlapping 3h AEST block",IF(NOT(AN108),"A1 student needs a shared language",IF(AL108,"'do not pair' note present",""))))))))))</f>
        <v/>
      </c>
      <c r="AF108">
        <f>TRIM(IFERROR(LEFT('(B) Register of Participants'!$AR$86,FIND(" (",'(B) Register of Participants'!$AR$86)-1),'(B) Register of Participants'!$AR$86))</f>
        <v/>
      </c>
      <c r="AG108">
        <f>IF(ISNUMBER(SEARCH("Mandarin",'(B) Register of Participants'!$AR$86)),"Mandarin",IF(ISNUMBER(SEARCH("Cantonese",'(B) Register of Participants'!$AR$86)),"Cantonese",IF(OR(AF108="Dari",AF108="Farsi",AF108="Persian",AF108="Hazaragi"),"Persian",AF108)))</f>
        <v/>
      </c>
      <c r="AH108">
        <f>OR(E108="ADM-ACT-UNMAT",E108="ADM-ACT-MAT-CNE")</f>
        <v/>
      </c>
      <c r="AI108">
        <f>F108&gt;0</f>
        <v/>
      </c>
      <c r="AJ108">
        <f>LEFT('(B) Register of Participants'!$L$86,3)="Yes"</f>
        <v/>
      </c>
      <c r="AK108">
        <f>AND(OR(LEFT('(B) Register of Participants'!$AY$86,3)="Yes",LEFT('(B) Register of Participants'!$AY$86,2)="NA"),OR(LEFT('(B) Register of Participants'!$AZ$86,3)="Yes",LEFT('(B) Register of Participants'!$AZ$86,2)="NA"))</f>
        <v/>
      </c>
      <c r="AL108">
        <f>OR(ISNUMBER(SEARCH("do not pair",'(B) Register of Participants'!$BL$86)),ISNUMBER(SEARCH("do not pair",'(B) Register of Participants'!$BM$86)))</f>
        <v/>
      </c>
      <c r="AM108">
        <f>P108&gt;0</f>
        <v/>
      </c>
      <c r="AN108">
        <f>IF($AS$8="A1",Q108=1,TRUE)</f>
        <v/>
      </c>
      <c r="AO108">
        <f>TRIM(IFERROR(LEFT('(B) Register of Participants'!$AP$86,FIND(";",'(B) Register of Participants'!$AP$86)-1),'(B) Register of Participants'!$AP$86))</f>
        <v/>
      </c>
      <c r="AP108">
        <f>IF(ISNUMBER(FIND(";",'(B) Register of Participants'!$AP$86)),TRIM(MID('(B) Register of Participants'!$AP$86,FIND(";",'(B) Register of Participants'!$AP$86)+1,80)),"")</f>
        <v/>
      </c>
    </row>
    <row r="109">
      <c r="B109" s="20">
        <f>IF(R109="Yes",RANK(AD109,$AD$25:$AD$124),"")</f>
        <v/>
      </c>
      <c r="C109" s="20">
        <f>'(B) Register of Participants'!$A$87</f>
        <v/>
      </c>
      <c r="D109" s="20">
        <f>'(B) Register of Participants'!$B$87</f>
        <v/>
      </c>
      <c r="E109" s="20">
        <f>'(B) Register of Participants'!$J$87</f>
        <v/>
      </c>
      <c r="F109" s="20">
        <f>IFERROR('(B) Register of Participants'!$O$87-'(B) Register of Participants'!$P$87,0)</f>
        <v/>
      </c>
      <c r="G109" s="20">
        <f>'(B) Register of Participants'!$AL$87</f>
        <v/>
      </c>
      <c r="H109" s="20">
        <f>'(B) Register of Participants'!$AP$87</f>
        <v/>
      </c>
      <c r="I109" s="20">
        <f>TRIM(IFERROR(LEFT('(B) Register of Participants'!$AS$87,FIND(" (",'(B) Register of Participants'!$AS$87)-1),'(B) Register of Participants'!$AS$87))</f>
        <v/>
      </c>
      <c r="J109" s="20">
        <f>'(B) Register of Participants'!$AT$87</f>
        <v/>
      </c>
      <c r="K109" s="20">
        <f>'(B) Register of Participants'!$AE$87</f>
        <v/>
      </c>
      <c r="L109" s="20">
        <f>'(B) Register of Participants'!$AF$87</f>
        <v/>
      </c>
      <c r="M109" s="20">
        <f>'(B) Register of Participants'!$AJ$87</f>
        <v/>
      </c>
      <c r="N109" s="20">
        <f>'(B) Register of Participants'!$CY$87</f>
        <v/>
      </c>
      <c r="O109" s="20">
        <f>'(B) Register of Participants'!$CW$87</f>
        <v/>
      </c>
      <c r="P109" s="20">
        <f>(ISNUMBER(SEARCH("6am-9am",$AS$27))*ISNUMBER(SEARCH("6am-9am",'(B) Register of Participants'!$X$87)))+(ISNUMBER(SEARCH("9am-12pm",$AS$27))*ISNUMBER(SEARCH("9am-12pm",'(B) Register of Participants'!$X$87)))+(ISNUMBER(SEARCH("12pm-3pm",$AS$27))*ISNUMBER(SEARCH("12pm-3pm",'(B) Register of Participants'!$X$87)))+(ISNUMBER(SEARCH("3pm-6pm",$AS$27))*ISNUMBER(SEARCH("3pm-6pm",'(B) Register of Participants'!$X$87)))+(ISNUMBER(SEARCH("6pm-9pm",$AS$27))*ISNUMBER(SEARCH("6pm-9pm",'(B) Register of Participants'!$X$87)))+(ISNUMBER(SEARCH("6am-9am",$AS$28))*ISNUMBER(SEARCH("6am-9am",'(B) Register of Participants'!$Y$87)))+(ISNUMBER(SEARCH("9am-12pm",$AS$28))*ISNUMBER(SEARCH("9am-12pm",'(B) Register of Participants'!$Y$87)))+(ISNUMBER(SEARCH("12pm-3pm",$AS$28))*ISNUMBER(SEARCH("12pm-3pm",'(B) Register of Participants'!$Y$87)))+(ISNUMBER(SEARCH("3pm-6pm",$AS$28))*ISNUMBER(SEARCH("3pm-6pm",'(B) Register of Participants'!$Y$87)))+(ISNUMBER(SEARCH("6pm-9pm",$AS$28))*ISNUMBER(SEARCH("6pm-9pm",'(B) Register of Participants'!$Y$87)))+(ISNUMBER(SEARCH("6am-9am",$AS$29))*ISNUMBER(SEARCH("6am-9am",'(B) Register of Participants'!$Z$87)))+(ISNUMBER(SEARCH("9am-12pm",$AS$29))*ISNUMBER(SEARCH("9am-12pm",'(B) Register of Participants'!$Z$87)))+(ISNUMBER(SEARCH("12pm-3pm",$AS$29))*ISNUMBER(SEARCH("12pm-3pm",'(B) Register of Participants'!$Z$87)))+(ISNUMBER(SEARCH("3pm-6pm",$AS$29))*ISNUMBER(SEARCH("3pm-6pm",'(B) Register of Participants'!$Z$87)))+(ISNUMBER(SEARCH("6pm-9pm",$AS$29))*ISNUMBER(SEARCH("6pm-9pm",'(B) Register of Participants'!$Z$87)))+(ISNUMBER(SEARCH("6am-9am",$AS$30))*ISNUMBER(SEARCH("6am-9am",'(B) Register of Participants'!$AA$87)))+(ISNUMBER(SEARCH("9am-12pm",$AS$30))*ISNUMBER(SEARCH("9am-12pm",'(B) Register of Participants'!$AA$87)))+(ISNUMBER(SEARCH("12pm-3pm",$AS$30))*ISNUMBER(SEARCH("12pm-3pm",'(B) Register of Participants'!$AA$87)))+(ISNUMBER(SEARCH("3pm-6pm",$AS$30))*ISNUMBER(SEARCH("3pm-6pm",'(B) Register of Participants'!$AA$87)))+(ISNUMBER(SEARCH("6pm-9pm",$AS$30))*ISNUMBER(SEARCH("6pm-9pm",'(B) Register of Participants'!$AA$87)))+(ISNUMBER(SEARCH("6am-9am",$AS$31))*ISNUMBER(SEARCH("6am-9am",'(B) Register of Participants'!$AB$87)))+(ISNUMBER(SEARCH("9am-12pm",$AS$31))*ISNUMBER(SEARCH("9am-12pm",'(B) Register of Participants'!$AB$87)))+(ISNUMBER(SEARCH("12pm-3pm",$AS$31))*ISNUMBER(SEARCH("12pm-3pm",'(B) Register of Participants'!$AB$87)))+(ISNUMBER(SEARCH("3pm-6pm",$AS$31))*ISNUMBER(SEARCH("3pm-6pm",'(B) Register of Participants'!$AB$87)))+(ISNUMBER(SEARCH("6pm-9pm",$AS$31))*ISNUMBER(SEARCH("6pm-9pm",'(B) Register of Participants'!$AB$87)))+(ISNUMBER(SEARCH("6am-9am",$AS$32))*ISNUMBER(SEARCH("6am-9am",'(B) Register of Participants'!$AC$87)))+(ISNUMBER(SEARCH("9am-12pm",$AS$32))*ISNUMBER(SEARCH("9am-12pm",'(B) Register of Participants'!$AC$87)))+(ISNUMBER(SEARCH("12pm-3pm",$AS$32))*ISNUMBER(SEARCH("12pm-3pm",'(B) Register of Participants'!$AC$87)))+(ISNUMBER(SEARCH("3pm-6pm",$AS$32))*ISNUMBER(SEARCH("3pm-6pm",'(B) Register of Participants'!$AC$87)))+(ISNUMBER(SEARCH("6pm-9pm",$AS$32))*ISNUMBER(SEARCH("6pm-9pm",'(B) Register of Participants'!$AC$87)))+(ISNUMBER(SEARCH("6am-9am",$AS$33))*ISNUMBER(SEARCH("6am-9am",'(B) Register of Participants'!$AD$87)))+(ISNUMBER(SEARCH("9am-12pm",$AS$33))*ISNUMBER(SEARCH("9am-12pm",'(B) Register of Participants'!$AD$87)))+(ISNUMBER(SEARCH("12pm-3pm",$AS$33))*ISNUMBER(SEARCH("12pm-3pm",'(B) Register of Participants'!$AD$87)))+(ISNUMBER(SEARCH("3pm-6pm",$AS$33))*ISNUMBER(SEARCH("3pm-6pm",'(B) Register of Participants'!$AD$87)))+(ISNUMBER(SEARCH("6pm-9pm",$AS$33))*ISNUMBER(SEARCH("6pm-9pm",'(B) Register of Participants'!$AD$87)))</f>
        <v/>
      </c>
      <c r="Q109" s="20">
        <f>IF(OR(AND($AS$17&lt;&gt;"",$AS$17&lt;&gt;"English",IF($AS$17="Persian",OR(ISNUMBER(SEARCH("Dari",'(B) Register of Participants'!$AR$87)),ISNUMBER(SEARCH("Farsi",'(B) Register of Participants'!$AR$87)),ISNUMBER(SEARCH("Persian",'(B) Register of Participants'!$AR$87)),ISNUMBER(SEARCH("Hazaragi",'(B) Register of Participants'!$AR$87))),ISNUMBER(SEARCH($AS$17,'(B) Register of Participants'!$AR$87)))),AND($AS$20&lt;&gt;"",$AS$20&lt;&gt;"English",IF($AS$20="Persian",OR(ISNUMBER(SEARCH("Dari",'(B) Register of Participants'!$AR$87)),ISNUMBER(SEARCH("Farsi",'(B) Register of Participants'!$AR$87)),ISNUMBER(SEARCH("Persian",'(B) Register of Participants'!$AR$87)),ISNUMBER(SEARCH("Hazaragi",'(B) Register of Participants'!$AR$87))),ISNUMBER(SEARCH($AS$20,'(B) Register of Participants'!$AR$87))))),1,0)</f>
        <v/>
      </c>
      <c r="R109" s="20">
        <f>IF(AND(AH109,AI109,NOT(AJ109),NOT($AS$25),AK109,$AS$26,AM109,AN109,NOT(AL109)),"Yes","No")</f>
        <v/>
      </c>
      <c r="S109" s="20">
        <f>IF(OR(COUNTIF('Engine Lists'!$A:$A,$AS$14&amp;"|"&amp;AO109)&gt;0,COUNTIF('Engine Lists'!$A:$A,$AS$14&amp;"|"&amp;AP109)&gt;0,COUNTIF('Engine Lists'!$A:$A,$AS$15&amp;"|"&amp;AO109)&gt;0,COUNTIF('Engine Lists'!$A:$A,$AS$15&amp;"|"&amp;AP109)&gt;0,COUNTIF('Engine Lists'!$A:$A,$AS$21&amp;"|"&amp;I109)&gt;0),-8,0)</f>
        <v/>
      </c>
      <c r="T109" s="20">
        <f>IF(Q109=1,IF(OR($AS$8="A2",$AS$8="B1"),7,IF(OR($AS$8="B2",$AS$8="C1",$AS$8="C2"),-5,0)),0)</f>
        <v/>
      </c>
      <c r="U109" s="20">
        <f>IF(AND($AS$6=G109,OR($AS$6="Male",$AS$6="Female")),5,0)</f>
        <v/>
      </c>
      <c r="V109" s="20">
        <f>IF(AND($AS$24,$AS$11&lt;&gt;"In-Person",K109&lt;&gt;"In-Person"),-5,0)</f>
        <v/>
      </c>
      <c r="W109" s="20">
        <f>IF(OR($AS$11=K109,$AS$11="Either",K109="Either"),3,0)</f>
        <v/>
      </c>
      <c r="X109" s="20">
        <f>IF(AND($AS$11&lt;&gt;"Online",K109&lt;&gt;"Online",ISNUMBER($AS$22),ISNUMBER(IFERROR(VALUE(M109),"x"))),IF(ABS($AS$22-VALUE(M109))&lt;=50,3,0),0)</f>
        <v/>
      </c>
      <c r="Y109" s="20">
        <f>IF(AND($AS$10&lt;&gt;"",$AS$10=J109),3,0)</f>
        <v/>
      </c>
      <c r="Z109" s="20">
        <f>IF(OR(N($AS$13)&gt;=150,N(O109)&gt;=150),3,0)</f>
        <v/>
      </c>
      <c r="AA109" s="20">
        <f>IF(AND($AS$21&lt;&gt;"",$AS$21&lt;&gt;"NA",$AS$21=I109),2,0)</f>
        <v/>
      </c>
      <c r="AB109" s="20">
        <f>IF(OR(AND($AS$14&lt;&gt;"",$AS$14&lt;&gt;"NA",OR($AS$14=AO109,$AS$14=AP109)),AND($AS$15&lt;&gt;"",OR($AS$15=AO109,$AS$15=AP109))),2,0)</f>
        <v/>
      </c>
      <c r="AC109" s="20">
        <f>IF(AND(ISNUMBER($AS$12),ISNUMBER(N109),ABS($AS$12-N109)&lt;=10),2,0)</f>
        <v/>
      </c>
      <c r="AD109" s="20">
        <f>IF(R109="Yes",SUM(S109:AC109),"")</f>
        <v/>
      </c>
      <c r="AE109" s="20">
        <f>IF(R109="Yes","Score "&amp;AD109&amp;": "&amp;TRIM(IF(S109&lt;&gt;0,"−8 acrimonious; ","")&amp;IF(T109=7,"+7 shared language; ","")&amp;IF(T109=-5,"−5 shared lang(adv); ","")&amp;IF(U109=5,"+5 same-sex; ","")&amp;IF(V109=-5,"−5 online no device; ","")&amp;IF(W109=3,"+3 mode; ","")&amp;IF(X109=3,"+3 proximity; ","")&amp;IF(Y109=3,"+3 category; ","")&amp;IF(Z109=3,"+3 long wait; ","")&amp;IF(AA109=2,"+2 religion; ","")&amp;IF(AB109=2,"+2 nationality; ","")&amp;IF(AC109=2,"+2 age; ","")),"Not eligible: "&amp;IF(NOT(AH109),"tutor not pending/with-capacity",IF(NOT(AI109),"no spare capacity",IF(AJ109,"tutor blacklisted",IF($AS$25,"student blacklisted",IF(NOT(AK109),"tutor vetting incomplete",IF(NOT($AS$26),"student vetting incomplete",IF(NOT(AM109),"no overlapping 3h AEST block",IF(NOT(AN109),"A1 student needs a shared language",IF(AL109,"'do not pair' note present",""))))))))))</f>
        <v/>
      </c>
      <c r="AF109">
        <f>TRIM(IFERROR(LEFT('(B) Register of Participants'!$AR$87,FIND(" (",'(B) Register of Participants'!$AR$87)-1),'(B) Register of Participants'!$AR$87))</f>
        <v/>
      </c>
      <c r="AG109">
        <f>IF(ISNUMBER(SEARCH("Mandarin",'(B) Register of Participants'!$AR$87)),"Mandarin",IF(ISNUMBER(SEARCH("Cantonese",'(B) Register of Participants'!$AR$87)),"Cantonese",IF(OR(AF109="Dari",AF109="Farsi",AF109="Persian",AF109="Hazaragi"),"Persian",AF109)))</f>
        <v/>
      </c>
      <c r="AH109">
        <f>OR(E109="ADM-ACT-UNMAT",E109="ADM-ACT-MAT-CNE")</f>
        <v/>
      </c>
      <c r="AI109">
        <f>F109&gt;0</f>
        <v/>
      </c>
      <c r="AJ109">
        <f>LEFT('(B) Register of Participants'!$L$87,3)="Yes"</f>
        <v/>
      </c>
      <c r="AK109">
        <f>AND(OR(LEFT('(B) Register of Participants'!$AY$87,3)="Yes",LEFT('(B) Register of Participants'!$AY$87,2)="NA"),OR(LEFT('(B) Register of Participants'!$AZ$87,3)="Yes",LEFT('(B) Register of Participants'!$AZ$87,2)="NA"))</f>
        <v/>
      </c>
      <c r="AL109">
        <f>OR(ISNUMBER(SEARCH("do not pair",'(B) Register of Participants'!$BL$87)),ISNUMBER(SEARCH("do not pair",'(B) Register of Participants'!$BM$87)))</f>
        <v/>
      </c>
      <c r="AM109">
        <f>P109&gt;0</f>
        <v/>
      </c>
      <c r="AN109">
        <f>IF($AS$8="A1",Q109=1,TRUE)</f>
        <v/>
      </c>
      <c r="AO109">
        <f>TRIM(IFERROR(LEFT('(B) Register of Participants'!$AP$87,FIND(";",'(B) Register of Participants'!$AP$87)-1),'(B) Register of Participants'!$AP$87))</f>
        <v/>
      </c>
      <c r="AP109">
        <f>IF(ISNUMBER(FIND(";",'(B) Register of Participants'!$AP$87)),TRIM(MID('(B) Register of Participants'!$AP$87,FIND(";",'(B) Register of Participants'!$AP$87)+1,80)),"")</f>
        <v/>
      </c>
    </row>
    <row r="110">
      <c r="B110" s="20">
        <f>IF(R110="Yes",RANK(AD110,$AD$25:$AD$124),"")</f>
        <v/>
      </c>
      <c r="C110" s="20">
        <f>'(B) Register of Participants'!$A$88</f>
        <v/>
      </c>
      <c r="D110" s="20">
        <f>'(B) Register of Participants'!$B$88</f>
        <v/>
      </c>
      <c r="E110" s="20">
        <f>'(B) Register of Participants'!$J$88</f>
        <v/>
      </c>
      <c r="F110" s="20">
        <f>IFERROR('(B) Register of Participants'!$O$88-'(B) Register of Participants'!$P$88,0)</f>
        <v/>
      </c>
      <c r="G110" s="20">
        <f>'(B) Register of Participants'!$AL$88</f>
        <v/>
      </c>
      <c r="H110" s="20">
        <f>'(B) Register of Participants'!$AP$88</f>
        <v/>
      </c>
      <c r="I110" s="20">
        <f>TRIM(IFERROR(LEFT('(B) Register of Participants'!$AS$88,FIND(" (",'(B) Register of Participants'!$AS$88)-1),'(B) Register of Participants'!$AS$88))</f>
        <v/>
      </c>
      <c r="J110" s="20">
        <f>'(B) Register of Participants'!$AT$88</f>
        <v/>
      </c>
      <c r="K110" s="20">
        <f>'(B) Register of Participants'!$AE$88</f>
        <v/>
      </c>
      <c r="L110" s="20">
        <f>'(B) Register of Participants'!$AF$88</f>
        <v/>
      </c>
      <c r="M110" s="20">
        <f>'(B) Register of Participants'!$AJ$88</f>
        <v/>
      </c>
      <c r="N110" s="20">
        <f>'(B) Register of Participants'!$CY$88</f>
        <v/>
      </c>
      <c r="O110" s="20">
        <f>'(B) Register of Participants'!$CW$88</f>
        <v/>
      </c>
      <c r="P110" s="20">
        <f>(ISNUMBER(SEARCH("6am-9am",$AS$27))*ISNUMBER(SEARCH("6am-9am",'(B) Register of Participants'!$X$88)))+(ISNUMBER(SEARCH("9am-12pm",$AS$27))*ISNUMBER(SEARCH("9am-12pm",'(B) Register of Participants'!$X$88)))+(ISNUMBER(SEARCH("12pm-3pm",$AS$27))*ISNUMBER(SEARCH("12pm-3pm",'(B) Register of Participants'!$X$88)))+(ISNUMBER(SEARCH("3pm-6pm",$AS$27))*ISNUMBER(SEARCH("3pm-6pm",'(B) Register of Participants'!$X$88)))+(ISNUMBER(SEARCH("6pm-9pm",$AS$27))*ISNUMBER(SEARCH("6pm-9pm",'(B) Register of Participants'!$X$88)))+(ISNUMBER(SEARCH("6am-9am",$AS$28))*ISNUMBER(SEARCH("6am-9am",'(B) Register of Participants'!$Y$88)))+(ISNUMBER(SEARCH("9am-12pm",$AS$28))*ISNUMBER(SEARCH("9am-12pm",'(B) Register of Participants'!$Y$88)))+(ISNUMBER(SEARCH("12pm-3pm",$AS$28))*ISNUMBER(SEARCH("12pm-3pm",'(B) Register of Participants'!$Y$88)))+(ISNUMBER(SEARCH("3pm-6pm",$AS$28))*ISNUMBER(SEARCH("3pm-6pm",'(B) Register of Participants'!$Y$88)))+(ISNUMBER(SEARCH("6pm-9pm",$AS$28))*ISNUMBER(SEARCH("6pm-9pm",'(B) Register of Participants'!$Y$88)))+(ISNUMBER(SEARCH("6am-9am",$AS$29))*ISNUMBER(SEARCH("6am-9am",'(B) Register of Participants'!$Z$88)))+(ISNUMBER(SEARCH("9am-12pm",$AS$29))*ISNUMBER(SEARCH("9am-12pm",'(B) Register of Participants'!$Z$88)))+(ISNUMBER(SEARCH("12pm-3pm",$AS$29))*ISNUMBER(SEARCH("12pm-3pm",'(B) Register of Participants'!$Z$88)))+(ISNUMBER(SEARCH("3pm-6pm",$AS$29))*ISNUMBER(SEARCH("3pm-6pm",'(B) Register of Participants'!$Z$88)))+(ISNUMBER(SEARCH("6pm-9pm",$AS$29))*ISNUMBER(SEARCH("6pm-9pm",'(B) Register of Participants'!$Z$88)))+(ISNUMBER(SEARCH("6am-9am",$AS$30))*ISNUMBER(SEARCH("6am-9am",'(B) Register of Participants'!$AA$88)))+(ISNUMBER(SEARCH("9am-12pm",$AS$30))*ISNUMBER(SEARCH("9am-12pm",'(B) Register of Participants'!$AA$88)))+(ISNUMBER(SEARCH("12pm-3pm",$AS$30))*ISNUMBER(SEARCH("12pm-3pm",'(B) Register of Participants'!$AA$88)))+(ISNUMBER(SEARCH("3pm-6pm",$AS$30))*ISNUMBER(SEARCH("3pm-6pm",'(B) Register of Participants'!$AA$88)))+(ISNUMBER(SEARCH("6pm-9pm",$AS$30))*ISNUMBER(SEARCH("6pm-9pm",'(B) Register of Participants'!$AA$88)))+(ISNUMBER(SEARCH("6am-9am",$AS$31))*ISNUMBER(SEARCH("6am-9am",'(B) Register of Participants'!$AB$88)))+(ISNUMBER(SEARCH("9am-12pm",$AS$31))*ISNUMBER(SEARCH("9am-12pm",'(B) Register of Participants'!$AB$88)))+(ISNUMBER(SEARCH("12pm-3pm",$AS$31))*ISNUMBER(SEARCH("12pm-3pm",'(B) Register of Participants'!$AB$88)))+(ISNUMBER(SEARCH("3pm-6pm",$AS$31))*ISNUMBER(SEARCH("3pm-6pm",'(B) Register of Participants'!$AB$88)))+(ISNUMBER(SEARCH("6pm-9pm",$AS$31))*ISNUMBER(SEARCH("6pm-9pm",'(B) Register of Participants'!$AB$88)))+(ISNUMBER(SEARCH("6am-9am",$AS$32))*ISNUMBER(SEARCH("6am-9am",'(B) Register of Participants'!$AC$88)))+(ISNUMBER(SEARCH("9am-12pm",$AS$32))*ISNUMBER(SEARCH("9am-12pm",'(B) Register of Participants'!$AC$88)))+(ISNUMBER(SEARCH("12pm-3pm",$AS$32))*ISNUMBER(SEARCH("12pm-3pm",'(B) Register of Participants'!$AC$88)))+(ISNUMBER(SEARCH("3pm-6pm",$AS$32))*ISNUMBER(SEARCH("3pm-6pm",'(B) Register of Participants'!$AC$88)))+(ISNUMBER(SEARCH("6pm-9pm",$AS$32))*ISNUMBER(SEARCH("6pm-9pm",'(B) Register of Participants'!$AC$88)))+(ISNUMBER(SEARCH("6am-9am",$AS$33))*ISNUMBER(SEARCH("6am-9am",'(B) Register of Participants'!$AD$88)))+(ISNUMBER(SEARCH("9am-12pm",$AS$33))*ISNUMBER(SEARCH("9am-12pm",'(B) Register of Participants'!$AD$88)))+(ISNUMBER(SEARCH("12pm-3pm",$AS$33))*ISNUMBER(SEARCH("12pm-3pm",'(B) Register of Participants'!$AD$88)))+(ISNUMBER(SEARCH("3pm-6pm",$AS$33))*ISNUMBER(SEARCH("3pm-6pm",'(B) Register of Participants'!$AD$88)))+(ISNUMBER(SEARCH("6pm-9pm",$AS$33))*ISNUMBER(SEARCH("6pm-9pm",'(B) Register of Participants'!$AD$88)))</f>
        <v/>
      </c>
      <c r="Q110" s="20">
        <f>IF(OR(AND($AS$17&lt;&gt;"",$AS$17&lt;&gt;"English",IF($AS$17="Persian",OR(ISNUMBER(SEARCH("Dari",'(B) Register of Participants'!$AR$88)),ISNUMBER(SEARCH("Farsi",'(B) Register of Participants'!$AR$88)),ISNUMBER(SEARCH("Persian",'(B) Register of Participants'!$AR$88)),ISNUMBER(SEARCH("Hazaragi",'(B) Register of Participants'!$AR$88))),ISNUMBER(SEARCH($AS$17,'(B) Register of Participants'!$AR$88)))),AND($AS$20&lt;&gt;"",$AS$20&lt;&gt;"English",IF($AS$20="Persian",OR(ISNUMBER(SEARCH("Dari",'(B) Register of Participants'!$AR$88)),ISNUMBER(SEARCH("Farsi",'(B) Register of Participants'!$AR$88)),ISNUMBER(SEARCH("Persian",'(B) Register of Participants'!$AR$88)),ISNUMBER(SEARCH("Hazaragi",'(B) Register of Participants'!$AR$88))),ISNUMBER(SEARCH($AS$20,'(B) Register of Participants'!$AR$88))))),1,0)</f>
        <v/>
      </c>
      <c r="R110" s="20">
        <f>IF(AND(AH110,AI110,NOT(AJ110),NOT($AS$25),AK110,$AS$26,AM110,AN110,NOT(AL110)),"Yes","No")</f>
        <v/>
      </c>
      <c r="S110" s="20">
        <f>IF(OR(COUNTIF('Engine Lists'!$A:$A,$AS$14&amp;"|"&amp;AO110)&gt;0,COUNTIF('Engine Lists'!$A:$A,$AS$14&amp;"|"&amp;AP110)&gt;0,COUNTIF('Engine Lists'!$A:$A,$AS$15&amp;"|"&amp;AO110)&gt;0,COUNTIF('Engine Lists'!$A:$A,$AS$15&amp;"|"&amp;AP110)&gt;0,COUNTIF('Engine Lists'!$A:$A,$AS$21&amp;"|"&amp;I110)&gt;0),-8,0)</f>
        <v/>
      </c>
      <c r="T110" s="20">
        <f>IF(Q110=1,IF(OR($AS$8="A2",$AS$8="B1"),7,IF(OR($AS$8="B2",$AS$8="C1",$AS$8="C2"),-5,0)),0)</f>
        <v/>
      </c>
      <c r="U110" s="20">
        <f>IF(AND($AS$6=G110,OR($AS$6="Male",$AS$6="Female")),5,0)</f>
        <v/>
      </c>
      <c r="V110" s="20">
        <f>IF(AND($AS$24,$AS$11&lt;&gt;"In-Person",K110&lt;&gt;"In-Person"),-5,0)</f>
        <v/>
      </c>
      <c r="W110" s="20">
        <f>IF(OR($AS$11=K110,$AS$11="Either",K110="Either"),3,0)</f>
        <v/>
      </c>
      <c r="X110" s="20">
        <f>IF(AND($AS$11&lt;&gt;"Online",K110&lt;&gt;"Online",ISNUMBER($AS$22),ISNUMBER(IFERROR(VALUE(M110),"x"))),IF(ABS($AS$22-VALUE(M110))&lt;=50,3,0),0)</f>
        <v/>
      </c>
      <c r="Y110" s="20">
        <f>IF(AND($AS$10&lt;&gt;"",$AS$10=J110),3,0)</f>
        <v/>
      </c>
      <c r="Z110" s="20">
        <f>IF(OR(N($AS$13)&gt;=150,N(O110)&gt;=150),3,0)</f>
        <v/>
      </c>
      <c r="AA110" s="20">
        <f>IF(AND($AS$21&lt;&gt;"",$AS$21&lt;&gt;"NA",$AS$21=I110),2,0)</f>
        <v/>
      </c>
      <c r="AB110" s="20">
        <f>IF(OR(AND($AS$14&lt;&gt;"",$AS$14&lt;&gt;"NA",OR($AS$14=AO110,$AS$14=AP110)),AND($AS$15&lt;&gt;"",OR($AS$15=AO110,$AS$15=AP110))),2,0)</f>
        <v/>
      </c>
      <c r="AC110" s="20">
        <f>IF(AND(ISNUMBER($AS$12),ISNUMBER(N110),ABS($AS$12-N110)&lt;=10),2,0)</f>
        <v/>
      </c>
      <c r="AD110" s="20">
        <f>IF(R110="Yes",SUM(S110:AC110),"")</f>
        <v/>
      </c>
      <c r="AE110" s="20">
        <f>IF(R110="Yes","Score "&amp;AD110&amp;": "&amp;TRIM(IF(S110&lt;&gt;0,"−8 acrimonious; ","")&amp;IF(T110=7,"+7 shared language; ","")&amp;IF(T110=-5,"−5 shared lang(adv); ","")&amp;IF(U110=5,"+5 same-sex; ","")&amp;IF(V110=-5,"−5 online no device; ","")&amp;IF(W110=3,"+3 mode; ","")&amp;IF(X110=3,"+3 proximity; ","")&amp;IF(Y110=3,"+3 category; ","")&amp;IF(Z110=3,"+3 long wait; ","")&amp;IF(AA110=2,"+2 religion; ","")&amp;IF(AB110=2,"+2 nationality; ","")&amp;IF(AC110=2,"+2 age; ","")),"Not eligible: "&amp;IF(NOT(AH110),"tutor not pending/with-capacity",IF(NOT(AI110),"no spare capacity",IF(AJ110,"tutor blacklisted",IF($AS$25,"student blacklisted",IF(NOT(AK110),"tutor vetting incomplete",IF(NOT($AS$26),"student vetting incomplete",IF(NOT(AM110),"no overlapping 3h AEST block",IF(NOT(AN110),"A1 student needs a shared language",IF(AL110,"'do not pair' note present",""))))))))))</f>
        <v/>
      </c>
      <c r="AF110">
        <f>TRIM(IFERROR(LEFT('(B) Register of Participants'!$AR$88,FIND(" (",'(B) Register of Participants'!$AR$88)-1),'(B) Register of Participants'!$AR$88))</f>
        <v/>
      </c>
      <c r="AG110">
        <f>IF(ISNUMBER(SEARCH("Mandarin",'(B) Register of Participants'!$AR$88)),"Mandarin",IF(ISNUMBER(SEARCH("Cantonese",'(B) Register of Participants'!$AR$88)),"Cantonese",IF(OR(AF110="Dari",AF110="Farsi",AF110="Persian",AF110="Hazaragi"),"Persian",AF110)))</f>
        <v/>
      </c>
      <c r="AH110">
        <f>OR(E110="ADM-ACT-UNMAT",E110="ADM-ACT-MAT-CNE")</f>
        <v/>
      </c>
      <c r="AI110">
        <f>F110&gt;0</f>
        <v/>
      </c>
      <c r="AJ110">
        <f>LEFT('(B) Register of Participants'!$L$88,3)="Yes"</f>
        <v/>
      </c>
      <c r="AK110">
        <f>AND(OR(LEFT('(B) Register of Participants'!$AY$88,3)="Yes",LEFT('(B) Register of Participants'!$AY$88,2)="NA"),OR(LEFT('(B) Register of Participants'!$AZ$88,3)="Yes",LEFT('(B) Register of Participants'!$AZ$88,2)="NA"))</f>
        <v/>
      </c>
      <c r="AL110">
        <f>OR(ISNUMBER(SEARCH("do not pair",'(B) Register of Participants'!$BL$88)),ISNUMBER(SEARCH("do not pair",'(B) Register of Participants'!$BM$88)))</f>
        <v/>
      </c>
      <c r="AM110">
        <f>P110&gt;0</f>
        <v/>
      </c>
      <c r="AN110">
        <f>IF($AS$8="A1",Q110=1,TRUE)</f>
        <v/>
      </c>
      <c r="AO110">
        <f>TRIM(IFERROR(LEFT('(B) Register of Participants'!$AP$88,FIND(";",'(B) Register of Participants'!$AP$88)-1),'(B) Register of Participants'!$AP$88))</f>
        <v/>
      </c>
      <c r="AP110">
        <f>IF(ISNUMBER(FIND(";",'(B) Register of Participants'!$AP$88)),TRIM(MID('(B) Register of Participants'!$AP$88,FIND(";",'(B) Register of Participants'!$AP$88)+1,80)),"")</f>
        <v/>
      </c>
    </row>
    <row r="111">
      <c r="B111" s="20">
        <f>IF(R111="Yes",RANK(AD111,$AD$25:$AD$124),"")</f>
        <v/>
      </c>
      <c r="C111" s="20">
        <f>'(B) Register of Participants'!$A$89</f>
        <v/>
      </c>
      <c r="D111" s="20">
        <f>'(B) Register of Participants'!$B$89</f>
        <v/>
      </c>
      <c r="E111" s="20">
        <f>'(B) Register of Participants'!$J$89</f>
        <v/>
      </c>
      <c r="F111" s="20">
        <f>IFERROR('(B) Register of Participants'!$O$89-'(B) Register of Participants'!$P$89,0)</f>
        <v/>
      </c>
      <c r="G111" s="20">
        <f>'(B) Register of Participants'!$AL$89</f>
        <v/>
      </c>
      <c r="H111" s="20">
        <f>'(B) Register of Participants'!$AP$89</f>
        <v/>
      </c>
      <c r="I111" s="20">
        <f>TRIM(IFERROR(LEFT('(B) Register of Participants'!$AS$89,FIND(" (",'(B) Register of Participants'!$AS$89)-1),'(B) Register of Participants'!$AS$89))</f>
        <v/>
      </c>
      <c r="J111" s="20">
        <f>'(B) Register of Participants'!$AT$89</f>
        <v/>
      </c>
      <c r="K111" s="20">
        <f>'(B) Register of Participants'!$AE$89</f>
        <v/>
      </c>
      <c r="L111" s="20">
        <f>'(B) Register of Participants'!$AF$89</f>
        <v/>
      </c>
      <c r="M111" s="20">
        <f>'(B) Register of Participants'!$AJ$89</f>
        <v/>
      </c>
      <c r="N111" s="20">
        <f>'(B) Register of Participants'!$CY$89</f>
        <v/>
      </c>
      <c r="O111" s="20">
        <f>'(B) Register of Participants'!$CW$89</f>
        <v/>
      </c>
      <c r="P111" s="20">
        <f>(ISNUMBER(SEARCH("6am-9am",$AS$27))*ISNUMBER(SEARCH("6am-9am",'(B) Register of Participants'!$X$89)))+(ISNUMBER(SEARCH("9am-12pm",$AS$27))*ISNUMBER(SEARCH("9am-12pm",'(B) Register of Participants'!$X$89)))+(ISNUMBER(SEARCH("12pm-3pm",$AS$27))*ISNUMBER(SEARCH("12pm-3pm",'(B) Register of Participants'!$X$89)))+(ISNUMBER(SEARCH("3pm-6pm",$AS$27))*ISNUMBER(SEARCH("3pm-6pm",'(B) Register of Participants'!$X$89)))+(ISNUMBER(SEARCH("6pm-9pm",$AS$27))*ISNUMBER(SEARCH("6pm-9pm",'(B) Register of Participants'!$X$89)))+(ISNUMBER(SEARCH("6am-9am",$AS$28))*ISNUMBER(SEARCH("6am-9am",'(B) Register of Participants'!$Y$89)))+(ISNUMBER(SEARCH("9am-12pm",$AS$28))*ISNUMBER(SEARCH("9am-12pm",'(B) Register of Participants'!$Y$89)))+(ISNUMBER(SEARCH("12pm-3pm",$AS$28))*ISNUMBER(SEARCH("12pm-3pm",'(B) Register of Participants'!$Y$89)))+(ISNUMBER(SEARCH("3pm-6pm",$AS$28))*ISNUMBER(SEARCH("3pm-6pm",'(B) Register of Participants'!$Y$89)))+(ISNUMBER(SEARCH("6pm-9pm",$AS$28))*ISNUMBER(SEARCH("6pm-9pm",'(B) Register of Participants'!$Y$89)))+(ISNUMBER(SEARCH("6am-9am",$AS$29))*ISNUMBER(SEARCH("6am-9am",'(B) Register of Participants'!$Z$89)))+(ISNUMBER(SEARCH("9am-12pm",$AS$29))*ISNUMBER(SEARCH("9am-12pm",'(B) Register of Participants'!$Z$89)))+(ISNUMBER(SEARCH("12pm-3pm",$AS$29))*ISNUMBER(SEARCH("12pm-3pm",'(B) Register of Participants'!$Z$89)))+(ISNUMBER(SEARCH("3pm-6pm",$AS$29))*ISNUMBER(SEARCH("3pm-6pm",'(B) Register of Participants'!$Z$89)))+(ISNUMBER(SEARCH("6pm-9pm",$AS$29))*ISNUMBER(SEARCH("6pm-9pm",'(B) Register of Participants'!$Z$89)))+(ISNUMBER(SEARCH("6am-9am",$AS$30))*ISNUMBER(SEARCH("6am-9am",'(B) Register of Participants'!$AA$89)))+(ISNUMBER(SEARCH("9am-12pm",$AS$30))*ISNUMBER(SEARCH("9am-12pm",'(B) Register of Participants'!$AA$89)))+(ISNUMBER(SEARCH("12pm-3pm",$AS$30))*ISNUMBER(SEARCH("12pm-3pm",'(B) Register of Participants'!$AA$89)))+(ISNUMBER(SEARCH("3pm-6pm",$AS$30))*ISNUMBER(SEARCH("3pm-6pm",'(B) Register of Participants'!$AA$89)))+(ISNUMBER(SEARCH("6pm-9pm",$AS$30))*ISNUMBER(SEARCH("6pm-9pm",'(B) Register of Participants'!$AA$89)))+(ISNUMBER(SEARCH("6am-9am",$AS$31))*ISNUMBER(SEARCH("6am-9am",'(B) Register of Participants'!$AB$89)))+(ISNUMBER(SEARCH("9am-12pm",$AS$31))*ISNUMBER(SEARCH("9am-12pm",'(B) Register of Participants'!$AB$89)))+(ISNUMBER(SEARCH("12pm-3pm",$AS$31))*ISNUMBER(SEARCH("12pm-3pm",'(B) Register of Participants'!$AB$89)))+(ISNUMBER(SEARCH("3pm-6pm",$AS$31))*ISNUMBER(SEARCH("3pm-6pm",'(B) Register of Participants'!$AB$89)))+(ISNUMBER(SEARCH("6pm-9pm",$AS$31))*ISNUMBER(SEARCH("6pm-9pm",'(B) Register of Participants'!$AB$89)))+(ISNUMBER(SEARCH("6am-9am",$AS$32))*ISNUMBER(SEARCH("6am-9am",'(B) Register of Participants'!$AC$89)))+(ISNUMBER(SEARCH("9am-12pm",$AS$32))*ISNUMBER(SEARCH("9am-12pm",'(B) Register of Participants'!$AC$89)))+(ISNUMBER(SEARCH("12pm-3pm",$AS$32))*ISNUMBER(SEARCH("12pm-3pm",'(B) Register of Participants'!$AC$89)))+(ISNUMBER(SEARCH("3pm-6pm",$AS$32))*ISNUMBER(SEARCH("3pm-6pm",'(B) Register of Participants'!$AC$89)))+(ISNUMBER(SEARCH("6pm-9pm",$AS$32))*ISNUMBER(SEARCH("6pm-9pm",'(B) Register of Participants'!$AC$89)))+(ISNUMBER(SEARCH("6am-9am",$AS$33))*ISNUMBER(SEARCH("6am-9am",'(B) Register of Participants'!$AD$89)))+(ISNUMBER(SEARCH("9am-12pm",$AS$33))*ISNUMBER(SEARCH("9am-12pm",'(B) Register of Participants'!$AD$89)))+(ISNUMBER(SEARCH("12pm-3pm",$AS$33))*ISNUMBER(SEARCH("12pm-3pm",'(B) Register of Participants'!$AD$89)))+(ISNUMBER(SEARCH("3pm-6pm",$AS$33))*ISNUMBER(SEARCH("3pm-6pm",'(B) Register of Participants'!$AD$89)))+(ISNUMBER(SEARCH("6pm-9pm",$AS$33))*ISNUMBER(SEARCH("6pm-9pm",'(B) Register of Participants'!$AD$89)))</f>
        <v/>
      </c>
      <c r="Q111" s="20">
        <f>IF(OR(AND($AS$17&lt;&gt;"",$AS$17&lt;&gt;"English",IF($AS$17="Persian",OR(ISNUMBER(SEARCH("Dari",'(B) Register of Participants'!$AR$89)),ISNUMBER(SEARCH("Farsi",'(B) Register of Participants'!$AR$89)),ISNUMBER(SEARCH("Persian",'(B) Register of Participants'!$AR$89)),ISNUMBER(SEARCH("Hazaragi",'(B) Register of Participants'!$AR$89))),ISNUMBER(SEARCH($AS$17,'(B) Register of Participants'!$AR$89)))),AND($AS$20&lt;&gt;"",$AS$20&lt;&gt;"English",IF($AS$20="Persian",OR(ISNUMBER(SEARCH("Dari",'(B) Register of Participants'!$AR$89)),ISNUMBER(SEARCH("Farsi",'(B) Register of Participants'!$AR$89)),ISNUMBER(SEARCH("Persian",'(B) Register of Participants'!$AR$89)),ISNUMBER(SEARCH("Hazaragi",'(B) Register of Participants'!$AR$89))),ISNUMBER(SEARCH($AS$20,'(B) Register of Participants'!$AR$89))))),1,0)</f>
        <v/>
      </c>
      <c r="R111" s="20">
        <f>IF(AND(AH111,AI111,NOT(AJ111),NOT($AS$25),AK111,$AS$26,AM111,AN111,NOT(AL111)),"Yes","No")</f>
        <v/>
      </c>
      <c r="S111" s="20">
        <f>IF(OR(COUNTIF('Engine Lists'!$A:$A,$AS$14&amp;"|"&amp;AO111)&gt;0,COUNTIF('Engine Lists'!$A:$A,$AS$14&amp;"|"&amp;AP111)&gt;0,COUNTIF('Engine Lists'!$A:$A,$AS$15&amp;"|"&amp;AO111)&gt;0,COUNTIF('Engine Lists'!$A:$A,$AS$15&amp;"|"&amp;AP111)&gt;0,COUNTIF('Engine Lists'!$A:$A,$AS$21&amp;"|"&amp;I111)&gt;0),-8,0)</f>
        <v/>
      </c>
      <c r="T111" s="20">
        <f>IF(Q111=1,IF(OR($AS$8="A2",$AS$8="B1"),7,IF(OR($AS$8="B2",$AS$8="C1",$AS$8="C2"),-5,0)),0)</f>
        <v/>
      </c>
      <c r="U111" s="20">
        <f>IF(AND($AS$6=G111,OR($AS$6="Male",$AS$6="Female")),5,0)</f>
        <v/>
      </c>
      <c r="V111" s="20">
        <f>IF(AND($AS$24,$AS$11&lt;&gt;"In-Person",K111&lt;&gt;"In-Person"),-5,0)</f>
        <v/>
      </c>
      <c r="W111" s="20">
        <f>IF(OR($AS$11=K111,$AS$11="Either",K111="Either"),3,0)</f>
        <v/>
      </c>
      <c r="X111" s="20">
        <f>IF(AND($AS$11&lt;&gt;"Online",K111&lt;&gt;"Online",ISNUMBER($AS$22),ISNUMBER(IFERROR(VALUE(M111),"x"))),IF(ABS($AS$22-VALUE(M111))&lt;=50,3,0),0)</f>
        <v/>
      </c>
      <c r="Y111" s="20">
        <f>IF(AND($AS$10&lt;&gt;"",$AS$10=J111),3,0)</f>
        <v/>
      </c>
      <c r="Z111" s="20">
        <f>IF(OR(N($AS$13)&gt;=150,N(O111)&gt;=150),3,0)</f>
        <v/>
      </c>
      <c r="AA111" s="20">
        <f>IF(AND($AS$21&lt;&gt;"",$AS$21&lt;&gt;"NA",$AS$21=I111),2,0)</f>
        <v/>
      </c>
      <c r="AB111" s="20">
        <f>IF(OR(AND($AS$14&lt;&gt;"",$AS$14&lt;&gt;"NA",OR($AS$14=AO111,$AS$14=AP111)),AND($AS$15&lt;&gt;"",OR($AS$15=AO111,$AS$15=AP111))),2,0)</f>
        <v/>
      </c>
      <c r="AC111" s="20">
        <f>IF(AND(ISNUMBER($AS$12),ISNUMBER(N111),ABS($AS$12-N111)&lt;=10),2,0)</f>
        <v/>
      </c>
      <c r="AD111" s="20">
        <f>IF(R111="Yes",SUM(S111:AC111),"")</f>
        <v/>
      </c>
      <c r="AE111" s="20">
        <f>IF(R111="Yes","Score "&amp;AD111&amp;": "&amp;TRIM(IF(S111&lt;&gt;0,"−8 acrimonious; ","")&amp;IF(T111=7,"+7 shared language; ","")&amp;IF(T111=-5,"−5 shared lang(adv); ","")&amp;IF(U111=5,"+5 same-sex; ","")&amp;IF(V111=-5,"−5 online no device; ","")&amp;IF(W111=3,"+3 mode; ","")&amp;IF(X111=3,"+3 proximity; ","")&amp;IF(Y111=3,"+3 category; ","")&amp;IF(Z111=3,"+3 long wait; ","")&amp;IF(AA111=2,"+2 religion; ","")&amp;IF(AB111=2,"+2 nationality; ","")&amp;IF(AC111=2,"+2 age; ","")),"Not eligible: "&amp;IF(NOT(AH111),"tutor not pending/with-capacity",IF(NOT(AI111),"no spare capacity",IF(AJ111,"tutor blacklisted",IF($AS$25,"student blacklisted",IF(NOT(AK111),"tutor vetting incomplete",IF(NOT($AS$26),"student vetting incomplete",IF(NOT(AM111),"no overlapping 3h AEST block",IF(NOT(AN111),"A1 student needs a shared language",IF(AL111,"'do not pair' note present",""))))))))))</f>
        <v/>
      </c>
      <c r="AF111">
        <f>TRIM(IFERROR(LEFT('(B) Register of Participants'!$AR$89,FIND(" (",'(B) Register of Participants'!$AR$89)-1),'(B) Register of Participants'!$AR$89))</f>
        <v/>
      </c>
      <c r="AG111">
        <f>IF(ISNUMBER(SEARCH("Mandarin",'(B) Register of Participants'!$AR$89)),"Mandarin",IF(ISNUMBER(SEARCH("Cantonese",'(B) Register of Participants'!$AR$89)),"Cantonese",IF(OR(AF111="Dari",AF111="Farsi",AF111="Persian",AF111="Hazaragi"),"Persian",AF111)))</f>
        <v/>
      </c>
      <c r="AH111">
        <f>OR(E111="ADM-ACT-UNMAT",E111="ADM-ACT-MAT-CNE")</f>
        <v/>
      </c>
      <c r="AI111">
        <f>F111&gt;0</f>
        <v/>
      </c>
      <c r="AJ111">
        <f>LEFT('(B) Register of Participants'!$L$89,3)="Yes"</f>
        <v/>
      </c>
      <c r="AK111">
        <f>AND(OR(LEFT('(B) Register of Participants'!$AY$89,3)="Yes",LEFT('(B) Register of Participants'!$AY$89,2)="NA"),OR(LEFT('(B) Register of Participants'!$AZ$89,3)="Yes",LEFT('(B) Register of Participants'!$AZ$89,2)="NA"))</f>
        <v/>
      </c>
      <c r="AL111">
        <f>OR(ISNUMBER(SEARCH("do not pair",'(B) Register of Participants'!$BL$89)),ISNUMBER(SEARCH("do not pair",'(B) Register of Participants'!$BM$89)))</f>
        <v/>
      </c>
      <c r="AM111">
        <f>P111&gt;0</f>
        <v/>
      </c>
      <c r="AN111">
        <f>IF($AS$8="A1",Q111=1,TRUE)</f>
        <v/>
      </c>
      <c r="AO111">
        <f>TRIM(IFERROR(LEFT('(B) Register of Participants'!$AP$89,FIND(";",'(B) Register of Participants'!$AP$89)-1),'(B) Register of Participants'!$AP$89))</f>
        <v/>
      </c>
      <c r="AP111">
        <f>IF(ISNUMBER(FIND(";",'(B) Register of Participants'!$AP$89)),TRIM(MID('(B) Register of Participants'!$AP$89,FIND(";",'(B) Register of Participants'!$AP$89)+1,80)),"")</f>
        <v/>
      </c>
    </row>
    <row r="112">
      <c r="B112" s="20">
        <f>IF(R112="Yes",RANK(AD112,$AD$25:$AD$124),"")</f>
        <v/>
      </c>
      <c r="C112" s="20">
        <f>'(B) Register of Participants'!$A$90</f>
        <v/>
      </c>
      <c r="D112" s="20">
        <f>'(B) Register of Participants'!$B$90</f>
        <v/>
      </c>
      <c r="E112" s="20">
        <f>'(B) Register of Participants'!$J$90</f>
        <v/>
      </c>
      <c r="F112" s="20">
        <f>IFERROR('(B) Register of Participants'!$O$90-'(B) Register of Participants'!$P$90,0)</f>
        <v/>
      </c>
      <c r="G112" s="20">
        <f>'(B) Register of Participants'!$AL$90</f>
        <v/>
      </c>
      <c r="H112" s="20">
        <f>'(B) Register of Participants'!$AP$90</f>
        <v/>
      </c>
      <c r="I112" s="20">
        <f>TRIM(IFERROR(LEFT('(B) Register of Participants'!$AS$90,FIND(" (",'(B) Register of Participants'!$AS$90)-1),'(B) Register of Participants'!$AS$90))</f>
        <v/>
      </c>
      <c r="J112" s="20">
        <f>'(B) Register of Participants'!$AT$90</f>
        <v/>
      </c>
      <c r="K112" s="20">
        <f>'(B) Register of Participants'!$AE$90</f>
        <v/>
      </c>
      <c r="L112" s="20">
        <f>'(B) Register of Participants'!$AF$90</f>
        <v/>
      </c>
      <c r="M112" s="20">
        <f>'(B) Register of Participants'!$AJ$90</f>
        <v/>
      </c>
      <c r="N112" s="20">
        <f>'(B) Register of Participants'!$CY$90</f>
        <v/>
      </c>
      <c r="O112" s="20">
        <f>'(B) Register of Participants'!$CW$90</f>
        <v/>
      </c>
      <c r="P112" s="20">
        <f>(ISNUMBER(SEARCH("6am-9am",$AS$27))*ISNUMBER(SEARCH("6am-9am",'(B) Register of Participants'!$X$90)))+(ISNUMBER(SEARCH("9am-12pm",$AS$27))*ISNUMBER(SEARCH("9am-12pm",'(B) Register of Participants'!$X$90)))+(ISNUMBER(SEARCH("12pm-3pm",$AS$27))*ISNUMBER(SEARCH("12pm-3pm",'(B) Register of Participants'!$X$90)))+(ISNUMBER(SEARCH("3pm-6pm",$AS$27))*ISNUMBER(SEARCH("3pm-6pm",'(B) Register of Participants'!$X$90)))+(ISNUMBER(SEARCH("6pm-9pm",$AS$27))*ISNUMBER(SEARCH("6pm-9pm",'(B) Register of Participants'!$X$90)))+(ISNUMBER(SEARCH("6am-9am",$AS$28))*ISNUMBER(SEARCH("6am-9am",'(B) Register of Participants'!$Y$90)))+(ISNUMBER(SEARCH("9am-12pm",$AS$28))*ISNUMBER(SEARCH("9am-12pm",'(B) Register of Participants'!$Y$90)))+(ISNUMBER(SEARCH("12pm-3pm",$AS$28))*ISNUMBER(SEARCH("12pm-3pm",'(B) Register of Participants'!$Y$90)))+(ISNUMBER(SEARCH("3pm-6pm",$AS$28))*ISNUMBER(SEARCH("3pm-6pm",'(B) Register of Participants'!$Y$90)))+(ISNUMBER(SEARCH("6pm-9pm",$AS$28))*ISNUMBER(SEARCH("6pm-9pm",'(B) Register of Participants'!$Y$90)))+(ISNUMBER(SEARCH("6am-9am",$AS$29))*ISNUMBER(SEARCH("6am-9am",'(B) Register of Participants'!$Z$90)))+(ISNUMBER(SEARCH("9am-12pm",$AS$29))*ISNUMBER(SEARCH("9am-12pm",'(B) Register of Participants'!$Z$90)))+(ISNUMBER(SEARCH("12pm-3pm",$AS$29))*ISNUMBER(SEARCH("12pm-3pm",'(B) Register of Participants'!$Z$90)))+(ISNUMBER(SEARCH("3pm-6pm",$AS$29))*ISNUMBER(SEARCH("3pm-6pm",'(B) Register of Participants'!$Z$90)))+(ISNUMBER(SEARCH("6pm-9pm",$AS$29))*ISNUMBER(SEARCH("6pm-9pm",'(B) Register of Participants'!$Z$90)))+(ISNUMBER(SEARCH("6am-9am",$AS$30))*ISNUMBER(SEARCH("6am-9am",'(B) Register of Participants'!$AA$90)))+(ISNUMBER(SEARCH("9am-12pm",$AS$30))*ISNUMBER(SEARCH("9am-12pm",'(B) Register of Participants'!$AA$90)))+(ISNUMBER(SEARCH("12pm-3pm",$AS$30))*ISNUMBER(SEARCH("12pm-3pm",'(B) Register of Participants'!$AA$90)))+(ISNUMBER(SEARCH("3pm-6pm",$AS$30))*ISNUMBER(SEARCH("3pm-6pm",'(B) Register of Participants'!$AA$90)))+(ISNUMBER(SEARCH("6pm-9pm",$AS$30))*ISNUMBER(SEARCH("6pm-9pm",'(B) Register of Participants'!$AA$90)))+(ISNUMBER(SEARCH("6am-9am",$AS$31))*ISNUMBER(SEARCH("6am-9am",'(B) Register of Participants'!$AB$90)))+(ISNUMBER(SEARCH("9am-12pm",$AS$31))*ISNUMBER(SEARCH("9am-12pm",'(B) Register of Participants'!$AB$90)))+(ISNUMBER(SEARCH("12pm-3pm",$AS$31))*ISNUMBER(SEARCH("12pm-3pm",'(B) Register of Participants'!$AB$90)))+(ISNUMBER(SEARCH("3pm-6pm",$AS$31))*ISNUMBER(SEARCH("3pm-6pm",'(B) Register of Participants'!$AB$90)))+(ISNUMBER(SEARCH("6pm-9pm",$AS$31))*ISNUMBER(SEARCH("6pm-9pm",'(B) Register of Participants'!$AB$90)))+(ISNUMBER(SEARCH("6am-9am",$AS$32))*ISNUMBER(SEARCH("6am-9am",'(B) Register of Participants'!$AC$90)))+(ISNUMBER(SEARCH("9am-12pm",$AS$32))*ISNUMBER(SEARCH("9am-12pm",'(B) Register of Participants'!$AC$90)))+(ISNUMBER(SEARCH("12pm-3pm",$AS$32))*ISNUMBER(SEARCH("12pm-3pm",'(B) Register of Participants'!$AC$90)))+(ISNUMBER(SEARCH("3pm-6pm",$AS$32))*ISNUMBER(SEARCH("3pm-6pm",'(B) Register of Participants'!$AC$90)))+(ISNUMBER(SEARCH("6pm-9pm",$AS$32))*ISNUMBER(SEARCH("6pm-9pm",'(B) Register of Participants'!$AC$90)))+(ISNUMBER(SEARCH("6am-9am",$AS$33))*ISNUMBER(SEARCH("6am-9am",'(B) Register of Participants'!$AD$90)))+(ISNUMBER(SEARCH("9am-12pm",$AS$33))*ISNUMBER(SEARCH("9am-12pm",'(B) Register of Participants'!$AD$90)))+(ISNUMBER(SEARCH("12pm-3pm",$AS$33))*ISNUMBER(SEARCH("12pm-3pm",'(B) Register of Participants'!$AD$90)))+(ISNUMBER(SEARCH("3pm-6pm",$AS$33))*ISNUMBER(SEARCH("3pm-6pm",'(B) Register of Participants'!$AD$90)))+(ISNUMBER(SEARCH("6pm-9pm",$AS$33))*ISNUMBER(SEARCH("6pm-9pm",'(B) Register of Participants'!$AD$90)))</f>
        <v/>
      </c>
      <c r="Q112" s="20">
        <f>IF(OR(AND($AS$17&lt;&gt;"",$AS$17&lt;&gt;"English",IF($AS$17="Persian",OR(ISNUMBER(SEARCH("Dari",'(B) Register of Participants'!$AR$90)),ISNUMBER(SEARCH("Farsi",'(B) Register of Participants'!$AR$90)),ISNUMBER(SEARCH("Persian",'(B) Register of Participants'!$AR$90)),ISNUMBER(SEARCH("Hazaragi",'(B) Register of Participants'!$AR$90))),ISNUMBER(SEARCH($AS$17,'(B) Register of Participants'!$AR$90)))),AND($AS$20&lt;&gt;"",$AS$20&lt;&gt;"English",IF($AS$20="Persian",OR(ISNUMBER(SEARCH("Dari",'(B) Register of Participants'!$AR$90)),ISNUMBER(SEARCH("Farsi",'(B) Register of Participants'!$AR$90)),ISNUMBER(SEARCH("Persian",'(B) Register of Participants'!$AR$90)),ISNUMBER(SEARCH("Hazaragi",'(B) Register of Participants'!$AR$90))),ISNUMBER(SEARCH($AS$20,'(B) Register of Participants'!$AR$90))))),1,0)</f>
        <v/>
      </c>
      <c r="R112" s="20">
        <f>IF(AND(AH112,AI112,NOT(AJ112),NOT($AS$25),AK112,$AS$26,AM112,AN112,NOT(AL112)),"Yes","No")</f>
        <v/>
      </c>
      <c r="S112" s="20">
        <f>IF(OR(COUNTIF('Engine Lists'!$A:$A,$AS$14&amp;"|"&amp;AO112)&gt;0,COUNTIF('Engine Lists'!$A:$A,$AS$14&amp;"|"&amp;AP112)&gt;0,COUNTIF('Engine Lists'!$A:$A,$AS$15&amp;"|"&amp;AO112)&gt;0,COUNTIF('Engine Lists'!$A:$A,$AS$15&amp;"|"&amp;AP112)&gt;0,COUNTIF('Engine Lists'!$A:$A,$AS$21&amp;"|"&amp;I112)&gt;0),-8,0)</f>
        <v/>
      </c>
      <c r="T112" s="20">
        <f>IF(Q112=1,IF(OR($AS$8="A2",$AS$8="B1"),7,IF(OR($AS$8="B2",$AS$8="C1",$AS$8="C2"),-5,0)),0)</f>
        <v/>
      </c>
      <c r="U112" s="20">
        <f>IF(AND($AS$6=G112,OR($AS$6="Male",$AS$6="Female")),5,0)</f>
        <v/>
      </c>
      <c r="V112" s="20">
        <f>IF(AND($AS$24,$AS$11&lt;&gt;"In-Person",K112&lt;&gt;"In-Person"),-5,0)</f>
        <v/>
      </c>
      <c r="W112" s="20">
        <f>IF(OR($AS$11=K112,$AS$11="Either",K112="Either"),3,0)</f>
        <v/>
      </c>
      <c r="X112" s="20">
        <f>IF(AND($AS$11&lt;&gt;"Online",K112&lt;&gt;"Online",ISNUMBER($AS$22),ISNUMBER(IFERROR(VALUE(M112),"x"))),IF(ABS($AS$22-VALUE(M112))&lt;=50,3,0),0)</f>
        <v/>
      </c>
      <c r="Y112" s="20">
        <f>IF(AND($AS$10&lt;&gt;"",$AS$10=J112),3,0)</f>
        <v/>
      </c>
      <c r="Z112" s="20">
        <f>IF(OR(N($AS$13)&gt;=150,N(O112)&gt;=150),3,0)</f>
        <v/>
      </c>
      <c r="AA112" s="20">
        <f>IF(AND($AS$21&lt;&gt;"",$AS$21&lt;&gt;"NA",$AS$21=I112),2,0)</f>
        <v/>
      </c>
      <c r="AB112" s="20">
        <f>IF(OR(AND($AS$14&lt;&gt;"",$AS$14&lt;&gt;"NA",OR($AS$14=AO112,$AS$14=AP112)),AND($AS$15&lt;&gt;"",OR($AS$15=AO112,$AS$15=AP112))),2,0)</f>
        <v/>
      </c>
      <c r="AC112" s="20">
        <f>IF(AND(ISNUMBER($AS$12),ISNUMBER(N112),ABS($AS$12-N112)&lt;=10),2,0)</f>
        <v/>
      </c>
      <c r="AD112" s="20">
        <f>IF(R112="Yes",SUM(S112:AC112),"")</f>
        <v/>
      </c>
      <c r="AE112" s="20">
        <f>IF(R112="Yes","Score "&amp;AD112&amp;": "&amp;TRIM(IF(S112&lt;&gt;0,"−8 acrimonious; ","")&amp;IF(T112=7,"+7 shared language; ","")&amp;IF(T112=-5,"−5 shared lang(adv); ","")&amp;IF(U112=5,"+5 same-sex; ","")&amp;IF(V112=-5,"−5 online no device; ","")&amp;IF(W112=3,"+3 mode; ","")&amp;IF(X112=3,"+3 proximity; ","")&amp;IF(Y112=3,"+3 category; ","")&amp;IF(Z112=3,"+3 long wait; ","")&amp;IF(AA112=2,"+2 religion; ","")&amp;IF(AB112=2,"+2 nationality; ","")&amp;IF(AC112=2,"+2 age; ","")),"Not eligible: "&amp;IF(NOT(AH112),"tutor not pending/with-capacity",IF(NOT(AI112),"no spare capacity",IF(AJ112,"tutor blacklisted",IF($AS$25,"student blacklisted",IF(NOT(AK112),"tutor vetting incomplete",IF(NOT($AS$26),"student vetting incomplete",IF(NOT(AM112),"no overlapping 3h AEST block",IF(NOT(AN112),"A1 student needs a shared language",IF(AL112,"'do not pair' note present",""))))))))))</f>
        <v/>
      </c>
      <c r="AF112">
        <f>TRIM(IFERROR(LEFT('(B) Register of Participants'!$AR$90,FIND(" (",'(B) Register of Participants'!$AR$90)-1),'(B) Register of Participants'!$AR$90))</f>
        <v/>
      </c>
      <c r="AG112">
        <f>IF(ISNUMBER(SEARCH("Mandarin",'(B) Register of Participants'!$AR$90)),"Mandarin",IF(ISNUMBER(SEARCH("Cantonese",'(B) Register of Participants'!$AR$90)),"Cantonese",IF(OR(AF112="Dari",AF112="Farsi",AF112="Persian",AF112="Hazaragi"),"Persian",AF112)))</f>
        <v/>
      </c>
      <c r="AH112">
        <f>OR(E112="ADM-ACT-UNMAT",E112="ADM-ACT-MAT-CNE")</f>
        <v/>
      </c>
      <c r="AI112">
        <f>F112&gt;0</f>
        <v/>
      </c>
      <c r="AJ112">
        <f>LEFT('(B) Register of Participants'!$L$90,3)="Yes"</f>
        <v/>
      </c>
      <c r="AK112">
        <f>AND(OR(LEFT('(B) Register of Participants'!$AY$90,3)="Yes",LEFT('(B) Register of Participants'!$AY$90,2)="NA"),OR(LEFT('(B) Register of Participants'!$AZ$90,3)="Yes",LEFT('(B) Register of Participants'!$AZ$90,2)="NA"))</f>
        <v/>
      </c>
      <c r="AL112">
        <f>OR(ISNUMBER(SEARCH("do not pair",'(B) Register of Participants'!$BL$90)),ISNUMBER(SEARCH("do not pair",'(B) Register of Participants'!$BM$90)))</f>
        <v/>
      </c>
      <c r="AM112">
        <f>P112&gt;0</f>
        <v/>
      </c>
      <c r="AN112">
        <f>IF($AS$8="A1",Q112=1,TRUE)</f>
        <v/>
      </c>
      <c r="AO112">
        <f>TRIM(IFERROR(LEFT('(B) Register of Participants'!$AP$90,FIND(";",'(B) Register of Participants'!$AP$90)-1),'(B) Register of Participants'!$AP$90))</f>
        <v/>
      </c>
      <c r="AP112">
        <f>IF(ISNUMBER(FIND(";",'(B) Register of Participants'!$AP$90)),TRIM(MID('(B) Register of Participants'!$AP$90,FIND(";",'(B) Register of Participants'!$AP$90)+1,80)),"")</f>
        <v/>
      </c>
    </row>
    <row r="113">
      <c r="B113" s="20">
        <f>IF(R113="Yes",RANK(AD113,$AD$25:$AD$124),"")</f>
        <v/>
      </c>
      <c r="C113" s="20">
        <f>'(B) Register of Participants'!$A$91</f>
        <v/>
      </c>
      <c r="D113" s="20">
        <f>'(B) Register of Participants'!$B$91</f>
        <v/>
      </c>
      <c r="E113" s="20">
        <f>'(B) Register of Participants'!$J$91</f>
        <v/>
      </c>
      <c r="F113" s="20">
        <f>IFERROR('(B) Register of Participants'!$O$91-'(B) Register of Participants'!$P$91,0)</f>
        <v/>
      </c>
      <c r="G113" s="20">
        <f>'(B) Register of Participants'!$AL$91</f>
        <v/>
      </c>
      <c r="H113" s="20">
        <f>'(B) Register of Participants'!$AP$91</f>
        <v/>
      </c>
      <c r="I113" s="20">
        <f>TRIM(IFERROR(LEFT('(B) Register of Participants'!$AS$91,FIND(" (",'(B) Register of Participants'!$AS$91)-1),'(B) Register of Participants'!$AS$91))</f>
        <v/>
      </c>
      <c r="J113" s="20">
        <f>'(B) Register of Participants'!$AT$91</f>
        <v/>
      </c>
      <c r="K113" s="20">
        <f>'(B) Register of Participants'!$AE$91</f>
        <v/>
      </c>
      <c r="L113" s="20">
        <f>'(B) Register of Participants'!$AF$91</f>
        <v/>
      </c>
      <c r="M113" s="20">
        <f>'(B) Register of Participants'!$AJ$91</f>
        <v/>
      </c>
      <c r="N113" s="20">
        <f>'(B) Register of Participants'!$CY$91</f>
        <v/>
      </c>
      <c r="O113" s="20">
        <f>'(B) Register of Participants'!$CW$91</f>
        <v/>
      </c>
      <c r="P113" s="20">
        <f>(ISNUMBER(SEARCH("6am-9am",$AS$27))*ISNUMBER(SEARCH("6am-9am",'(B) Register of Participants'!$X$91)))+(ISNUMBER(SEARCH("9am-12pm",$AS$27))*ISNUMBER(SEARCH("9am-12pm",'(B) Register of Participants'!$X$91)))+(ISNUMBER(SEARCH("12pm-3pm",$AS$27))*ISNUMBER(SEARCH("12pm-3pm",'(B) Register of Participants'!$X$91)))+(ISNUMBER(SEARCH("3pm-6pm",$AS$27))*ISNUMBER(SEARCH("3pm-6pm",'(B) Register of Participants'!$X$91)))+(ISNUMBER(SEARCH("6pm-9pm",$AS$27))*ISNUMBER(SEARCH("6pm-9pm",'(B) Register of Participants'!$X$91)))+(ISNUMBER(SEARCH("6am-9am",$AS$28))*ISNUMBER(SEARCH("6am-9am",'(B) Register of Participants'!$Y$91)))+(ISNUMBER(SEARCH("9am-12pm",$AS$28))*ISNUMBER(SEARCH("9am-12pm",'(B) Register of Participants'!$Y$91)))+(ISNUMBER(SEARCH("12pm-3pm",$AS$28))*ISNUMBER(SEARCH("12pm-3pm",'(B) Register of Participants'!$Y$91)))+(ISNUMBER(SEARCH("3pm-6pm",$AS$28))*ISNUMBER(SEARCH("3pm-6pm",'(B) Register of Participants'!$Y$91)))+(ISNUMBER(SEARCH("6pm-9pm",$AS$28))*ISNUMBER(SEARCH("6pm-9pm",'(B) Register of Participants'!$Y$91)))+(ISNUMBER(SEARCH("6am-9am",$AS$29))*ISNUMBER(SEARCH("6am-9am",'(B) Register of Participants'!$Z$91)))+(ISNUMBER(SEARCH("9am-12pm",$AS$29))*ISNUMBER(SEARCH("9am-12pm",'(B) Register of Participants'!$Z$91)))+(ISNUMBER(SEARCH("12pm-3pm",$AS$29))*ISNUMBER(SEARCH("12pm-3pm",'(B) Register of Participants'!$Z$91)))+(ISNUMBER(SEARCH("3pm-6pm",$AS$29))*ISNUMBER(SEARCH("3pm-6pm",'(B) Register of Participants'!$Z$91)))+(ISNUMBER(SEARCH("6pm-9pm",$AS$29))*ISNUMBER(SEARCH("6pm-9pm",'(B) Register of Participants'!$Z$91)))+(ISNUMBER(SEARCH("6am-9am",$AS$30))*ISNUMBER(SEARCH("6am-9am",'(B) Register of Participants'!$AA$91)))+(ISNUMBER(SEARCH("9am-12pm",$AS$30))*ISNUMBER(SEARCH("9am-12pm",'(B) Register of Participants'!$AA$91)))+(ISNUMBER(SEARCH("12pm-3pm",$AS$30))*ISNUMBER(SEARCH("12pm-3pm",'(B) Register of Participants'!$AA$91)))+(ISNUMBER(SEARCH("3pm-6pm",$AS$30))*ISNUMBER(SEARCH("3pm-6pm",'(B) Register of Participants'!$AA$91)))+(ISNUMBER(SEARCH("6pm-9pm",$AS$30))*ISNUMBER(SEARCH("6pm-9pm",'(B) Register of Participants'!$AA$91)))+(ISNUMBER(SEARCH("6am-9am",$AS$31))*ISNUMBER(SEARCH("6am-9am",'(B) Register of Participants'!$AB$91)))+(ISNUMBER(SEARCH("9am-12pm",$AS$31))*ISNUMBER(SEARCH("9am-12pm",'(B) Register of Participants'!$AB$91)))+(ISNUMBER(SEARCH("12pm-3pm",$AS$31))*ISNUMBER(SEARCH("12pm-3pm",'(B) Register of Participants'!$AB$91)))+(ISNUMBER(SEARCH("3pm-6pm",$AS$31))*ISNUMBER(SEARCH("3pm-6pm",'(B) Register of Participants'!$AB$91)))+(ISNUMBER(SEARCH("6pm-9pm",$AS$31))*ISNUMBER(SEARCH("6pm-9pm",'(B) Register of Participants'!$AB$91)))+(ISNUMBER(SEARCH("6am-9am",$AS$32))*ISNUMBER(SEARCH("6am-9am",'(B) Register of Participants'!$AC$91)))+(ISNUMBER(SEARCH("9am-12pm",$AS$32))*ISNUMBER(SEARCH("9am-12pm",'(B) Register of Participants'!$AC$91)))+(ISNUMBER(SEARCH("12pm-3pm",$AS$32))*ISNUMBER(SEARCH("12pm-3pm",'(B) Register of Participants'!$AC$91)))+(ISNUMBER(SEARCH("3pm-6pm",$AS$32))*ISNUMBER(SEARCH("3pm-6pm",'(B) Register of Participants'!$AC$91)))+(ISNUMBER(SEARCH("6pm-9pm",$AS$32))*ISNUMBER(SEARCH("6pm-9pm",'(B) Register of Participants'!$AC$91)))+(ISNUMBER(SEARCH("6am-9am",$AS$33))*ISNUMBER(SEARCH("6am-9am",'(B) Register of Participants'!$AD$91)))+(ISNUMBER(SEARCH("9am-12pm",$AS$33))*ISNUMBER(SEARCH("9am-12pm",'(B) Register of Participants'!$AD$91)))+(ISNUMBER(SEARCH("12pm-3pm",$AS$33))*ISNUMBER(SEARCH("12pm-3pm",'(B) Register of Participants'!$AD$91)))+(ISNUMBER(SEARCH("3pm-6pm",$AS$33))*ISNUMBER(SEARCH("3pm-6pm",'(B) Register of Participants'!$AD$91)))+(ISNUMBER(SEARCH("6pm-9pm",$AS$33))*ISNUMBER(SEARCH("6pm-9pm",'(B) Register of Participants'!$AD$91)))</f>
        <v/>
      </c>
      <c r="Q113" s="20">
        <f>IF(OR(AND($AS$17&lt;&gt;"",$AS$17&lt;&gt;"English",IF($AS$17="Persian",OR(ISNUMBER(SEARCH("Dari",'(B) Register of Participants'!$AR$91)),ISNUMBER(SEARCH("Farsi",'(B) Register of Participants'!$AR$91)),ISNUMBER(SEARCH("Persian",'(B) Register of Participants'!$AR$91)),ISNUMBER(SEARCH("Hazaragi",'(B) Register of Participants'!$AR$91))),ISNUMBER(SEARCH($AS$17,'(B) Register of Participants'!$AR$91)))),AND($AS$20&lt;&gt;"",$AS$20&lt;&gt;"English",IF($AS$20="Persian",OR(ISNUMBER(SEARCH("Dari",'(B) Register of Participants'!$AR$91)),ISNUMBER(SEARCH("Farsi",'(B) Register of Participants'!$AR$91)),ISNUMBER(SEARCH("Persian",'(B) Register of Participants'!$AR$91)),ISNUMBER(SEARCH("Hazaragi",'(B) Register of Participants'!$AR$91))),ISNUMBER(SEARCH($AS$20,'(B) Register of Participants'!$AR$91))))),1,0)</f>
        <v/>
      </c>
      <c r="R113" s="20">
        <f>IF(AND(AH113,AI113,NOT(AJ113),NOT($AS$25),AK113,$AS$26,AM113,AN113,NOT(AL113)),"Yes","No")</f>
        <v/>
      </c>
      <c r="S113" s="20">
        <f>IF(OR(COUNTIF('Engine Lists'!$A:$A,$AS$14&amp;"|"&amp;AO113)&gt;0,COUNTIF('Engine Lists'!$A:$A,$AS$14&amp;"|"&amp;AP113)&gt;0,COUNTIF('Engine Lists'!$A:$A,$AS$15&amp;"|"&amp;AO113)&gt;0,COUNTIF('Engine Lists'!$A:$A,$AS$15&amp;"|"&amp;AP113)&gt;0,COUNTIF('Engine Lists'!$A:$A,$AS$21&amp;"|"&amp;I113)&gt;0),-8,0)</f>
        <v/>
      </c>
      <c r="T113" s="20">
        <f>IF(Q113=1,IF(OR($AS$8="A2",$AS$8="B1"),7,IF(OR($AS$8="B2",$AS$8="C1",$AS$8="C2"),-5,0)),0)</f>
        <v/>
      </c>
      <c r="U113" s="20">
        <f>IF(AND($AS$6=G113,OR($AS$6="Male",$AS$6="Female")),5,0)</f>
        <v/>
      </c>
      <c r="V113" s="20">
        <f>IF(AND($AS$24,$AS$11&lt;&gt;"In-Person",K113&lt;&gt;"In-Person"),-5,0)</f>
        <v/>
      </c>
      <c r="W113" s="20">
        <f>IF(OR($AS$11=K113,$AS$11="Either",K113="Either"),3,0)</f>
        <v/>
      </c>
      <c r="X113" s="20">
        <f>IF(AND($AS$11&lt;&gt;"Online",K113&lt;&gt;"Online",ISNUMBER($AS$22),ISNUMBER(IFERROR(VALUE(M113),"x"))),IF(ABS($AS$22-VALUE(M113))&lt;=50,3,0),0)</f>
        <v/>
      </c>
      <c r="Y113" s="20">
        <f>IF(AND($AS$10&lt;&gt;"",$AS$10=J113),3,0)</f>
        <v/>
      </c>
      <c r="Z113" s="20">
        <f>IF(OR(N($AS$13)&gt;=150,N(O113)&gt;=150),3,0)</f>
        <v/>
      </c>
      <c r="AA113" s="20">
        <f>IF(AND($AS$21&lt;&gt;"",$AS$21&lt;&gt;"NA",$AS$21=I113),2,0)</f>
        <v/>
      </c>
      <c r="AB113" s="20">
        <f>IF(OR(AND($AS$14&lt;&gt;"",$AS$14&lt;&gt;"NA",OR($AS$14=AO113,$AS$14=AP113)),AND($AS$15&lt;&gt;"",OR($AS$15=AO113,$AS$15=AP113))),2,0)</f>
        <v/>
      </c>
      <c r="AC113" s="20">
        <f>IF(AND(ISNUMBER($AS$12),ISNUMBER(N113),ABS($AS$12-N113)&lt;=10),2,0)</f>
        <v/>
      </c>
      <c r="AD113" s="20">
        <f>IF(R113="Yes",SUM(S113:AC113),"")</f>
        <v/>
      </c>
      <c r="AE113" s="20">
        <f>IF(R113="Yes","Score "&amp;AD113&amp;": "&amp;TRIM(IF(S113&lt;&gt;0,"−8 acrimonious; ","")&amp;IF(T113=7,"+7 shared language; ","")&amp;IF(T113=-5,"−5 shared lang(adv); ","")&amp;IF(U113=5,"+5 same-sex; ","")&amp;IF(V113=-5,"−5 online no device; ","")&amp;IF(W113=3,"+3 mode; ","")&amp;IF(X113=3,"+3 proximity; ","")&amp;IF(Y113=3,"+3 category; ","")&amp;IF(Z113=3,"+3 long wait; ","")&amp;IF(AA113=2,"+2 religion; ","")&amp;IF(AB113=2,"+2 nationality; ","")&amp;IF(AC113=2,"+2 age; ","")),"Not eligible: "&amp;IF(NOT(AH113),"tutor not pending/with-capacity",IF(NOT(AI113),"no spare capacity",IF(AJ113,"tutor blacklisted",IF($AS$25,"student blacklisted",IF(NOT(AK113),"tutor vetting incomplete",IF(NOT($AS$26),"student vetting incomplete",IF(NOT(AM113),"no overlapping 3h AEST block",IF(NOT(AN113),"A1 student needs a shared language",IF(AL113,"'do not pair' note present",""))))))))))</f>
        <v/>
      </c>
      <c r="AF113">
        <f>TRIM(IFERROR(LEFT('(B) Register of Participants'!$AR$91,FIND(" (",'(B) Register of Participants'!$AR$91)-1),'(B) Register of Participants'!$AR$91))</f>
        <v/>
      </c>
      <c r="AG113">
        <f>IF(ISNUMBER(SEARCH("Mandarin",'(B) Register of Participants'!$AR$91)),"Mandarin",IF(ISNUMBER(SEARCH("Cantonese",'(B) Register of Participants'!$AR$91)),"Cantonese",IF(OR(AF113="Dari",AF113="Farsi",AF113="Persian",AF113="Hazaragi"),"Persian",AF113)))</f>
        <v/>
      </c>
      <c r="AH113">
        <f>OR(E113="ADM-ACT-UNMAT",E113="ADM-ACT-MAT-CNE")</f>
        <v/>
      </c>
      <c r="AI113">
        <f>F113&gt;0</f>
        <v/>
      </c>
      <c r="AJ113">
        <f>LEFT('(B) Register of Participants'!$L$91,3)="Yes"</f>
        <v/>
      </c>
      <c r="AK113">
        <f>AND(OR(LEFT('(B) Register of Participants'!$AY$91,3)="Yes",LEFT('(B) Register of Participants'!$AY$91,2)="NA"),OR(LEFT('(B) Register of Participants'!$AZ$91,3)="Yes",LEFT('(B) Register of Participants'!$AZ$91,2)="NA"))</f>
        <v/>
      </c>
      <c r="AL113">
        <f>OR(ISNUMBER(SEARCH("do not pair",'(B) Register of Participants'!$BL$91)),ISNUMBER(SEARCH("do not pair",'(B) Register of Participants'!$BM$91)))</f>
        <v/>
      </c>
      <c r="AM113">
        <f>P113&gt;0</f>
        <v/>
      </c>
      <c r="AN113">
        <f>IF($AS$8="A1",Q113=1,TRUE)</f>
        <v/>
      </c>
      <c r="AO113">
        <f>TRIM(IFERROR(LEFT('(B) Register of Participants'!$AP$91,FIND(";",'(B) Register of Participants'!$AP$91)-1),'(B) Register of Participants'!$AP$91))</f>
        <v/>
      </c>
      <c r="AP113">
        <f>IF(ISNUMBER(FIND(";",'(B) Register of Participants'!$AP$91)),TRIM(MID('(B) Register of Participants'!$AP$91,FIND(";",'(B) Register of Participants'!$AP$91)+1,80)),"")</f>
        <v/>
      </c>
    </row>
    <row r="114">
      <c r="B114" s="20">
        <f>IF(R114="Yes",RANK(AD114,$AD$25:$AD$124),"")</f>
        <v/>
      </c>
      <c r="C114" s="20">
        <f>'(B) Register of Participants'!$A$92</f>
        <v/>
      </c>
      <c r="D114" s="20">
        <f>'(B) Register of Participants'!$B$92</f>
        <v/>
      </c>
      <c r="E114" s="20">
        <f>'(B) Register of Participants'!$J$92</f>
        <v/>
      </c>
      <c r="F114" s="20">
        <f>IFERROR('(B) Register of Participants'!$O$92-'(B) Register of Participants'!$P$92,0)</f>
        <v/>
      </c>
      <c r="G114" s="20">
        <f>'(B) Register of Participants'!$AL$92</f>
        <v/>
      </c>
      <c r="H114" s="20">
        <f>'(B) Register of Participants'!$AP$92</f>
        <v/>
      </c>
      <c r="I114" s="20">
        <f>TRIM(IFERROR(LEFT('(B) Register of Participants'!$AS$92,FIND(" (",'(B) Register of Participants'!$AS$92)-1),'(B) Register of Participants'!$AS$92))</f>
        <v/>
      </c>
      <c r="J114" s="20">
        <f>'(B) Register of Participants'!$AT$92</f>
        <v/>
      </c>
      <c r="K114" s="20">
        <f>'(B) Register of Participants'!$AE$92</f>
        <v/>
      </c>
      <c r="L114" s="20">
        <f>'(B) Register of Participants'!$AF$92</f>
        <v/>
      </c>
      <c r="M114" s="20">
        <f>'(B) Register of Participants'!$AJ$92</f>
        <v/>
      </c>
      <c r="N114" s="20">
        <f>'(B) Register of Participants'!$CY$92</f>
        <v/>
      </c>
      <c r="O114" s="20">
        <f>'(B) Register of Participants'!$CW$92</f>
        <v/>
      </c>
      <c r="P114" s="20">
        <f>(ISNUMBER(SEARCH("6am-9am",$AS$27))*ISNUMBER(SEARCH("6am-9am",'(B) Register of Participants'!$X$92)))+(ISNUMBER(SEARCH("9am-12pm",$AS$27))*ISNUMBER(SEARCH("9am-12pm",'(B) Register of Participants'!$X$92)))+(ISNUMBER(SEARCH("12pm-3pm",$AS$27))*ISNUMBER(SEARCH("12pm-3pm",'(B) Register of Participants'!$X$92)))+(ISNUMBER(SEARCH("3pm-6pm",$AS$27))*ISNUMBER(SEARCH("3pm-6pm",'(B) Register of Participants'!$X$92)))+(ISNUMBER(SEARCH("6pm-9pm",$AS$27))*ISNUMBER(SEARCH("6pm-9pm",'(B) Register of Participants'!$X$92)))+(ISNUMBER(SEARCH("6am-9am",$AS$28))*ISNUMBER(SEARCH("6am-9am",'(B) Register of Participants'!$Y$92)))+(ISNUMBER(SEARCH("9am-12pm",$AS$28))*ISNUMBER(SEARCH("9am-12pm",'(B) Register of Participants'!$Y$92)))+(ISNUMBER(SEARCH("12pm-3pm",$AS$28))*ISNUMBER(SEARCH("12pm-3pm",'(B) Register of Participants'!$Y$92)))+(ISNUMBER(SEARCH("3pm-6pm",$AS$28))*ISNUMBER(SEARCH("3pm-6pm",'(B) Register of Participants'!$Y$92)))+(ISNUMBER(SEARCH("6pm-9pm",$AS$28))*ISNUMBER(SEARCH("6pm-9pm",'(B) Register of Participants'!$Y$92)))+(ISNUMBER(SEARCH("6am-9am",$AS$29))*ISNUMBER(SEARCH("6am-9am",'(B) Register of Participants'!$Z$92)))+(ISNUMBER(SEARCH("9am-12pm",$AS$29))*ISNUMBER(SEARCH("9am-12pm",'(B) Register of Participants'!$Z$92)))+(ISNUMBER(SEARCH("12pm-3pm",$AS$29))*ISNUMBER(SEARCH("12pm-3pm",'(B) Register of Participants'!$Z$92)))+(ISNUMBER(SEARCH("3pm-6pm",$AS$29))*ISNUMBER(SEARCH("3pm-6pm",'(B) Register of Participants'!$Z$92)))+(ISNUMBER(SEARCH("6pm-9pm",$AS$29))*ISNUMBER(SEARCH("6pm-9pm",'(B) Register of Participants'!$Z$92)))+(ISNUMBER(SEARCH("6am-9am",$AS$30))*ISNUMBER(SEARCH("6am-9am",'(B) Register of Participants'!$AA$92)))+(ISNUMBER(SEARCH("9am-12pm",$AS$30))*ISNUMBER(SEARCH("9am-12pm",'(B) Register of Participants'!$AA$92)))+(ISNUMBER(SEARCH("12pm-3pm",$AS$30))*ISNUMBER(SEARCH("12pm-3pm",'(B) Register of Participants'!$AA$92)))+(ISNUMBER(SEARCH("3pm-6pm",$AS$30))*ISNUMBER(SEARCH("3pm-6pm",'(B) Register of Participants'!$AA$92)))+(ISNUMBER(SEARCH("6pm-9pm",$AS$30))*ISNUMBER(SEARCH("6pm-9pm",'(B) Register of Participants'!$AA$92)))+(ISNUMBER(SEARCH("6am-9am",$AS$31))*ISNUMBER(SEARCH("6am-9am",'(B) Register of Participants'!$AB$92)))+(ISNUMBER(SEARCH("9am-12pm",$AS$31))*ISNUMBER(SEARCH("9am-12pm",'(B) Register of Participants'!$AB$92)))+(ISNUMBER(SEARCH("12pm-3pm",$AS$31))*ISNUMBER(SEARCH("12pm-3pm",'(B) Register of Participants'!$AB$92)))+(ISNUMBER(SEARCH("3pm-6pm",$AS$31))*ISNUMBER(SEARCH("3pm-6pm",'(B) Register of Participants'!$AB$92)))+(ISNUMBER(SEARCH("6pm-9pm",$AS$31))*ISNUMBER(SEARCH("6pm-9pm",'(B) Register of Participants'!$AB$92)))+(ISNUMBER(SEARCH("6am-9am",$AS$32))*ISNUMBER(SEARCH("6am-9am",'(B) Register of Participants'!$AC$92)))+(ISNUMBER(SEARCH("9am-12pm",$AS$32))*ISNUMBER(SEARCH("9am-12pm",'(B) Register of Participants'!$AC$92)))+(ISNUMBER(SEARCH("12pm-3pm",$AS$32))*ISNUMBER(SEARCH("12pm-3pm",'(B) Register of Participants'!$AC$92)))+(ISNUMBER(SEARCH("3pm-6pm",$AS$32))*ISNUMBER(SEARCH("3pm-6pm",'(B) Register of Participants'!$AC$92)))+(ISNUMBER(SEARCH("6pm-9pm",$AS$32))*ISNUMBER(SEARCH("6pm-9pm",'(B) Register of Participants'!$AC$92)))+(ISNUMBER(SEARCH("6am-9am",$AS$33))*ISNUMBER(SEARCH("6am-9am",'(B) Register of Participants'!$AD$92)))+(ISNUMBER(SEARCH("9am-12pm",$AS$33))*ISNUMBER(SEARCH("9am-12pm",'(B) Register of Participants'!$AD$92)))+(ISNUMBER(SEARCH("12pm-3pm",$AS$33))*ISNUMBER(SEARCH("12pm-3pm",'(B) Register of Participants'!$AD$92)))+(ISNUMBER(SEARCH("3pm-6pm",$AS$33))*ISNUMBER(SEARCH("3pm-6pm",'(B) Register of Participants'!$AD$92)))+(ISNUMBER(SEARCH("6pm-9pm",$AS$33))*ISNUMBER(SEARCH("6pm-9pm",'(B) Register of Participants'!$AD$92)))</f>
        <v/>
      </c>
      <c r="Q114" s="20">
        <f>IF(OR(AND($AS$17&lt;&gt;"",$AS$17&lt;&gt;"English",IF($AS$17="Persian",OR(ISNUMBER(SEARCH("Dari",'(B) Register of Participants'!$AR$92)),ISNUMBER(SEARCH("Farsi",'(B) Register of Participants'!$AR$92)),ISNUMBER(SEARCH("Persian",'(B) Register of Participants'!$AR$92)),ISNUMBER(SEARCH("Hazaragi",'(B) Register of Participants'!$AR$92))),ISNUMBER(SEARCH($AS$17,'(B) Register of Participants'!$AR$92)))),AND($AS$20&lt;&gt;"",$AS$20&lt;&gt;"English",IF($AS$20="Persian",OR(ISNUMBER(SEARCH("Dari",'(B) Register of Participants'!$AR$92)),ISNUMBER(SEARCH("Farsi",'(B) Register of Participants'!$AR$92)),ISNUMBER(SEARCH("Persian",'(B) Register of Participants'!$AR$92)),ISNUMBER(SEARCH("Hazaragi",'(B) Register of Participants'!$AR$92))),ISNUMBER(SEARCH($AS$20,'(B) Register of Participants'!$AR$92))))),1,0)</f>
        <v/>
      </c>
      <c r="R114" s="20">
        <f>IF(AND(AH114,AI114,NOT(AJ114),NOT($AS$25),AK114,$AS$26,AM114,AN114,NOT(AL114)),"Yes","No")</f>
        <v/>
      </c>
      <c r="S114" s="20">
        <f>IF(OR(COUNTIF('Engine Lists'!$A:$A,$AS$14&amp;"|"&amp;AO114)&gt;0,COUNTIF('Engine Lists'!$A:$A,$AS$14&amp;"|"&amp;AP114)&gt;0,COUNTIF('Engine Lists'!$A:$A,$AS$15&amp;"|"&amp;AO114)&gt;0,COUNTIF('Engine Lists'!$A:$A,$AS$15&amp;"|"&amp;AP114)&gt;0,COUNTIF('Engine Lists'!$A:$A,$AS$21&amp;"|"&amp;I114)&gt;0),-8,0)</f>
        <v/>
      </c>
      <c r="T114" s="20">
        <f>IF(Q114=1,IF(OR($AS$8="A2",$AS$8="B1"),7,IF(OR($AS$8="B2",$AS$8="C1",$AS$8="C2"),-5,0)),0)</f>
        <v/>
      </c>
      <c r="U114" s="20">
        <f>IF(AND($AS$6=G114,OR($AS$6="Male",$AS$6="Female")),5,0)</f>
        <v/>
      </c>
      <c r="V114" s="20">
        <f>IF(AND($AS$24,$AS$11&lt;&gt;"In-Person",K114&lt;&gt;"In-Person"),-5,0)</f>
        <v/>
      </c>
      <c r="W114" s="20">
        <f>IF(OR($AS$11=K114,$AS$11="Either",K114="Either"),3,0)</f>
        <v/>
      </c>
      <c r="X114" s="20">
        <f>IF(AND($AS$11&lt;&gt;"Online",K114&lt;&gt;"Online",ISNUMBER($AS$22),ISNUMBER(IFERROR(VALUE(M114),"x"))),IF(ABS($AS$22-VALUE(M114))&lt;=50,3,0),0)</f>
        <v/>
      </c>
      <c r="Y114" s="20">
        <f>IF(AND($AS$10&lt;&gt;"",$AS$10=J114),3,0)</f>
        <v/>
      </c>
      <c r="Z114" s="20">
        <f>IF(OR(N($AS$13)&gt;=150,N(O114)&gt;=150),3,0)</f>
        <v/>
      </c>
      <c r="AA114" s="20">
        <f>IF(AND($AS$21&lt;&gt;"",$AS$21&lt;&gt;"NA",$AS$21=I114),2,0)</f>
        <v/>
      </c>
      <c r="AB114" s="20">
        <f>IF(OR(AND($AS$14&lt;&gt;"",$AS$14&lt;&gt;"NA",OR($AS$14=AO114,$AS$14=AP114)),AND($AS$15&lt;&gt;"",OR($AS$15=AO114,$AS$15=AP114))),2,0)</f>
        <v/>
      </c>
      <c r="AC114" s="20">
        <f>IF(AND(ISNUMBER($AS$12),ISNUMBER(N114),ABS($AS$12-N114)&lt;=10),2,0)</f>
        <v/>
      </c>
      <c r="AD114" s="20">
        <f>IF(R114="Yes",SUM(S114:AC114),"")</f>
        <v/>
      </c>
      <c r="AE114" s="20">
        <f>IF(R114="Yes","Score "&amp;AD114&amp;": "&amp;TRIM(IF(S114&lt;&gt;0,"−8 acrimonious; ","")&amp;IF(T114=7,"+7 shared language; ","")&amp;IF(T114=-5,"−5 shared lang(adv); ","")&amp;IF(U114=5,"+5 same-sex; ","")&amp;IF(V114=-5,"−5 online no device; ","")&amp;IF(W114=3,"+3 mode; ","")&amp;IF(X114=3,"+3 proximity; ","")&amp;IF(Y114=3,"+3 category; ","")&amp;IF(Z114=3,"+3 long wait; ","")&amp;IF(AA114=2,"+2 religion; ","")&amp;IF(AB114=2,"+2 nationality; ","")&amp;IF(AC114=2,"+2 age; ","")),"Not eligible: "&amp;IF(NOT(AH114),"tutor not pending/with-capacity",IF(NOT(AI114),"no spare capacity",IF(AJ114,"tutor blacklisted",IF($AS$25,"student blacklisted",IF(NOT(AK114),"tutor vetting incomplete",IF(NOT($AS$26),"student vetting incomplete",IF(NOT(AM114),"no overlapping 3h AEST block",IF(NOT(AN114),"A1 student needs a shared language",IF(AL114,"'do not pair' note present",""))))))))))</f>
        <v/>
      </c>
      <c r="AF114">
        <f>TRIM(IFERROR(LEFT('(B) Register of Participants'!$AR$92,FIND(" (",'(B) Register of Participants'!$AR$92)-1),'(B) Register of Participants'!$AR$92))</f>
        <v/>
      </c>
      <c r="AG114">
        <f>IF(ISNUMBER(SEARCH("Mandarin",'(B) Register of Participants'!$AR$92)),"Mandarin",IF(ISNUMBER(SEARCH("Cantonese",'(B) Register of Participants'!$AR$92)),"Cantonese",IF(OR(AF114="Dari",AF114="Farsi",AF114="Persian",AF114="Hazaragi"),"Persian",AF114)))</f>
        <v/>
      </c>
      <c r="AH114">
        <f>OR(E114="ADM-ACT-UNMAT",E114="ADM-ACT-MAT-CNE")</f>
        <v/>
      </c>
      <c r="AI114">
        <f>F114&gt;0</f>
        <v/>
      </c>
      <c r="AJ114">
        <f>LEFT('(B) Register of Participants'!$L$92,3)="Yes"</f>
        <v/>
      </c>
      <c r="AK114">
        <f>AND(OR(LEFT('(B) Register of Participants'!$AY$92,3)="Yes",LEFT('(B) Register of Participants'!$AY$92,2)="NA"),OR(LEFT('(B) Register of Participants'!$AZ$92,3)="Yes",LEFT('(B) Register of Participants'!$AZ$92,2)="NA"))</f>
        <v/>
      </c>
      <c r="AL114">
        <f>OR(ISNUMBER(SEARCH("do not pair",'(B) Register of Participants'!$BL$92)),ISNUMBER(SEARCH("do not pair",'(B) Register of Participants'!$BM$92)))</f>
        <v/>
      </c>
      <c r="AM114">
        <f>P114&gt;0</f>
        <v/>
      </c>
      <c r="AN114">
        <f>IF($AS$8="A1",Q114=1,TRUE)</f>
        <v/>
      </c>
      <c r="AO114">
        <f>TRIM(IFERROR(LEFT('(B) Register of Participants'!$AP$92,FIND(";",'(B) Register of Participants'!$AP$92)-1),'(B) Register of Participants'!$AP$92))</f>
        <v/>
      </c>
      <c r="AP114">
        <f>IF(ISNUMBER(FIND(";",'(B) Register of Participants'!$AP$92)),TRIM(MID('(B) Register of Participants'!$AP$92,FIND(";",'(B) Register of Participants'!$AP$92)+1,80)),"")</f>
        <v/>
      </c>
    </row>
    <row r="115">
      <c r="B115" s="20">
        <f>IF(R115="Yes",RANK(AD115,$AD$25:$AD$124),"")</f>
        <v/>
      </c>
      <c r="C115" s="20">
        <f>'(B) Register of Participants'!$A$93</f>
        <v/>
      </c>
      <c r="D115" s="20">
        <f>'(B) Register of Participants'!$B$93</f>
        <v/>
      </c>
      <c r="E115" s="20">
        <f>'(B) Register of Participants'!$J$93</f>
        <v/>
      </c>
      <c r="F115" s="20">
        <f>IFERROR('(B) Register of Participants'!$O$93-'(B) Register of Participants'!$P$93,0)</f>
        <v/>
      </c>
      <c r="G115" s="20">
        <f>'(B) Register of Participants'!$AL$93</f>
        <v/>
      </c>
      <c r="H115" s="20">
        <f>'(B) Register of Participants'!$AP$93</f>
        <v/>
      </c>
      <c r="I115" s="20">
        <f>TRIM(IFERROR(LEFT('(B) Register of Participants'!$AS$93,FIND(" (",'(B) Register of Participants'!$AS$93)-1),'(B) Register of Participants'!$AS$93))</f>
        <v/>
      </c>
      <c r="J115" s="20">
        <f>'(B) Register of Participants'!$AT$93</f>
        <v/>
      </c>
      <c r="K115" s="20">
        <f>'(B) Register of Participants'!$AE$93</f>
        <v/>
      </c>
      <c r="L115" s="20">
        <f>'(B) Register of Participants'!$AF$93</f>
        <v/>
      </c>
      <c r="M115" s="20">
        <f>'(B) Register of Participants'!$AJ$93</f>
        <v/>
      </c>
      <c r="N115" s="20">
        <f>'(B) Register of Participants'!$CY$93</f>
        <v/>
      </c>
      <c r="O115" s="20">
        <f>'(B) Register of Participants'!$CW$93</f>
        <v/>
      </c>
      <c r="P115" s="20">
        <f>(ISNUMBER(SEARCH("6am-9am",$AS$27))*ISNUMBER(SEARCH("6am-9am",'(B) Register of Participants'!$X$93)))+(ISNUMBER(SEARCH("9am-12pm",$AS$27))*ISNUMBER(SEARCH("9am-12pm",'(B) Register of Participants'!$X$93)))+(ISNUMBER(SEARCH("12pm-3pm",$AS$27))*ISNUMBER(SEARCH("12pm-3pm",'(B) Register of Participants'!$X$93)))+(ISNUMBER(SEARCH("3pm-6pm",$AS$27))*ISNUMBER(SEARCH("3pm-6pm",'(B) Register of Participants'!$X$93)))+(ISNUMBER(SEARCH("6pm-9pm",$AS$27))*ISNUMBER(SEARCH("6pm-9pm",'(B) Register of Participants'!$X$93)))+(ISNUMBER(SEARCH("6am-9am",$AS$28))*ISNUMBER(SEARCH("6am-9am",'(B) Register of Participants'!$Y$93)))+(ISNUMBER(SEARCH("9am-12pm",$AS$28))*ISNUMBER(SEARCH("9am-12pm",'(B) Register of Participants'!$Y$93)))+(ISNUMBER(SEARCH("12pm-3pm",$AS$28))*ISNUMBER(SEARCH("12pm-3pm",'(B) Register of Participants'!$Y$93)))+(ISNUMBER(SEARCH("3pm-6pm",$AS$28))*ISNUMBER(SEARCH("3pm-6pm",'(B) Register of Participants'!$Y$93)))+(ISNUMBER(SEARCH("6pm-9pm",$AS$28))*ISNUMBER(SEARCH("6pm-9pm",'(B) Register of Participants'!$Y$93)))+(ISNUMBER(SEARCH("6am-9am",$AS$29))*ISNUMBER(SEARCH("6am-9am",'(B) Register of Participants'!$Z$93)))+(ISNUMBER(SEARCH("9am-12pm",$AS$29))*ISNUMBER(SEARCH("9am-12pm",'(B) Register of Participants'!$Z$93)))+(ISNUMBER(SEARCH("12pm-3pm",$AS$29))*ISNUMBER(SEARCH("12pm-3pm",'(B) Register of Participants'!$Z$93)))+(ISNUMBER(SEARCH("3pm-6pm",$AS$29))*ISNUMBER(SEARCH("3pm-6pm",'(B) Register of Participants'!$Z$93)))+(ISNUMBER(SEARCH("6pm-9pm",$AS$29))*ISNUMBER(SEARCH("6pm-9pm",'(B) Register of Participants'!$Z$93)))+(ISNUMBER(SEARCH("6am-9am",$AS$30))*ISNUMBER(SEARCH("6am-9am",'(B) Register of Participants'!$AA$93)))+(ISNUMBER(SEARCH("9am-12pm",$AS$30))*ISNUMBER(SEARCH("9am-12pm",'(B) Register of Participants'!$AA$93)))+(ISNUMBER(SEARCH("12pm-3pm",$AS$30))*ISNUMBER(SEARCH("12pm-3pm",'(B) Register of Participants'!$AA$93)))+(ISNUMBER(SEARCH("3pm-6pm",$AS$30))*ISNUMBER(SEARCH("3pm-6pm",'(B) Register of Participants'!$AA$93)))+(ISNUMBER(SEARCH("6pm-9pm",$AS$30))*ISNUMBER(SEARCH("6pm-9pm",'(B) Register of Participants'!$AA$93)))+(ISNUMBER(SEARCH("6am-9am",$AS$31))*ISNUMBER(SEARCH("6am-9am",'(B) Register of Participants'!$AB$93)))+(ISNUMBER(SEARCH("9am-12pm",$AS$31))*ISNUMBER(SEARCH("9am-12pm",'(B) Register of Participants'!$AB$93)))+(ISNUMBER(SEARCH("12pm-3pm",$AS$31))*ISNUMBER(SEARCH("12pm-3pm",'(B) Register of Participants'!$AB$93)))+(ISNUMBER(SEARCH("3pm-6pm",$AS$31))*ISNUMBER(SEARCH("3pm-6pm",'(B) Register of Participants'!$AB$93)))+(ISNUMBER(SEARCH("6pm-9pm",$AS$31))*ISNUMBER(SEARCH("6pm-9pm",'(B) Register of Participants'!$AB$93)))+(ISNUMBER(SEARCH("6am-9am",$AS$32))*ISNUMBER(SEARCH("6am-9am",'(B) Register of Participants'!$AC$93)))+(ISNUMBER(SEARCH("9am-12pm",$AS$32))*ISNUMBER(SEARCH("9am-12pm",'(B) Register of Participants'!$AC$93)))+(ISNUMBER(SEARCH("12pm-3pm",$AS$32))*ISNUMBER(SEARCH("12pm-3pm",'(B) Register of Participants'!$AC$93)))+(ISNUMBER(SEARCH("3pm-6pm",$AS$32))*ISNUMBER(SEARCH("3pm-6pm",'(B) Register of Participants'!$AC$93)))+(ISNUMBER(SEARCH("6pm-9pm",$AS$32))*ISNUMBER(SEARCH("6pm-9pm",'(B) Register of Participants'!$AC$93)))+(ISNUMBER(SEARCH("6am-9am",$AS$33))*ISNUMBER(SEARCH("6am-9am",'(B) Register of Participants'!$AD$93)))+(ISNUMBER(SEARCH("9am-12pm",$AS$33))*ISNUMBER(SEARCH("9am-12pm",'(B) Register of Participants'!$AD$93)))+(ISNUMBER(SEARCH("12pm-3pm",$AS$33))*ISNUMBER(SEARCH("12pm-3pm",'(B) Register of Participants'!$AD$93)))+(ISNUMBER(SEARCH("3pm-6pm",$AS$33))*ISNUMBER(SEARCH("3pm-6pm",'(B) Register of Participants'!$AD$93)))+(ISNUMBER(SEARCH("6pm-9pm",$AS$33))*ISNUMBER(SEARCH("6pm-9pm",'(B) Register of Participants'!$AD$93)))</f>
        <v/>
      </c>
      <c r="Q115" s="20">
        <f>IF(OR(AND($AS$17&lt;&gt;"",$AS$17&lt;&gt;"English",IF($AS$17="Persian",OR(ISNUMBER(SEARCH("Dari",'(B) Register of Participants'!$AR$93)),ISNUMBER(SEARCH("Farsi",'(B) Register of Participants'!$AR$93)),ISNUMBER(SEARCH("Persian",'(B) Register of Participants'!$AR$93)),ISNUMBER(SEARCH("Hazaragi",'(B) Register of Participants'!$AR$93))),ISNUMBER(SEARCH($AS$17,'(B) Register of Participants'!$AR$93)))),AND($AS$20&lt;&gt;"",$AS$20&lt;&gt;"English",IF($AS$20="Persian",OR(ISNUMBER(SEARCH("Dari",'(B) Register of Participants'!$AR$93)),ISNUMBER(SEARCH("Farsi",'(B) Register of Participants'!$AR$93)),ISNUMBER(SEARCH("Persian",'(B) Register of Participants'!$AR$93)),ISNUMBER(SEARCH("Hazaragi",'(B) Register of Participants'!$AR$93))),ISNUMBER(SEARCH($AS$20,'(B) Register of Participants'!$AR$93))))),1,0)</f>
        <v/>
      </c>
      <c r="R115" s="20">
        <f>IF(AND(AH115,AI115,NOT(AJ115),NOT($AS$25),AK115,$AS$26,AM115,AN115,NOT(AL115)),"Yes","No")</f>
        <v/>
      </c>
      <c r="S115" s="20">
        <f>IF(OR(COUNTIF('Engine Lists'!$A:$A,$AS$14&amp;"|"&amp;AO115)&gt;0,COUNTIF('Engine Lists'!$A:$A,$AS$14&amp;"|"&amp;AP115)&gt;0,COUNTIF('Engine Lists'!$A:$A,$AS$15&amp;"|"&amp;AO115)&gt;0,COUNTIF('Engine Lists'!$A:$A,$AS$15&amp;"|"&amp;AP115)&gt;0,COUNTIF('Engine Lists'!$A:$A,$AS$21&amp;"|"&amp;I115)&gt;0),-8,0)</f>
        <v/>
      </c>
      <c r="T115" s="20">
        <f>IF(Q115=1,IF(OR($AS$8="A2",$AS$8="B1"),7,IF(OR($AS$8="B2",$AS$8="C1",$AS$8="C2"),-5,0)),0)</f>
        <v/>
      </c>
      <c r="U115" s="20">
        <f>IF(AND($AS$6=G115,OR($AS$6="Male",$AS$6="Female")),5,0)</f>
        <v/>
      </c>
      <c r="V115" s="20">
        <f>IF(AND($AS$24,$AS$11&lt;&gt;"In-Person",K115&lt;&gt;"In-Person"),-5,0)</f>
        <v/>
      </c>
      <c r="W115" s="20">
        <f>IF(OR($AS$11=K115,$AS$11="Either",K115="Either"),3,0)</f>
        <v/>
      </c>
      <c r="X115" s="20">
        <f>IF(AND($AS$11&lt;&gt;"Online",K115&lt;&gt;"Online",ISNUMBER($AS$22),ISNUMBER(IFERROR(VALUE(M115),"x"))),IF(ABS($AS$22-VALUE(M115))&lt;=50,3,0),0)</f>
        <v/>
      </c>
      <c r="Y115" s="20">
        <f>IF(AND($AS$10&lt;&gt;"",$AS$10=J115),3,0)</f>
        <v/>
      </c>
      <c r="Z115" s="20">
        <f>IF(OR(N($AS$13)&gt;=150,N(O115)&gt;=150),3,0)</f>
        <v/>
      </c>
      <c r="AA115" s="20">
        <f>IF(AND($AS$21&lt;&gt;"",$AS$21&lt;&gt;"NA",$AS$21=I115),2,0)</f>
        <v/>
      </c>
      <c r="AB115" s="20">
        <f>IF(OR(AND($AS$14&lt;&gt;"",$AS$14&lt;&gt;"NA",OR($AS$14=AO115,$AS$14=AP115)),AND($AS$15&lt;&gt;"",OR($AS$15=AO115,$AS$15=AP115))),2,0)</f>
        <v/>
      </c>
      <c r="AC115" s="20">
        <f>IF(AND(ISNUMBER($AS$12),ISNUMBER(N115),ABS($AS$12-N115)&lt;=10),2,0)</f>
        <v/>
      </c>
      <c r="AD115" s="20">
        <f>IF(R115="Yes",SUM(S115:AC115),"")</f>
        <v/>
      </c>
      <c r="AE115" s="20">
        <f>IF(R115="Yes","Score "&amp;AD115&amp;": "&amp;TRIM(IF(S115&lt;&gt;0,"−8 acrimonious; ","")&amp;IF(T115=7,"+7 shared language; ","")&amp;IF(T115=-5,"−5 shared lang(adv); ","")&amp;IF(U115=5,"+5 same-sex; ","")&amp;IF(V115=-5,"−5 online no device; ","")&amp;IF(W115=3,"+3 mode; ","")&amp;IF(X115=3,"+3 proximity; ","")&amp;IF(Y115=3,"+3 category; ","")&amp;IF(Z115=3,"+3 long wait; ","")&amp;IF(AA115=2,"+2 religion; ","")&amp;IF(AB115=2,"+2 nationality; ","")&amp;IF(AC115=2,"+2 age; ","")),"Not eligible: "&amp;IF(NOT(AH115),"tutor not pending/with-capacity",IF(NOT(AI115),"no spare capacity",IF(AJ115,"tutor blacklisted",IF($AS$25,"student blacklisted",IF(NOT(AK115),"tutor vetting incomplete",IF(NOT($AS$26),"student vetting incomplete",IF(NOT(AM115),"no overlapping 3h AEST block",IF(NOT(AN115),"A1 student needs a shared language",IF(AL115,"'do not pair' note present",""))))))))))</f>
        <v/>
      </c>
      <c r="AF115">
        <f>TRIM(IFERROR(LEFT('(B) Register of Participants'!$AR$93,FIND(" (",'(B) Register of Participants'!$AR$93)-1),'(B) Register of Participants'!$AR$93))</f>
        <v/>
      </c>
      <c r="AG115">
        <f>IF(ISNUMBER(SEARCH("Mandarin",'(B) Register of Participants'!$AR$93)),"Mandarin",IF(ISNUMBER(SEARCH("Cantonese",'(B) Register of Participants'!$AR$93)),"Cantonese",IF(OR(AF115="Dari",AF115="Farsi",AF115="Persian",AF115="Hazaragi"),"Persian",AF115)))</f>
        <v/>
      </c>
      <c r="AH115">
        <f>OR(E115="ADM-ACT-UNMAT",E115="ADM-ACT-MAT-CNE")</f>
        <v/>
      </c>
      <c r="AI115">
        <f>F115&gt;0</f>
        <v/>
      </c>
      <c r="AJ115">
        <f>LEFT('(B) Register of Participants'!$L$93,3)="Yes"</f>
        <v/>
      </c>
      <c r="AK115">
        <f>AND(OR(LEFT('(B) Register of Participants'!$AY$93,3)="Yes",LEFT('(B) Register of Participants'!$AY$93,2)="NA"),OR(LEFT('(B) Register of Participants'!$AZ$93,3)="Yes",LEFT('(B) Register of Participants'!$AZ$93,2)="NA"))</f>
        <v/>
      </c>
      <c r="AL115">
        <f>OR(ISNUMBER(SEARCH("do not pair",'(B) Register of Participants'!$BL$93)),ISNUMBER(SEARCH("do not pair",'(B) Register of Participants'!$BM$93)))</f>
        <v/>
      </c>
      <c r="AM115">
        <f>P115&gt;0</f>
        <v/>
      </c>
      <c r="AN115">
        <f>IF($AS$8="A1",Q115=1,TRUE)</f>
        <v/>
      </c>
      <c r="AO115">
        <f>TRIM(IFERROR(LEFT('(B) Register of Participants'!$AP$93,FIND(";",'(B) Register of Participants'!$AP$93)-1),'(B) Register of Participants'!$AP$93))</f>
        <v/>
      </c>
      <c r="AP115">
        <f>IF(ISNUMBER(FIND(";",'(B) Register of Participants'!$AP$93)),TRIM(MID('(B) Register of Participants'!$AP$93,FIND(";",'(B) Register of Participants'!$AP$93)+1,80)),"")</f>
        <v/>
      </c>
    </row>
    <row r="116">
      <c r="B116" s="20">
        <f>IF(R116="Yes",RANK(AD116,$AD$25:$AD$124),"")</f>
        <v/>
      </c>
      <c r="C116" s="20">
        <f>'(B) Register of Participants'!$A$94</f>
        <v/>
      </c>
      <c r="D116" s="20">
        <f>'(B) Register of Participants'!$B$94</f>
        <v/>
      </c>
      <c r="E116" s="20">
        <f>'(B) Register of Participants'!$J$94</f>
        <v/>
      </c>
      <c r="F116" s="20">
        <f>IFERROR('(B) Register of Participants'!$O$94-'(B) Register of Participants'!$P$94,0)</f>
        <v/>
      </c>
      <c r="G116" s="20">
        <f>'(B) Register of Participants'!$AL$94</f>
        <v/>
      </c>
      <c r="H116" s="20">
        <f>'(B) Register of Participants'!$AP$94</f>
        <v/>
      </c>
      <c r="I116" s="20">
        <f>TRIM(IFERROR(LEFT('(B) Register of Participants'!$AS$94,FIND(" (",'(B) Register of Participants'!$AS$94)-1),'(B) Register of Participants'!$AS$94))</f>
        <v/>
      </c>
      <c r="J116" s="20">
        <f>'(B) Register of Participants'!$AT$94</f>
        <v/>
      </c>
      <c r="K116" s="20">
        <f>'(B) Register of Participants'!$AE$94</f>
        <v/>
      </c>
      <c r="L116" s="20">
        <f>'(B) Register of Participants'!$AF$94</f>
        <v/>
      </c>
      <c r="M116" s="20">
        <f>'(B) Register of Participants'!$AJ$94</f>
        <v/>
      </c>
      <c r="N116" s="20">
        <f>'(B) Register of Participants'!$CY$94</f>
        <v/>
      </c>
      <c r="O116" s="20">
        <f>'(B) Register of Participants'!$CW$94</f>
        <v/>
      </c>
      <c r="P116" s="20">
        <f>(ISNUMBER(SEARCH("6am-9am",$AS$27))*ISNUMBER(SEARCH("6am-9am",'(B) Register of Participants'!$X$94)))+(ISNUMBER(SEARCH("9am-12pm",$AS$27))*ISNUMBER(SEARCH("9am-12pm",'(B) Register of Participants'!$X$94)))+(ISNUMBER(SEARCH("12pm-3pm",$AS$27))*ISNUMBER(SEARCH("12pm-3pm",'(B) Register of Participants'!$X$94)))+(ISNUMBER(SEARCH("3pm-6pm",$AS$27))*ISNUMBER(SEARCH("3pm-6pm",'(B) Register of Participants'!$X$94)))+(ISNUMBER(SEARCH("6pm-9pm",$AS$27))*ISNUMBER(SEARCH("6pm-9pm",'(B) Register of Participants'!$X$94)))+(ISNUMBER(SEARCH("6am-9am",$AS$28))*ISNUMBER(SEARCH("6am-9am",'(B) Register of Participants'!$Y$94)))+(ISNUMBER(SEARCH("9am-12pm",$AS$28))*ISNUMBER(SEARCH("9am-12pm",'(B) Register of Participants'!$Y$94)))+(ISNUMBER(SEARCH("12pm-3pm",$AS$28))*ISNUMBER(SEARCH("12pm-3pm",'(B) Register of Participants'!$Y$94)))+(ISNUMBER(SEARCH("3pm-6pm",$AS$28))*ISNUMBER(SEARCH("3pm-6pm",'(B) Register of Participants'!$Y$94)))+(ISNUMBER(SEARCH("6pm-9pm",$AS$28))*ISNUMBER(SEARCH("6pm-9pm",'(B) Register of Participants'!$Y$94)))+(ISNUMBER(SEARCH("6am-9am",$AS$29))*ISNUMBER(SEARCH("6am-9am",'(B) Register of Participants'!$Z$94)))+(ISNUMBER(SEARCH("9am-12pm",$AS$29))*ISNUMBER(SEARCH("9am-12pm",'(B) Register of Participants'!$Z$94)))+(ISNUMBER(SEARCH("12pm-3pm",$AS$29))*ISNUMBER(SEARCH("12pm-3pm",'(B) Register of Participants'!$Z$94)))+(ISNUMBER(SEARCH("3pm-6pm",$AS$29))*ISNUMBER(SEARCH("3pm-6pm",'(B) Register of Participants'!$Z$94)))+(ISNUMBER(SEARCH("6pm-9pm",$AS$29))*ISNUMBER(SEARCH("6pm-9pm",'(B) Register of Participants'!$Z$94)))+(ISNUMBER(SEARCH("6am-9am",$AS$30))*ISNUMBER(SEARCH("6am-9am",'(B) Register of Participants'!$AA$94)))+(ISNUMBER(SEARCH("9am-12pm",$AS$30))*ISNUMBER(SEARCH("9am-12pm",'(B) Register of Participants'!$AA$94)))+(ISNUMBER(SEARCH("12pm-3pm",$AS$30))*ISNUMBER(SEARCH("12pm-3pm",'(B) Register of Participants'!$AA$94)))+(ISNUMBER(SEARCH("3pm-6pm",$AS$30))*ISNUMBER(SEARCH("3pm-6pm",'(B) Register of Participants'!$AA$94)))+(ISNUMBER(SEARCH("6pm-9pm",$AS$30))*ISNUMBER(SEARCH("6pm-9pm",'(B) Register of Participants'!$AA$94)))+(ISNUMBER(SEARCH("6am-9am",$AS$31))*ISNUMBER(SEARCH("6am-9am",'(B) Register of Participants'!$AB$94)))+(ISNUMBER(SEARCH("9am-12pm",$AS$31))*ISNUMBER(SEARCH("9am-12pm",'(B) Register of Participants'!$AB$94)))+(ISNUMBER(SEARCH("12pm-3pm",$AS$31))*ISNUMBER(SEARCH("12pm-3pm",'(B) Register of Participants'!$AB$94)))+(ISNUMBER(SEARCH("3pm-6pm",$AS$31))*ISNUMBER(SEARCH("3pm-6pm",'(B) Register of Participants'!$AB$94)))+(ISNUMBER(SEARCH("6pm-9pm",$AS$31))*ISNUMBER(SEARCH("6pm-9pm",'(B) Register of Participants'!$AB$94)))+(ISNUMBER(SEARCH("6am-9am",$AS$32))*ISNUMBER(SEARCH("6am-9am",'(B) Register of Participants'!$AC$94)))+(ISNUMBER(SEARCH("9am-12pm",$AS$32))*ISNUMBER(SEARCH("9am-12pm",'(B) Register of Participants'!$AC$94)))+(ISNUMBER(SEARCH("12pm-3pm",$AS$32))*ISNUMBER(SEARCH("12pm-3pm",'(B) Register of Participants'!$AC$94)))+(ISNUMBER(SEARCH("3pm-6pm",$AS$32))*ISNUMBER(SEARCH("3pm-6pm",'(B) Register of Participants'!$AC$94)))+(ISNUMBER(SEARCH("6pm-9pm",$AS$32))*ISNUMBER(SEARCH("6pm-9pm",'(B) Register of Participants'!$AC$94)))+(ISNUMBER(SEARCH("6am-9am",$AS$33))*ISNUMBER(SEARCH("6am-9am",'(B) Register of Participants'!$AD$94)))+(ISNUMBER(SEARCH("9am-12pm",$AS$33))*ISNUMBER(SEARCH("9am-12pm",'(B) Register of Participants'!$AD$94)))+(ISNUMBER(SEARCH("12pm-3pm",$AS$33))*ISNUMBER(SEARCH("12pm-3pm",'(B) Register of Participants'!$AD$94)))+(ISNUMBER(SEARCH("3pm-6pm",$AS$33))*ISNUMBER(SEARCH("3pm-6pm",'(B) Register of Participants'!$AD$94)))+(ISNUMBER(SEARCH("6pm-9pm",$AS$33))*ISNUMBER(SEARCH("6pm-9pm",'(B) Register of Participants'!$AD$94)))</f>
        <v/>
      </c>
      <c r="Q116" s="20">
        <f>IF(OR(AND($AS$17&lt;&gt;"",$AS$17&lt;&gt;"English",IF($AS$17="Persian",OR(ISNUMBER(SEARCH("Dari",'(B) Register of Participants'!$AR$94)),ISNUMBER(SEARCH("Farsi",'(B) Register of Participants'!$AR$94)),ISNUMBER(SEARCH("Persian",'(B) Register of Participants'!$AR$94)),ISNUMBER(SEARCH("Hazaragi",'(B) Register of Participants'!$AR$94))),ISNUMBER(SEARCH($AS$17,'(B) Register of Participants'!$AR$94)))),AND($AS$20&lt;&gt;"",$AS$20&lt;&gt;"English",IF($AS$20="Persian",OR(ISNUMBER(SEARCH("Dari",'(B) Register of Participants'!$AR$94)),ISNUMBER(SEARCH("Farsi",'(B) Register of Participants'!$AR$94)),ISNUMBER(SEARCH("Persian",'(B) Register of Participants'!$AR$94)),ISNUMBER(SEARCH("Hazaragi",'(B) Register of Participants'!$AR$94))),ISNUMBER(SEARCH($AS$20,'(B) Register of Participants'!$AR$94))))),1,0)</f>
        <v/>
      </c>
      <c r="R116" s="20">
        <f>IF(AND(AH116,AI116,NOT(AJ116),NOT($AS$25),AK116,$AS$26,AM116,AN116,NOT(AL116)),"Yes","No")</f>
        <v/>
      </c>
      <c r="S116" s="20">
        <f>IF(OR(COUNTIF('Engine Lists'!$A:$A,$AS$14&amp;"|"&amp;AO116)&gt;0,COUNTIF('Engine Lists'!$A:$A,$AS$14&amp;"|"&amp;AP116)&gt;0,COUNTIF('Engine Lists'!$A:$A,$AS$15&amp;"|"&amp;AO116)&gt;0,COUNTIF('Engine Lists'!$A:$A,$AS$15&amp;"|"&amp;AP116)&gt;0,COUNTIF('Engine Lists'!$A:$A,$AS$21&amp;"|"&amp;I116)&gt;0),-8,0)</f>
        <v/>
      </c>
      <c r="T116" s="20">
        <f>IF(Q116=1,IF(OR($AS$8="A2",$AS$8="B1"),7,IF(OR($AS$8="B2",$AS$8="C1",$AS$8="C2"),-5,0)),0)</f>
        <v/>
      </c>
      <c r="U116" s="20">
        <f>IF(AND($AS$6=G116,OR($AS$6="Male",$AS$6="Female")),5,0)</f>
        <v/>
      </c>
      <c r="V116" s="20">
        <f>IF(AND($AS$24,$AS$11&lt;&gt;"In-Person",K116&lt;&gt;"In-Person"),-5,0)</f>
        <v/>
      </c>
      <c r="W116" s="20">
        <f>IF(OR($AS$11=K116,$AS$11="Either",K116="Either"),3,0)</f>
        <v/>
      </c>
      <c r="X116" s="20">
        <f>IF(AND($AS$11&lt;&gt;"Online",K116&lt;&gt;"Online",ISNUMBER($AS$22),ISNUMBER(IFERROR(VALUE(M116),"x"))),IF(ABS($AS$22-VALUE(M116))&lt;=50,3,0),0)</f>
        <v/>
      </c>
      <c r="Y116" s="20">
        <f>IF(AND($AS$10&lt;&gt;"",$AS$10=J116),3,0)</f>
        <v/>
      </c>
      <c r="Z116" s="20">
        <f>IF(OR(N($AS$13)&gt;=150,N(O116)&gt;=150),3,0)</f>
        <v/>
      </c>
      <c r="AA116" s="20">
        <f>IF(AND($AS$21&lt;&gt;"",$AS$21&lt;&gt;"NA",$AS$21=I116),2,0)</f>
        <v/>
      </c>
      <c r="AB116" s="20">
        <f>IF(OR(AND($AS$14&lt;&gt;"",$AS$14&lt;&gt;"NA",OR($AS$14=AO116,$AS$14=AP116)),AND($AS$15&lt;&gt;"",OR($AS$15=AO116,$AS$15=AP116))),2,0)</f>
        <v/>
      </c>
      <c r="AC116" s="20">
        <f>IF(AND(ISNUMBER($AS$12),ISNUMBER(N116),ABS($AS$12-N116)&lt;=10),2,0)</f>
        <v/>
      </c>
      <c r="AD116" s="20">
        <f>IF(R116="Yes",SUM(S116:AC116),"")</f>
        <v/>
      </c>
      <c r="AE116" s="20">
        <f>IF(R116="Yes","Score "&amp;AD116&amp;": "&amp;TRIM(IF(S116&lt;&gt;0,"−8 acrimonious; ","")&amp;IF(T116=7,"+7 shared language; ","")&amp;IF(T116=-5,"−5 shared lang(adv); ","")&amp;IF(U116=5,"+5 same-sex; ","")&amp;IF(V116=-5,"−5 online no device; ","")&amp;IF(W116=3,"+3 mode; ","")&amp;IF(X116=3,"+3 proximity; ","")&amp;IF(Y116=3,"+3 category; ","")&amp;IF(Z116=3,"+3 long wait; ","")&amp;IF(AA116=2,"+2 religion; ","")&amp;IF(AB116=2,"+2 nationality; ","")&amp;IF(AC116=2,"+2 age; ","")),"Not eligible: "&amp;IF(NOT(AH116),"tutor not pending/with-capacity",IF(NOT(AI116),"no spare capacity",IF(AJ116,"tutor blacklisted",IF($AS$25,"student blacklisted",IF(NOT(AK116),"tutor vetting incomplete",IF(NOT($AS$26),"student vetting incomplete",IF(NOT(AM116),"no overlapping 3h AEST block",IF(NOT(AN116),"A1 student needs a shared language",IF(AL116,"'do not pair' note present",""))))))))))</f>
        <v/>
      </c>
      <c r="AF116">
        <f>TRIM(IFERROR(LEFT('(B) Register of Participants'!$AR$94,FIND(" (",'(B) Register of Participants'!$AR$94)-1),'(B) Register of Participants'!$AR$94))</f>
        <v/>
      </c>
      <c r="AG116">
        <f>IF(ISNUMBER(SEARCH("Mandarin",'(B) Register of Participants'!$AR$94)),"Mandarin",IF(ISNUMBER(SEARCH("Cantonese",'(B) Register of Participants'!$AR$94)),"Cantonese",IF(OR(AF116="Dari",AF116="Farsi",AF116="Persian",AF116="Hazaragi"),"Persian",AF116)))</f>
        <v/>
      </c>
      <c r="AH116">
        <f>OR(E116="ADM-ACT-UNMAT",E116="ADM-ACT-MAT-CNE")</f>
        <v/>
      </c>
      <c r="AI116">
        <f>F116&gt;0</f>
        <v/>
      </c>
      <c r="AJ116">
        <f>LEFT('(B) Register of Participants'!$L$94,3)="Yes"</f>
        <v/>
      </c>
      <c r="AK116">
        <f>AND(OR(LEFT('(B) Register of Participants'!$AY$94,3)="Yes",LEFT('(B) Register of Participants'!$AY$94,2)="NA"),OR(LEFT('(B) Register of Participants'!$AZ$94,3)="Yes",LEFT('(B) Register of Participants'!$AZ$94,2)="NA"))</f>
        <v/>
      </c>
      <c r="AL116">
        <f>OR(ISNUMBER(SEARCH("do not pair",'(B) Register of Participants'!$BL$94)),ISNUMBER(SEARCH("do not pair",'(B) Register of Participants'!$BM$94)))</f>
        <v/>
      </c>
      <c r="AM116">
        <f>P116&gt;0</f>
        <v/>
      </c>
      <c r="AN116">
        <f>IF($AS$8="A1",Q116=1,TRUE)</f>
        <v/>
      </c>
      <c r="AO116">
        <f>TRIM(IFERROR(LEFT('(B) Register of Participants'!$AP$94,FIND(";",'(B) Register of Participants'!$AP$94)-1),'(B) Register of Participants'!$AP$94))</f>
        <v/>
      </c>
      <c r="AP116">
        <f>IF(ISNUMBER(FIND(";",'(B) Register of Participants'!$AP$94)),TRIM(MID('(B) Register of Participants'!$AP$94,FIND(";",'(B) Register of Participants'!$AP$94)+1,80)),"")</f>
        <v/>
      </c>
    </row>
    <row r="117">
      <c r="B117" s="20">
        <f>IF(R117="Yes",RANK(AD117,$AD$25:$AD$124),"")</f>
        <v/>
      </c>
      <c r="C117" s="20">
        <f>'(B) Register of Participants'!$A$95</f>
        <v/>
      </c>
      <c r="D117" s="20">
        <f>'(B) Register of Participants'!$B$95</f>
        <v/>
      </c>
      <c r="E117" s="20">
        <f>'(B) Register of Participants'!$J$95</f>
        <v/>
      </c>
      <c r="F117" s="20">
        <f>IFERROR('(B) Register of Participants'!$O$95-'(B) Register of Participants'!$P$95,0)</f>
        <v/>
      </c>
      <c r="G117" s="20">
        <f>'(B) Register of Participants'!$AL$95</f>
        <v/>
      </c>
      <c r="H117" s="20">
        <f>'(B) Register of Participants'!$AP$95</f>
        <v/>
      </c>
      <c r="I117" s="20">
        <f>TRIM(IFERROR(LEFT('(B) Register of Participants'!$AS$95,FIND(" (",'(B) Register of Participants'!$AS$95)-1),'(B) Register of Participants'!$AS$95))</f>
        <v/>
      </c>
      <c r="J117" s="20">
        <f>'(B) Register of Participants'!$AT$95</f>
        <v/>
      </c>
      <c r="K117" s="20">
        <f>'(B) Register of Participants'!$AE$95</f>
        <v/>
      </c>
      <c r="L117" s="20">
        <f>'(B) Register of Participants'!$AF$95</f>
        <v/>
      </c>
      <c r="M117" s="20">
        <f>'(B) Register of Participants'!$AJ$95</f>
        <v/>
      </c>
      <c r="N117" s="20">
        <f>'(B) Register of Participants'!$CY$95</f>
        <v/>
      </c>
      <c r="O117" s="20">
        <f>'(B) Register of Participants'!$CW$95</f>
        <v/>
      </c>
      <c r="P117" s="20">
        <f>(ISNUMBER(SEARCH("6am-9am",$AS$27))*ISNUMBER(SEARCH("6am-9am",'(B) Register of Participants'!$X$95)))+(ISNUMBER(SEARCH("9am-12pm",$AS$27))*ISNUMBER(SEARCH("9am-12pm",'(B) Register of Participants'!$X$95)))+(ISNUMBER(SEARCH("12pm-3pm",$AS$27))*ISNUMBER(SEARCH("12pm-3pm",'(B) Register of Participants'!$X$95)))+(ISNUMBER(SEARCH("3pm-6pm",$AS$27))*ISNUMBER(SEARCH("3pm-6pm",'(B) Register of Participants'!$X$95)))+(ISNUMBER(SEARCH("6pm-9pm",$AS$27))*ISNUMBER(SEARCH("6pm-9pm",'(B) Register of Participants'!$X$95)))+(ISNUMBER(SEARCH("6am-9am",$AS$28))*ISNUMBER(SEARCH("6am-9am",'(B) Register of Participants'!$Y$95)))+(ISNUMBER(SEARCH("9am-12pm",$AS$28))*ISNUMBER(SEARCH("9am-12pm",'(B) Register of Participants'!$Y$95)))+(ISNUMBER(SEARCH("12pm-3pm",$AS$28))*ISNUMBER(SEARCH("12pm-3pm",'(B) Register of Participants'!$Y$95)))+(ISNUMBER(SEARCH("3pm-6pm",$AS$28))*ISNUMBER(SEARCH("3pm-6pm",'(B) Register of Participants'!$Y$95)))+(ISNUMBER(SEARCH("6pm-9pm",$AS$28))*ISNUMBER(SEARCH("6pm-9pm",'(B) Register of Participants'!$Y$95)))+(ISNUMBER(SEARCH("6am-9am",$AS$29))*ISNUMBER(SEARCH("6am-9am",'(B) Register of Participants'!$Z$95)))+(ISNUMBER(SEARCH("9am-12pm",$AS$29))*ISNUMBER(SEARCH("9am-12pm",'(B) Register of Participants'!$Z$95)))+(ISNUMBER(SEARCH("12pm-3pm",$AS$29))*ISNUMBER(SEARCH("12pm-3pm",'(B) Register of Participants'!$Z$95)))+(ISNUMBER(SEARCH("3pm-6pm",$AS$29))*ISNUMBER(SEARCH("3pm-6pm",'(B) Register of Participants'!$Z$95)))+(ISNUMBER(SEARCH("6pm-9pm",$AS$29))*ISNUMBER(SEARCH("6pm-9pm",'(B) Register of Participants'!$Z$95)))+(ISNUMBER(SEARCH("6am-9am",$AS$30))*ISNUMBER(SEARCH("6am-9am",'(B) Register of Participants'!$AA$95)))+(ISNUMBER(SEARCH("9am-12pm",$AS$30))*ISNUMBER(SEARCH("9am-12pm",'(B) Register of Participants'!$AA$95)))+(ISNUMBER(SEARCH("12pm-3pm",$AS$30))*ISNUMBER(SEARCH("12pm-3pm",'(B) Register of Participants'!$AA$95)))+(ISNUMBER(SEARCH("3pm-6pm",$AS$30))*ISNUMBER(SEARCH("3pm-6pm",'(B) Register of Participants'!$AA$95)))+(ISNUMBER(SEARCH("6pm-9pm",$AS$30))*ISNUMBER(SEARCH("6pm-9pm",'(B) Register of Participants'!$AA$95)))+(ISNUMBER(SEARCH("6am-9am",$AS$31))*ISNUMBER(SEARCH("6am-9am",'(B) Register of Participants'!$AB$95)))+(ISNUMBER(SEARCH("9am-12pm",$AS$31))*ISNUMBER(SEARCH("9am-12pm",'(B) Register of Participants'!$AB$95)))+(ISNUMBER(SEARCH("12pm-3pm",$AS$31))*ISNUMBER(SEARCH("12pm-3pm",'(B) Register of Participants'!$AB$95)))+(ISNUMBER(SEARCH("3pm-6pm",$AS$31))*ISNUMBER(SEARCH("3pm-6pm",'(B) Register of Participants'!$AB$95)))+(ISNUMBER(SEARCH("6pm-9pm",$AS$31))*ISNUMBER(SEARCH("6pm-9pm",'(B) Register of Participants'!$AB$95)))+(ISNUMBER(SEARCH("6am-9am",$AS$32))*ISNUMBER(SEARCH("6am-9am",'(B) Register of Participants'!$AC$95)))+(ISNUMBER(SEARCH("9am-12pm",$AS$32))*ISNUMBER(SEARCH("9am-12pm",'(B) Register of Participants'!$AC$95)))+(ISNUMBER(SEARCH("12pm-3pm",$AS$32))*ISNUMBER(SEARCH("12pm-3pm",'(B) Register of Participants'!$AC$95)))+(ISNUMBER(SEARCH("3pm-6pm",$AS$32))*ISNUMBER(SEARCH("3pm-6pm",'(B) Register of Participants'!$AC$95)))+(ISNUMBER(SEARCH("6pm-9pm",$AS$32))*ISNUMBER(SEARCH("6pm-9pm",'(B) Register of Participants'!$AC$95)))+(ISNUMBER(SEARCH("6am-9am",$AS$33))*ISNUMBER(SEARCH("6am-9am",'(B) Register of Participants'!$AD$95)))+(ISNUMBER(SEARCH("9am-12pm",$AS$33))*ISNUMBER(SEARCH("9am-12pm",'(B) Register of Participants'!$AD$95)))+(ISNUMBER(SEARCH("12pm-3pm",$AS$33))*ISNUMBER(SEARCH("12pm-3pm",'(B) Register of Participants'!$AD$95)))+(ISNUMBER(SEARCH("3pm-6pm",$AS$33))*ISNUMBER(SEARCH("3pm-6pm",'(B) Register of Participants'!$AD$95)))+(ISNUMBER(SEARCH("6pm-9pm",$AS$33))*ISNUMBER(SEARCH("6pm-9pm",'(B) Register of Participants'!$AD$95)))</f>
        <v/>
      </c>
      <c r="Q117" s="20">
        <f>IF(OR(AND($AS$17&lt;&gt;"",$AS$17&lt;&gt;"English",IF($AS$17="Persian",OR(ISNUMBER(SEARCH("Dari",'(B) Register of Participants'!$AR$95)),ISNUMBER(SEARCH("Farsi",'(B) Register of Participants'!$AR$95)),ISNUMBER(SEARCH("Persian",'(B) Register of Participants'!$AR$95)),ISNUMBER(SEARCH("Hazaragi",'(B) Register of Participants'!$AR$95))),ISNUMBER(SEARCH($AS$17,'(B) Register of Participants'!$AR$95)))),AND($AS$20&lt;&gt;"",$AS$20&lt;&gt;"English",IF($AS$20="Persian",OR(ISNUMBER(SEARCH("Dari",'(B) Register of Participants'!$AR$95)),ISNUMBER(SEARCH("Farsi",'(B) Register of Participants'!$AR$95)),ISNUMBER(SEARCH("Persian",'(B) Register of Participants'!$AR$95)),ISNUMBER(SEARCH("Hazaragi",'(B) Register of Participants'!$AR$95))),ISNUMBER(SEARCH($AS$20,'(B) Register of Participants'!$AR$95))))),1,0)</f>
        <v/>
      </c>
      <c r="R117" s="20">
        <f>IF(AND(AH117,AI117,NOT(AJ117),NOT($AS$25),AK117,$AS$26,AM117,AN117,NOT(AL117)),"Yes","No")</f>
        <v/>
      </c>
      <c r="S117" s="20">
        <f>IF(OR(COUNTIF('Engine Lists'!$A:$A,$AS$14&amp;"|"&amp;AO117)&gt;0,COUNTIF('Engine Lists'!$A:$A,$AS$14&amp;"|"&amp;AP117)&gt;0,COUNTIF('Engine Lists'!$A:$A,$AS$15&amp;"|"&amp;AO117)&gt;0,COUNTIF('Engine Lists'!$A:$A,$AS$15&amp;"|"&amp;AP117)&gt;0,COUNTIF('Engine Lists'!$A:$A,$AS$21&amp;"|"&amp;I117)&gt;0),-8,0)</f>
        <v/>
      </c>
      <c r="T117" s="20">
        <f>IF(Q117=1,IF(OR($AS$8="A2",$AS$8="B1"),7,IF(OR($AS$8="B2",$AS$8="C1",$AS$8="C2"),-5,0)),0)</f>
        <v/>
      </c>
      <c r="U117" s="20">
        <f>IF(AND($AS$6=G117,OR($AS$6="Male",$AS$6="Female")),5,0)</f>
        <v/>
      </c>
      <c r="V117" s="20">
        <f>IF(AND($AS$24,$AS$11&lt;&gt;"In-Person",K117&lt;&gt;"In-Person"),-5,0)</f>
        <v/>
      </c>
      <c r="W117" s="20">
        <f>IF(OR($AS$11=K117,$AS$11="Either",K117="Either"),3,0)</f>
        <v/>
      </c>
      <c r="X117" s="20">
        <f>IF(AND($AS$11&lt;&gt;"Online",K117&lt;&gt;"Online",ISNUMBER($AS$22),ISNUMBER(IFERROR(VALUE(M117),"x"))),IF(ABS($AS$22-VALUE(M117))&lt;=50,3,0),0)</f>
        <v/>
      </c>
      <c r="Y117" s="20">
        <f>IF(AND($AS$10&lt;&gt;"",$AS$10=J117),3,0)</f>
        <v/>
      </c>
      <c r="Z117" s="20">
        <f>IF(OR(N($AS$13)&gt;=150,N(O117)&gt;=150),3,0)</f>
        <v/>
      </c>
      <c r="AA117" s="20">
        <f>IF(AND($AS$21&lt;&gt;"",$AS$21&lt;&gt;"NA",$AS$21=I117),2,0)</f>
        <v/>
      </c>
      <c r="AB117" s="20">
        <f>IF(OR(AND($AS$14&lt;&gt;"",$AS$14&lt;&gt;"NA",OR($AS$14=AO117,$AS$14=AP117)),AND($AS$15&lt;&gt;"",OR($AS$15=AO117,$AS$15=AP117))),2,0)</f>
        <v/>
      </c>
      <c r="AC117" s="20">
        <f>IF(AND(ISNUMBER($AS$12),ISNUMBER(N117),ABS($AS$12-N117)&lt;=10),2,0)</f>
        <v/>
      </c>
      <c r="AD117" s="20">
        <f>IF(R117="Yes",SUM(S117:AC117),"")</f>
        <v/>
      </c>
      <c r="AE117" s="20">
        <f>IF(R117="Yes","Score "&amp;AD117&amp;": "&amp;TRIM(IF(S117&lt;&gt;0,"−8 acrimonious; ","")&amp;IF(T117=7,"+7 shared language; ","")&amp;IF(T117=-5,"−5 shared lang(adv); ","")&amp;IF(U117=5,"+5 same-sex; ","")&amp;IF(V117=-5,"−5 online no device; ","")&amp;IF(W117=3,"+3 mode; ","")&amp;IF(X117=3,"+3 proximity; ","")&amp;IF(Y117=3,"+3 category; ","")&amp;IF(Z117=3,"+3 long wait; ","")&amp;IF(AA117=2,"+2 religion; ","")&amp;IF(AB117=2,"+2 nationality; ","")&amp;IF(AC117=2,"+2 age; ","")),"Not eligible: "&amp;IF(NOT(AH117),"tutor not pending/with-capacity",IF(NOT(AI117),"no spare capacity",IF(AJ117,"tutor blacklisted",IF($AS$25,"student blacklisted",IF(NOT(AK117),"tutor vetting incomplete",IF(NOT($AS$26),"student vetting incomplete",IF(NOT(AM117),"no overlapping 3h AEST block",IF(NOT(AN117),"A1 student needs a shared language",IF(AL117,"'do not pair' note present",""))))))))))</f>
        <v/>
      </c>
      <c r="AF117">
        <f>TRIM(IFERROR(LEFT('(B) Register of Participants'!$AR$95,FIND(" (",'(B) Register of Participants'!$AR$95)-1),'(B) Register of Participants'!$AR$95))</f>
        <v/>
      </c>
      <c r="AG117">
        <f>IF(ISNUMBER(SEARCH("Mandarin",'(B) Register of Participants'!$AR$95)),"Mandarin",IF(ISNUMBER(SEARCH("Cantonese",'(B) Register of Participants'!$AR$95)),"Cantonese",IF(OR(AF117="Dari",AF117="Farsi",AF117="Persian",AF117="Hazaragi"),"Persian",AF117)))</f>
        <v/>
      </c>
      <c r="AH117">
        <f>OR(E117="ADM-ACT-UNMAT",E117="ADM-ACT-MAT-CNE")</f>
        <v/>
      </c>
      <c r="AI117">
        <f>F117&gt;0</f>
        <v/>
      </c>
      <c r="AJ117">
        <f>LEFT('(B) Register of Participants'!$L$95,3)="Yes"</f>
        <v/>
      </c>
      <c r="AK117">
        <f>AND(OR(LEFT('(B) Register of Participants'!$AY$95,3)="Yes",LEFT('(B) Register of Participants'!$AY$95,2)="NA"),OR(LEFT('(B) Register of Participants'!$AZ$95,3)="Yes",LEFT('(B) Register of Participants'!$AZ$95,2)="NA"))</f>
        <v/>
      </c>
      <c r="AL117">
        <f>OR(ISNUMBER(SEARCH("do not pair",'(B) Register of Participants'!$BL$95)),ISNUMBER(SEARCH("do not pair",'(B) Register of Participants'!$BM$95)))</f>
        <v/>
      </c>
      <c r="AM117">
        <f>P117&gt;0</f>
        <v/>
      </c>
      <c r="AN117">
        <f>IF($AS$8="A1",Q117=1,TRUE)</f>
        <v/>
      </c>
      <c r="AO117">
        <f>TRIM(IFERROR(LEFT('(B) Register of Participants'!$AP$95,FIND(";",'(B) Register of Participants'!$AP$95)-1),'(B) Register of Participants'!$AP$95))</f>
        <v/>
      </c>
      <c r="AP117">
        <f>IF(ISNUMBER(FIND(";",'(B) Register of Participants'!$AP$95)),TRIM(MID('(B) Register of Participants'!$AP$95,FIND(";",'(B) Register of Participants'!$AP$95)+1,80)),"")</f>
        <v/>
      </c>
    </row>
    <row r="118">
      <c r="B118" s="20">
        <f>IF(R118="Yes",RANK(AD118,$AD$25:$AD$124),"")</f>
        <v/>
      </c>
      <c r="C118" s="20">
        <f>'(B) Register of Participants'!$A$96</f>
        <v/>
      </c>
      <c r="D118" s="20">
        <f>'(B) Register of Participants'!$B$96</f>
        <v/>
      </c>
      <c r="E118" s="20">
        <f>'(B) Register of Participants'!$J$96</f>
        <v/>
      </c>
      <c r="F118" s="20">
        <f>IFERROR('(B) Register of Participants'!$O$96-'(B) Register of Participants'!$P$96,0)</f>
        <v/>
      </c>
      <c r="G118" s="20">
        <f>'(B) Register of Participants'!$AL$96</f>
        <v/>
      </c>
      <c r="H118" s="20">
        <f>'(B) Register of Participants'!$AP$96</f>
        <v/>
      </c>
      <c r="I118" s="20">
        <f>TRIM(IFERROR(LEFT('(B) Register of Participants'!$AS$96,FIND(" (",'(B) Register of Participants'!$AS$96)-1),'(B) Register of Participants'!$AS$96))</f>
        <v/>
      </c>
      <c r="J118" s="20">
        <f>'(B) Register of Participants'!$AT$96</f>
        <v/>
      </c>
      <c r="K118" s="20">
        <f>'(B) Register of Participants'!$AE$96</f>
        <v/>
      </c>
      <c r="L118" s="20">
        <f>'(B) Register of Participants'!$AF$96</f>
        <v/>
      </c>
      <c r="M118" s="20">
        <f>'(B) Register of Participants'!$AJ$96</f>
        <v/>
      </c>
      <c r="N118" s="20">
        <f>'(B) Register of Participants'!$CY$96</f>
        <v/>
      </c>
      <c r="O118" s="20">
        <f>'(B) Register of Participants'!$CW$96</f>
        <v/>
      </c>
      <c r="P118" s="20">
        <f>(ISNUMBER(SEARCH("6am-9am",$AS$27))*ISNUMBER(SEARCH("6am-9am",'(B) Register of Participants'!$X$96)))+(ISNUMBER(SEARCH("9am-12pm",$AS$27))*ISNUMBER(SEARCH("9am-12pm",'(B) Register of Participants'!$X$96)))+(ISNUMBER(SEARCH("12pm-3pm",$AS$27))*ISNUMBER(SEARCH("12pm-3pm",'(B) Register of Participants'!$X$96)))+(ISNUMBER(SEARCH("3pm-6pm",$AS$27))*ISNUMBER(SEARCH("3pm-6pm",'(B) Register of Participants'!$X$96)))+(ISNUMBER(SEARCH("6pm-9pm",$AS$27))*ISNUMBER(SEARCH("6pm-9pm",'(B) Register of Participants'!$X$96)))+(ISNUMBER(SEARCH("6am-9am",$AS$28))*ISNUMBER(SEARCH("6am-9am",'(B) Register of Participants'!$Y$96)))+(ISNUMBER(SEARCH("9am-12pm",$AS$28))*ISNUMBER(SEARCH("9am-12pm",'(B) Register of Participants'!$Y$96)))+(ISNUMBER(SEARCH("12pm-3pm",$AS$28))*ISNUMBER(SEARCH("12pm-3pm",'(B) Register of Participants'!$Y$96)))+(ISNUMBER(SEARCH("3pm-6pm",$AS$28))*ISNUMBER(SEARCH("3pm-6pm",'(B) Register of Participants'!$Y$96)))+(ISNUMBER(SEARCH("6pm-9pm",$AS$28))*ISNUMBER(SEARCH("6pm-9pm",'(B) Register of Participants'!$Y$96)))+(ISNUMBER(SEARCH("6am-9am",$AS$29))*ISNUMBER(SEARCH("6am-9am",'(B) Register of Participants'!$Z$96)))+(ISNUMBER(SEARCH("9am-12pm",$AS$29))*ISNUMBER(SEARCH("9am-12pm",'(B) Register of Participants'!$Z$96)))+(ISNUMBER(SEARCH("12pm-3pm",$AS$29))*ISNUMBER(SEARCH("12pm-3pm",'(B) Register of Participants'!$Z$96)))+(ISNUMBER(SEARCH("3pm-6pm",$AS$29))*ISNUMBER(SEARCH("3pm-6pm",'(B) Register of Participants'!$Z$96)))+(ISNUMBER(SEARCH("6pm-9pm",$AS$29))*ISNUMBER(SEARCH("6pm-9pm",'(B) Register of Participants'!$Z$96)))+(ISNUMBER(SEARCH("6am-9am",$AS$30))*ISNUMBER(SEARCH("6am-9am",'(B) Register of Participants'!$AA$96)))+(ISNUMBER(SEARCH("9am-12pm",$AS$30))*ISNUMBER(SEARCH("9am-12pm",'(B) Register of Participants'!$AA$96)))+(ISNUMBER(SEARCH("12pm-3pm",$AS$30))*ISNUMBER(SEARCH("12pm-3pm",'(B) Register of Participants'!$AA$96)))+(ISNUMBER(SEARCH("3pm-6pm",$AS$30))*ISNUMBER(SEARCH("3pm-6pm",'(B) Register of Participants'!$AA$96)))+(ISNUMBER(SEARCH("6pm-9pm",$AS$30))*ISNUMBER(SEARCH("6pm-9pm",'(B) Register of Participants'!$AA$96)))+(ISNUMBER(SEARCH("6am-9am",$AS$31))*ISNUMBER(SEARCH("6am-9am",'(B) Register of Participants'!$AB$96)))+(ISNUMBER(SEARCH("9am-12pm",$AS$31))*ISNUMBER(SEARCH("9am-12pm",'(B) Register of Participants'!$AB$96)))+(ISNUMBER(SEARCH("12pm-3pm",$AS$31))*ISNUMBER(SEARCH("12pm-3pm",'(B) Register of Participants'!$AB$96)))+(ISNUMBER(SEARCH("3pm-6pm",$AS$31))*ISNUMBER(SEARCH("3pm-6pm",'(B) Register of Participants'!$AB$96)))+(ISNUMBER(SEARCH("6pm-9pm",$AS$31))*ISNUMBER(SEARCH("6pm-9pm",'(B) Register of Participants'!$AB$96)))+(ISNUMBER(SEARCH("6am-9am",$AS$32))*ISNUMBER(SEARCH("6am-9am",'(B) Register of Participants'!$AC$96)))+(ISNUMBER(SEARCH("9am-12pm",$AS$32))*ISNUMBER(SEARCH("9am-12pm",'(B) Register of Participants'!$AC$96)))+(ISNUMBER(SEARCH("12pm-3pm",$AS$32))*ISNUMBER(SEARCH("12pm-3pm",'(B) Register of Participants'!$AC$96)))+(ISNUMBER(SEARCH("3pm-6pm",$AS$32))*ISNUMBER(SEARCH("3pm-6pm",'(B) Register of Participants'!$AC$96)))+(ISNUMBER(SEARCH("6pm-9pm",$AS$32))*ISNUMBER(SEARCH("6pm-9pm",'(B) Register of Participants'!$AC$96)))+(ISNUMBER(SEARCH("6am-9am",$AS$33))*ISNUMBER(SEARCH("6am-9am",'(B) Register of Participants'!$AD$96)))+(ISNUMBER(SEARCH("9am-12pm",$AS$33))*ISNUMBER(SEARCH("9am-12pm",'(B) Register of Participants'!$AD$96)))+(ISNUMBER(SEARCH("12pm-3pm",$AS$33))*ISNUMBER(SEARCH("12pm-3pm",'(B) Register of Participants'!$AD$96)))+(ISNUMBER(SEARCH("3pm-6pm",$AS$33))*ISNUMBER(SEARCH("3pm-6pm",'(B) Register of Participants'!$AD$96)))+(ISNUMBER(SEARCH("6pm-9pm",$AS$33))*ISNUMBER(SEARCH("6pm-9pm",'(B) Register of Participants'!$AD$96)))</f>
        <v/>
      </c>
      <c r="Q118" s="20">
        <f>IF(OR(AND($AS$17&lt;&gt;"",$AS$17&lt;&gt;"English",IF($AS$17="Persian",OR(ISNUMBER(SEARCH("Dari",'(B) Register of Participants'!$AR$96)),ISNUMBER(SEARCH("Farsi",'(B) Register of Participants'!$AR$96)),ISNUMBER(SEARCH("Persian",'(B) Register of Participants'!$AR$96)),ISNUMBER(SEARCH("Hazaragi",'(B) Register of Participants'!$AR$96))),ISNUMBER(SEARCH($AS$17,'(B) Register of Participants'!$AR$96)))),AND($AS$20&lt;&gt;"",$AS$20&lt;&gt;"English",IF($AS$20="Persian",OR(ISNUMBER(SEARCH("Dari",'(B) Register of Participants'!$AR$96)),ISNUMBER(SEARCH("Farsi",'(B) Register of Participants'!$AR$96)),ISNUMBER(SEARCH("Persian",'(B) Register of Participants'!$AR$96)),ISNUMBER(SEARCH("Hazaragi",'(B) Register of Participants'!$AR$96))),ISNUMBER(SEARCH($AS$20,'(B) Register of Participants'!$AR$96))))),1,0)</f>
        <v/>
      </c>
      <c r="R118" s="20">
        <f>IF(AND(AH118,AI118,NOT(AJ118),NOT($AS$25),AK118,$AS$26,AM118,AN118,NOT(AL118)),"Yes","No")</f>
        <v/>
      </c>
      <c r="S118" s="20">
        <f>IF(OR(COUNTIF('Engine Lists'!$A:$A,$AS$14&amp;"|"&amp;AO118)&gt;0,COUNTIF('Engine Lists'!$A:$A,$AS$14&amp;"|"&amp;AP118)&gt;0,COUNTIF('Engine Lists'!$A:$A,$AS$15&amp;"|"&amp;AO118)&gt;0,COUNTIF('Engine Lists'!$A:$A,$AS$15&amp;"|"&amp;AP118)&gt;0,COUNTIF('Engine Lists'!$A:$A,$AS$21&amp;"|"&amp;I118)&gt;0),-8,0)</f>
        <v/>
      </c>
      <c r="T118" s="20">
        <f>IF(Q118=1,IF(OR($AS$8="A2",$AS$8="B1"),7,IF(OR($AS$8="B2",$AS$8="C1",$AS$8="C2"),-5,0)),0)</f>
        <v/>
      </c>
      <c r="U118" s="20">
        <f>IF(AND($AS$6=G118,OR($AS$6="Male",$AS$6="Female")),5,0)</f>
        <v/>
      </c>
      <c r="V118" s="20">
        <f>IF(AND($AS$24,$AS$11&lt;&gt;"In-Person",K118&lt;&gt;"In-Person"),-5,0)</f>
        <v/>
      </c>
      <c r="W118" s="20">
        <f>IF(OR($AS$11=K118,$AS$11="Either",K118="Either"),3,0)</f>
        <v/>
      </c>
      <c r="X118" s="20">
        <f>IF(AND($AS$11&lt;&gt;"Online",K118&lt;&gt;"Online",ISNUMBER($AS$22),ISNUMBER(IFERROR(VALUE(M118),"x"))),IF(ABS($AS$22-VALUE(M118))&lt;=50,3,0),0)</f>
        <v/>
      </c>
      <c r="Y118" s="20">
        <f>IF(AND($AS$10&lt;&gt;"",$AS$10=J118),3,0)</f>
        <v/>
      </c>
      <c r="Z118" s="20">
        <f>IF(OR(N($AS$13)&gt;=150,N(O118)&gt;=150),3,0)</f>
        <v/>
      </c>
      <c r="AA118" s="20">
        <f>IF(AND($AS$21&lt;&gt;"",$AS$21&lt;&gt;"NA",$AS$21=I118),2,0)</f>
        <v/>
      </c>
      <c r="AB118" s="20">
        <f>IF(OR(AND($AS$14&lt;&gt;"",$AS$14&lt;&gt;"NA",OR($AS$14=AO118,$AS$14=AP118)),AND($AS$15&lt;&gt;"",OR($AS$15=AO118,$AS$15=AP118))),2,0)</f>
        <v/>
      </c>
      <c r="AC118" s="20">
        <f>IF(AND(ISNUMBER($AS$12),ISNUMBER(N118),ABS($AS$12-N118)&lt;=10),2,0)</f>
        <v/>
      </c>
      <c r="AD118" s="20">
        <f>IF(R118="Yes",SUM(S118:AC118),"")</f>
        <v/>
      </c>
      <c r="AE118" s="20">
        <f>IF(R118="Yes","Score "&amp;AD118&amp;": "&amp;TRIM(IF(S118&lt;&gt;0,"−8 acrimonious; ","")&amp;IF(T118=7,"+7 shared language; ","")&amp;IF(T118=-5,"−5 shared lang(adv); ","")&amp;IF(U118=5,"+5 same-sex; ","")&amp;IF(V118=-5,"−5 online no device; ","")&amp;IF(W118=3,"+3 mode; ","")&amp;IF(X118=3,"+3 proximity; ","")&amp;IF(Y118=3,"+3 category; ","")&amp;IF(Z118=3,"+3 long wait; ","")&amp;IF(AA118=2,"+2 religion; ","")&amp;IF(AB118=2,"+2 nationality; ","")&amp;IF(AC118=2,"+2 age; ","")),"Not eligible: "&amp;IF(NOT(AH118),"tutor not pending/with-capacity",IF(NOT(AI118),"no spare capacity",IF(AJ118,"tutor blacklisted",IF($AS$25,"student blacklisted",IF(NOT(AK118),"tutor vetting incomplete",IF(NOT($AS$26),"student vetting incomplete",IF(NOT(AM118),"no overlapping 3h AEST block",IF(NOT(AN118),"A1 student needs a shared language",IF(AL118,"'do not pair' note present",""))))))))))</f>
        <v/>
      </c>
      <c r="AF118">
        <f>TRIM(IFERROR(LEFT('(B) Register of Participants'!$AR$96,FIND(" (",'(B) Register of Participants'!$AR$96)-1),'(B) Register of Participants'!$AR$96))</f>
        <v/>
      </c>
      <c r="AG118">
        <f>IF(ISNUMBER(SEARCH("Mandarin",'(B) Register of Participants'!$AR$96)),"Mandarin",IF(ISNUMBER(SEARCH("Cantonese",'(B) Register of Participants'!$AR$96)),"Cantonese",IF(OR(AF118="Dari",AF118="Farsi",AF118="Persian",AF118="Hazaragi"),"Persian",AF118)))</f>
        <v/>
      </c>
      <c r="AH118">
        <f>OR(E118="ADM-ACT-UNMAT",E118="ADM-ACT-MAT-CNE")</f>
        <v/>
      </c>
      <c r="AI118">
        <f>F118&gt;0</f>
        <v/>
      </c>
      <c r="AJ118">
        <f>LEFT('(B) Register of Participants'!$L$96,3)="Yes"</f>
        <v/>
      </c>
      <c r="AK118">
        <f>AND(OR(LEFT('(B) Register of Participants'!$AY$96,3)="Yes",LEFT('(B) Register of Participants'!$AY$96,2)="NA"),OR(LEFT('(B) Register of Participants'!$AZ$96,3)="Yes",LEFT('(B) Register of Participants'!$AZ$96,2)="NA"))</f>
        <v/>
      </c>
      <c r="AL118">
        <f>OR(ISNUMBER(SEARCH("do not pair",'(B) Register of Participants'!$BL$96)),ISNUMBER(SEARCH("do not pair",'(B) Register of Participants'!$BM$96)))</f>
        <v/>
      </c>
      <c r="AM118">
        <f>P118&gt;0</f>
        <v/>
      </c>
      <c r="AN118">
        <f>IF($AS$8="A1",Q118=1,TRUE)</f>
        <v/>
      </c>
      <c r="AO118">
        <f>TRIM(IFERROR(LEFT('(B) Register of Participants'!$AP$96,FIND(";",'(B) Register of Participants'!$AP$96)-1),'(B) Register of Participants'!$AP$96))</f>
        <v/>
      </c>
      <c r="AP118">
        <f>IF(ISNUMBER(FIND(";",'(B) Register of Participants'!$AP$96)),TRIM(MID('(B) Register of Participants'!$AP$96,FIND(";",'(B) Register of Participants'!$AP$96)+1,80)),"")</f>
        <v/>
      </c>
    </row>
    <row r="119">
      <c r="B119" s="20">
        <f>IF(R119="Yes",RANK(AD119,$AD$25:$AD$124),"")</f>
        <v/>
      </c>
      <c r="C119" s="20">
        <f>'(B) Register of Participants'!$A$97</f>
        <v/>
      </c>
      <c r="D119" s="20">
        <f>'(B) Register of Participants'!$B$97</f>
        <v/>
      </c>
      <c r="E119" s="20">
        <f>'(B) Register of Participants'!$J$97</f>
        <v/>
      </c>
      <c r="F119" s="20">
        <f>IFERROR('(B) Register of Participants'!$O$97-'(B) Register of Participants'!$P$97,0)</f>
        <v/>
      </c>
      <c r="G119" s="20">
        <f>'(B) Register of Participants'!$AL$97</f>
        <v/>
      </c>
      <c r="H119" s="20">
        <f>'(B) Register of Participants'!$AP$97</f>
        <v/>
      </c>
      <c r="I119" s="20">
        <f>TRIM(IFERROR(LEFT('(B) Register of Participants'!$AS$97,FIND(" (",'(B) Register of Participants'!$AS$97)-1),'(B) Register of Participants'!$AS$97))</f>
        <v/>
      </c>
      <c r="J119" s="20">
        <f>'(B) Register of Participants'!$AT$97</f>
        <v/>
      </c>
      <c r="K119" s="20">
        <f>'(B) Register of Participants'!$AE$97</f>
        <v/>
      </c>
      <c r="L119" s="20">
        <f>'(B) Register of Participants'!$AF$97</f>
        <v/>
      </c>
      <c r="M119" s="20">
        <f>'(B) Register of Participants'!$AJ$97</f>
        <v/>
      </c>
      <c r="N119" s="20">
        <f>'(B) Register of Participants'!$CY$97</f>
        <v/>
      </c>
      <c r="O119" s="20">
        <f>'(B) Register of Participants'!$CW$97</f>
        <v/>
      </c>
      <c r="P119" s="20">
        <f>(ISNUMBER(SEARCH("6am-9am",$AS$27))*ISNUMBER(SEARCH("6am-9am",'(B) Register of Participants'!$X$97)))+(ISNUMBER(SEARCH("9am-12pm",$AS$27))*ISNUMBER(SEARCH("9am-12pm",'(B) Register of Participants'!$X$97)))+(ISNUMBER(SEARCH("12pm-3pm",$AS$27))*ISNUMBER(SEARCH("12pm-3pm",'(B) Register of Participants'!$X$97)))+(ISNUMBER(SEARCH("3pm-6pm",$AS$27))*ISNUMBER(SEARCH("3pm-6pm",'(B) Register of Participants'!$X$97)))+(ISNUMBER(SEARCH("6pm-9pm",$AS$27))*ISNUMBER(SEARCH("6pm-9pm",'(B) Register of Participants'!$X$97)))+(ISNUMBER(SEARCH("6am-9am",$AS$28))*ISNUMBER(SEARCH("6am-9am",'(B) Register of Participants'!$Y$97)))+(ISNUMBER(SEARCH("9am-12pm",$AS$28))*ISNUMBER(SEARCH("9am-12pm",'(B) Register of Participants'!$Y$97)))+(ISNUMBER(SEARCH("12pm-3pm",$AS$28))*ISNUMBER(SEARCH("12pm-3pm",'(B) Register of Participants'!$Y$97)))+(ISNUMBER(SEARCH("3pm-6pm",$AS$28))*ISNUMBER(SEARCH("3pm-6pm",'(B) Register of Participants'!$Y$97)))+(ISNUMBER(SEARCH("6pm-9pm",$AS$28))*ISNUMBER(SEARCH("6pm-9pm",'(B) Register of Participants'!$Y$97)))+(ISNUMBER(SEARCH("6am-9am",$AS$29))*ISNUMBER(SEARCH("6am-9am",'(B) Register of Participants'!$Z$97)))+(ISNUMBER(SEARCH("9am-12pm",$AS$29))*ISNUMBER(SEARCH("9am-12pm",'(B) Register of Participants'!$Z$97)))+(ISNUMBER(SEARCH("12pm-3pm",$AS$29))*ISNUMBER(SEARCH("12pm-3pm",'(B) Register of Participants'!$Z$97)))+(ISNUMBER(SEARCH("3pm-6pm",$AS$29))*ISNUMBER(SEARCH("3pm-6pm",'(B) Register of Participants'!$Z$97)))+(ISNUMBER(SEARCH("6pm-9pm",$AS$29))*ISNUMBER(SEARCH("6pm-9pm",'(B) Register of Participants'!$Z$97)))+(ISNUMBER(SEARCH("6am-9am",$AS$30))*ISNUMBER(SEARCH("6am-9am",'(B) Register of Participants'!$AA$97)))+(ISNUMBER(SEARCH("9am-12pm",$AS$30))*ISNUMBER(SEARCH("9am-12pm",'(B) Register of Participants'!$AA$97)))+(ISNUMBER(SEARCH("12pm-3pm",$AS$30))*ISNUMBER(SEARCH("12pm-3pm",'(B) Register of Participants'!$AA$97)))+(ISNUMBER(SEARCH("3pm-6pm",$AS$30))*ISNUMBER(SEARCH("3pm-6pm",'(B) Register of Participants'!$AA$97)))+(ISNUMBER(SEARCH("6pm-9pm",$AS$30))*ISNUMBER(SEARCH("6pm-9pm",'(B) Register of Participants'!$AA$97)))+(ISNUMBER(SEARCH("6am-9am",$AS$31))*ISNUMBER(SEARCH("6am-9am",'(B) Register of Participants'!$AB$97)))+(ISNUMBER(SEARCH("9am-12pm",$AS$31))*ISNUMBER(SEARCH("9am-12pm",'(B) Register of Participants'!$AB$97)))+(ISNUMBER(SEARCH("12pm-3pm",$AS$31))*ISNUMBER(SEARCH("12pm-3pm",'(B) Register of Participants'!$AB$97)))+(ISNUMBER(SEARCH("3pm-6pm",$AS$31))*ISNUMBER(SEARCH("3pm-6pm",'(B) Register of Participants'!$AB$97)))+(ISNUMBER(SEARCH("6pm-9pm",$AS$31))*ISNUMBER(SEARCH("6pm-9pm",'(B) Register of Participants'!$AB$97)))+(ISNUMBER(SEARCH("6am-9am",$AS$32))*ISNUMBER(SEARCH("6am-9am",'(B) Register of Participants'!$AC$97)))+(ISNUMBER(SEARCH("9am-12pm",$AS$32))*ISNUMBER(SEARCH("9am-12pm",'(B) Register of Participants'!$AC$97)))+(ISNUMBER(SEARCH("12pm-3pm",$AS$32))*ISNUMBER(SEARCH("12pm-3pm",'(B) Register of Participants'!$AC$97)))+(ISNUMBER(SEARCH("3pm-6pm",$AS$32))*ISNUMBER(SEARCH("3pm-6pm",'(B) Register of Participants'!$AC$97)))+(ISNUMBER(SEARCH("6pm-9pm",$AS$32))*ISNUMBER(SEARCH("6pm-9pm",'(B) Register of Participants'!$AC$97)))+(ISNUMBER(SEARCH("6am-9am",$AS$33))*ISNUMBER(SEARCH("6am-9am",'(B) Register of Participants'!$AD$97)))+(ISNUMBER(SEARCH("9am-12pm",$AS$33))*ISNUMBER(SEARCH("9am-12pm",'(B) Register of Participants'!$AD$97)))+(ISNUMBER(SEARCH("12pm-3pm",$AS$33))*ISNUMBER(SEARCH("12pm-3pm",'(B) Register of Participants'!$AD$97)))+(ISNUMBER(SEARCH("3pm-6pm",$AS$33))*ISNUMBER(SEARCH("3pm-6pm",'(B) Register of Participants'!$AD$97)))+(ISNUMBER(SEARCH("6pm-9pm",$AS$33))*ISNUMBER(SEARCH("6pm-9pm",'(B) Register of Participants'!$AD$97)))</f>
        <v/>
      </c>
      <c r="Q119" s="20">
        <f>IF(OR(AND($AS$17&lt;&gt;"",$AS$17&lt;&gt;"English",IF($AS$17="Persian",OR(ISNUMBER(SEARCH("Dari",'(B) Register of Participants'!$AR$97)),ISNUMBER(SEARCH("Farsi",'(B) Register of Participants'!$AR$97)),ISNUMBER(SEARCH("Persian",'(B) Register of Participants'!$AR$97)),ISNUMBER(SEARCH("Hazaragi",'(B) Register of Participants'!$AR$97))),ISNUMBER(SEARCH($AS$17,'(B) Register of Participants'!$AR$97)))),AND($AS$20&lt;&gt;"",$AS$20&lt;&gt;"English",IF($AS$20="Persian",OR(ISNUMBER(SEARCH("Dari",'(B) Register of Participants'!$AR$97)),ISNUMBER(SEARCH("Farsi",'(B) Register of Participants'!$AR$97)),ISNUMBER(SEARCH("Persian",'(B) Register of Participants'!$AR$97)),ISNUMBER(SEARCH("Hazaragi",'(B) Register of Participants'!$AR$97))),ISNUMBER(SEARCH($AS$20,'(B) Register of Participants'!$AR$97))))),1,0)</f>
        <v/>
      </c>
      <c r="R119" s="20">
        <f>IF(AND(AH119,AI119,NOT(AJ119),NOT($AS$25),AK119,$AS$26,AM119,AN119,NOT(AL119)),"Yes","No")</f>
        <v/>
      </c>
      <c r="S119" s="20">
        <f>IF(OR(COUNTIF('Engine Lists'!$A:$A,$AS$14&amp;"|"&amp;AO119)&gt;0,COUNTIF('Engine Lists'!$A:$A,$AS$14&amp;"|"&amp;AP119)&gt;0,COUNTIF('Engine Lists'!$A:$A,$AS$15&amp;"|"&amp;AO119)&gt;0,COUNTIF('Engine Lists'!$A:$A,$AS$15&amp;"|"&amp;AP119)&gt;0,COUNTIF('Engine Lists'!$A:$A,$AS$21&amp;"|"&amp;I119)&gt;0),-8,0)</f>
        <v/>
      </c>
      <c r="T119" s="20">
        <f>IF(Q119=1,IF(OR($AS$8="A2",$AS$8="B1"),7,IF(OR($AS$8="B2",$AS$8="C1",$AS$8="C2"),-5,0)),0)</f>
        <v/>
      </c>
      <c r="U119" s="20">
        <f>IF(AND($AS$6=G119,OR($AS$6="Male",$AS$6="Female")),5,0)</f>
        <v/>
      </c>
      <c r="V119" s="20">
        <f>IF(AND($AS$24,$AS$11&lt;&gt;"In-Person",K119&lt;&gt;"In-Person"),-5,0)</f>
        <v/>
      </c>
      <c r="W119" s="20">
        <f>IF(OR($AS$11=K119,$AS$11="Either",K119="Either"),3,0)</f>
        <v/>
      </c>
      <c r="X119" s="20">
        <f>IF(AND($AS$11&lt;&gt;"Online",K119&lt;&gt;"Online",ISNUMBER($AS$22),ISNUMBER(IFERROR(VALUE(M119),"x"))),IF(ABS($AS$22-VALUE(M119))&lt;=50,3,0),0)</f>
        <v/>
      </c>
      <c r="Y119" s="20">
        <f>IF(AND($AS$10&lt;&gt;"",$AS$10=J119),3,0)</f>
        <v/>
      </c>
      <c r="Z119" s="20">
        <f>IF(OR(N($AS$13)&gt;=150,N(O119)&gt;=150),3,0)</f>
        <v/>
      </c>
      <c r="AA119" s="20">
        <f>IF(AND($AS$21&lt;&gt;"",$AS$21&lt;&gt;"NA",$AS$21=I119),2,0)</f>
        <v/>
      </c>
      <c r="AB119" s="20">
        <f>IF(OR(AND($AS$14&lt;&gt;"",$AS$14&lt;&gt;"NA",OR($AS$14=AO119,$AS$14=AP119)),AND($AS$15&lt;&gt;"",OR($AS$15=AO119,$AS$15=AP119))),2,0)</f>
        <v/>
      </c>
      <c r="AC119" s="20">
        <f>IF(AND(ISNUMBER($AS$12),ISNUMBER(N119),ABS($AS$12-N119)&lt;=10),2,0)</f>
        <v/>
      </c>
      <c r="AD119" s="20">
        <f>IF(R119="Yes",SUM(S119:AC119),"")</f>
        <v/>
      </c>
      <c r="AE119" s="20">
        <f>IF(R119="Yes","Score "&amp;AD119&amp;": "&amp;TRIM(IF(S119&lt;&gt;0,"−8 acrimonious; ","")&amp;IF(T119=7,"+7 shared language; ","")&amp;IF(T119=-5,"−5 shared lang(adv); ","")&amp;IF(U119=5,"+5 same-sex; ","")&amp;IF(V119=-5,"−5 online no device; ","")&amp;IF(W119=3,"+3 mode; ","")&amp;IF(X119=3,"+3 proximity; ","")&amp;IF(Y119=3,"+3 category; ","")&amp;IF(Z119=3,"+3 long wait; ","")&amp;IF(AA119=2,"+2 religion; ","")&amp;IF(AB119=2,"+2 nationality; ","")&amp;IF(AC119=2,"+2 age; ","")),"Not eligible: "&amp;IF(NOT(AH119),"tutor not pending/with-capacity",IF(NOT(AI119),"no spare capacity",IF(AJ119,"tutor blacklisted",IF($AS$25,"student blacklisted",IF(NOT(AK119),"tutor vetting incomplete",IF(NOT($AS$26),"student vetting incomplete",IF(NOT(AM119),"no overlapping 3h AEST block",IF(NOT(AN119),"A1 student needs a shared language",IF(AL119,"'do not pair' note present",""))))))))))</f>
        <v/>
      </c>
      <c r="AF119">
        <f>TRIM(IFERROR(LEFT('(B) Register of Participants'!$AR$97,FIND(" (",'(B) Register of Participants'!$AR$97)-1),'(B) Register of Participants'!$AR$97))</f>
        <v/>
      </c>
      <c r="AG119">
        <f>IF(ISNUMBER(SEARCH("Mandarin",'(B) Register of Participants'!$AR$97)),"Mandarin",IF(ISNUMBER(SEARCH("Cantonese",'(B) Register of Participants'!$AR$97)),"Cantonese",IF(OR(AF119="Dari",AF119="Farsi",AF119="Persian",AF119="Hazaragi"),"Persian",AF119)))</f>
        <v/>
      </c>
      <c r="AH119">
        <f>OR(E119="ADM-ACT-UNMAT",E119="ADM-ACT-MAT-CNE")</f>
        <v/>
      </c>
      <c r="AI119">
        <f>F119&gt;0</f>
        <v/>
      </c>
      <c r="AJ119">
        <f>LEFT('(B) Register of Participants'!$L$97,3)="Yes"</f>
        <v/>
      </c>
      <c r="AK119">
        <f>AND(OR(LEFT('(B) Register of Participants'!$AY$97,3)="Yes",LEFT('(B) Register of Participants'!$AY$97,2)="NA"),OR(LEFT('(B) Register of Participants'!$AZ$97,3)="Yes",LEFT('(B) Register of Participants'!$AZ$97,2)="NA"))</f>
        <v/>
      </c>
      <c r="AL119">
        <f>OR(ISNUMBER(SEARCH("do not pair",'(B) Register of Participants'!$BL$97)),ISNUMBER(SEARCH("do not pair",'(B) Register of Participants'!$BM$97)))</f>
        <v/>
      </c>
      <c r="AM119">
        <f>P119&gt;0</f>
        <v/>
      </c>
      <c r="AN119">
        <f>IF($AS$8="A1",Q119=1,TRUE)</f>
        <v/>
      </c>
      <c r="AO119">
        <f>TRIM(IFERROR(LEFT('(B) Register of Participants'!$AP$97,FIND(";",'(B) Register of Participants'!$AP$97)-1),'(B) Register of Participants'!$AP$97))</f>
        <v/>
      </c>
      <c r="AP119">
        <f>IF(ISNUMBER(FIND(";",'(B) Register of Participants'!$AP$97)),TRIM(MID('(B) Register of Participants'!$AP$97,FIND(";",'(B) Register of Participants'!$AP$97)+1,80)),"")</f>
        <v/>
      </c>
    </row>
    <row r="120">
      <c r="B120" s="20">
        <f>IF(R120="Yes",RANK(AD120,$AD$25:$AD$124),"")</f>
        <v/>
      </c>
      <c r="C120" s="20">
        <f>'(B) Register of Participants'!$A$98</f>
        <v/>
      </c>
      <c r="D120" s="20">
        <f>'(B) Register of Participants'!$B$98</f>
        <v/>
      </c>
      <c r="E120" s="20">
        <f>'(B) Register of Participants'!$J$98</f>
        <v/>
      </c>
      <c r="F120" s="20">
        <f>IFERROR('(B) Register of Participants'!$O$98-'(B) Register of Participants'!$P$98,0)</f>
        <v/>
      </c>
      <c r="G120" s="20">
        <f>'(B) Register of Participants'!$AL$98</f>
        <v/>
      </c>
      <c r="H120" s="20">
        <f>'(B) Register of Participants'!$AP$98</f>
        <v/>
      </c>
      <c r="I120" s="20">
        <f>TRIM(IFERROR(LEFT('(B) Register of Participants'!$AS$98,FIND(" (",'(B) Register of Participants'!$AS$98)-1),'(B) Register of Participants'!$AS$98))</f>
        <v/>
      </c>
      <c r="J120" s="20">
        <f>'(B) Register of Participants'!$AT$98</f>
        <v/>
      </c>
      <c r="K120" s="20">
        <f>'(B) Register of Participants'!$AE$98</f>
        <v/>
      </c>
      <c r="L120" s="20">
        <f>'(B) Register of Participants'!$AF$98</f>
        <v/>
      </c>
      <c r="M120" s="20">
        <f>'(B) Register of Participants'!$AJ$98</f>
        <v/>
      </c>
      <c r="N120" s="20">
        <f>'(B) Register of Participants'!$CY$98</f>
        <v/>
      </c>
      <c r="O120" s="20">
        <f>'(B) Register of Participants'!$CW$98</f>
        <v/>
      </c>
      <c r="P120" s="20">
        <f>(ISNUMBER(SEARCH("6am-9am",$AS$27))*ISNUMBER(SEARCH("6am-9am",'(B) Register of Participants'!$X$98)))+(ISNUMBER(SEARCH("9am-12pm",$AS$27))*ISNUMBER(SEARCH("9am-12pm",'(B) Register of Participants'!$X$98)))+(ISNUMBER(SEARCH("12pm-3pm",$AS$27))*ISNUMBER(SEARCH("12pm-3pm",'(B) Register of Participants'!$X$98)))+(ISNUMBER(SEARCH("3pm-6pm",$AS$27))*ISNUMBER(SEARCH("3pm-6pm",'(B) Register of Participants'!$X$98)))+(ISNUMBER(SEARCH("6pm-9pm",$AS$27))*ISNUMBER(SEARCH("6pm-9pm",'(B) Register of Participants'!$X$98)))+(ISNUMBER(SEARCH("6am-9am",$AS$28))*ISNUMBER(SEARCH("6am-9am",'(B) Register of Participants'!$Y$98)))+(ISNUMBER(SEARCH("9am-12pm",$AS$28))*ISNUMBER(SEARCH("9am-12pm",'(B) Register of Participants'!$Y$98)))+(ISNUMBER(SEARCH("12pm-3pm",$AS$28))*ISNUMBER(SEARCH("12pm-3pm",'(B) Register of Participants'!$Y$98)))+(ISNUMBER(SEARCH("3pm-6pm",$AS$28))*ISNUMBER(SEARCH("3pm-6pm",'(B) Register of Participants'!$Y$98)))+(ISNUMBER(SEARCH("6pm-9pm",$AS$28))*ISNUMBER(SEARCH("6pm-9pm",'(B) Register of Participants'!$Y$98)))+(ISNUMBER(SEARCH("6am-9am",$AS$29))*ISNUMBER(SEARCH("6am-9am",'(B) Register of Participants'!$Z$98)))+(ISNUMBER(SEARCH("9am-12pm",$AS$29))*ISNUMBER(SEARCH("9am-12pm",'(B) Register of Participants'!$Z$98)))+(ISNUMBER(SEARCH("12pm-3pm",$AS$29))*ISNUMBER(SEARCH("12pm-3pm",'(B) Register of Participants'!$Z$98)))+(ISNUMBER(SEARCH("3pm-6pm",$AS$29))*ISNUMBER(SEARCH("3pm-6pm",'(B) Register of Participants'!$Z$98)))+(ISNUMBER(SEARCH("6pm-9pm",$AS$29))*ISNUMBER(SEARCH("6pm-9pm",'(B) Register of Participants'!$Z$98)))+(ISNUMBER(SEARCH("6am-9am",$AS$30))*ISNUMBER(SEARCH("6am-9am",'(B) Register of Participants'!$AA$98)))+(ISNUMBER(SEARCH("9am-12pm",$AS$30))*ISNUMBER(SEARCH("9am-12pm",'(B) Register of Participants'!$AA$98)))+(ISNUMBER(SEARCH("12pm-3pm",$AS$30))*ISNUMBER(SEARCH("12pm-3pm",'(B) Register of Participants'!$AA$98)))+(ISNUMBER(SEARCH("3pm-6pm",$AS$30))*ISNUMBER(SEARCH("3pm-6pm",'(B) Register of Participants'!$AA$98)))+(ISNUMBER(SEARCH("6pm-9pm",$AS$30))*ISNUMBER(SEARCH("6pm-9pm",'(B) Register of Participants'!$AA$98)))+(ISNUMBER(SEARCH("6am-9am",$AS$31))*ISNUMBER(SEARCH("6am-9am",'(B) Register of Participants'!$AB$98)))+(ISNUMBER(SEARCH("9am-12pm",$AS$31))*ISNUMBER(SEARCH("9am-12pm",'(B) Register of Participants'!$AB$98)))+(ISNUMBER(SEARCH("12pm-3pm",$AS$31))*ISNUMBER(SEARCH("12pm-3pm",'(B) Register of Participants'!$AB$98)))+(ISNUMBER(SEARCH("3pm-6pm",$AS$31))*ISNUMBER(SEARCH("3pm-6pm",'(B) Register of Participants'!$AB$98)))+(ISNUMBER(SEARCH("6pm-9pm",$AS$31))*ISNUMBER(SEARCH("6pm-9pm",'(B) Register of Participants'!$AB$98)))+(ISNUMBER(SEARCH("6am-9am",$AS$32))*ISNUMBER(SEARCH("6am-9am",'(B) Register of Participants'!$AC$98)))+(ISNUMBER(SEARCH("9am-12pm",$AS$32))*ISNUMBER(SEARCH("9am-12pm",'(B) Register of Participants'!$AC$98)))+(ISNUMBER(SEARCH("12pm-3pm",$AS$32))*ISNUMBER(SEARCH("12pm-3pm",'(B) Register of Participants'!$AC$98)))+(ISNUMBER(SEARCH("3pm-6pm",$AS$32))*ISNUMBER(SEARCH("3pm-6pm",'(B) Register of Participants'!$AC$98)))+(ISNUMBER(SEARCH("6pm-9pm",$AS$32))*ISNUMBER(SEARCH("6pm-9pm",'(B) Register of Participants'!$AC$98)))+(ISNUMBER(SEARCH("6am-9am",$AS$33))*ISNUMBER(SEARCH("6am-9am",'(B) Register of Participants'!$AD$98)))+(ISNUMBER(SEARCH("9am-12pm",$AS$33))*ISNUMBER(SEARCH("9am-12pm",'(B) Register of Participants'!$AD$98)))+(ISNUMBER(SEARCH("12pm-3pm",$AS$33))*ISNUMBER(SEARCH("12pm-3pm",'(B) Register of Participants'!$AD$98)))+(ISNUMBER(SEARCH("3pm-6pm",$AS$33))*ISNUMBER(SEARCH("3pm-6pm",'(B) Register of Participants'!$AD$98)))+(ISNUMBER(SEARCH("6pm-9pm",$AS$33))*ISNUMBER(SEARCH("6pm-9pm",'(B) Register of Participants'!$AD$98)))</f>
        <v/>
      </c>
      <c r="Q120" s="20">
        <f>IF(OR(AND($AS$17&lt;&gt;"",$AS$17&lt;&gt;"English",IF($AS$17="Persian",OR(ISNUMBER(SEARCH("Dari",'(B) Register of Participants'!$AR$98)),ISNUMBER(SEARCH("Farsi",'(B) Register of Participants'!$AR$98)),ISNUMBER(SEARCH("Persian",'(B) Register of Participants'!$AR$98)),ISNUMBER(SEARCH("Hazaragi",'(B) Register of Participants'!$AR$98))),ISNUMBER(SEARCH($AS$17,'(B) Register of Participants'!$AR$98)))),AND($AS$20&lt;&gt;"",$AS$20&lt;&gt;"English",IF($AS$20="Persian",OR(ISNUMBER(SEARCH("Dari",'(B) Register of Participants'!$AR$98)),ISNUMBER(SEARCH("Farsi",'(B) Register of Participants'!$AR$98)),ISNUMBER(SEARCH("Persian",'(B) Register of Participants'!$AR$98)),ISNUMBER(SEARCH("Hazaragi",'(B) Register of Participants'!$AR$98))),ISNUMBER(SEARCH($AS$20,'(B) Register of Participants'!$AR$98))))),1,0)</f>
        <v/>
      </c>
      <c r="R120" s="20">
        <f>IF(AND(AH120,AI120,NOT(AJ120),NOT($AS$25),AK120,$AS$26,AM120,AN120,NOT(AL120)),"Yes","No")</f>
        <v/>
      </c>
      <c r="S120" s="20">
        <f>IF(OR(COUNTIF('Engine Lists'!$A:$A,$AS$14&amp;"|"&amp;AO120)&gt;0,COUNTIF('Engine Lists'!$A:$A,$AS$14&amp;"|"&amp;AP120)&gt;0,COUNTIF('Engine Lists'!$A:$A,$AS$15&amp;"|"&amp;AO120)&gt;0,COUNTIF('Engine Lists'!$A:$A,$AS$15&amp;"|"&amp;AP120)&gt;0,COUNTIF('Engine Lists'!$A:$A,$AS$21&amp;"|"&amp;I120)&gt;0),-8,0)</f>
        <v/>
      </c>
      <c r="T120" s="20">
        <f>IF(Q120=1,IF(OR($AS$8="A2",$AS$8="B1"),7,IF(OR($AS$8="B2",$AS$8="C1",$AS$8="C2"),-5,0)),0)</f>
        <v/>
      </c>
      <c r="U120" s="20">
        <f>IF(AND($AS$6=G120,OR($AS$6="Male",$AS$6="Female")),5,0)</f>
        <v/>
      </c>
      <c r="V120" s="20">
        <f>IF(AND($AS$24,$AS$11&lt;&gt;"In-Person",K120&lt;&gt;"In-Person"),-5,0)</f>
        <v/>
      </c>
      <c r="W120" s="20">
        <f>IF(OR($AS$11=K120,$AS$11="Either",K120="Either"),3,0)</f>
        <v/>
      </c>
      <c r="X120" s="20">
        <f>IF(AND($AS$11&lt;&gt;"Online",K120&lt;&gt;"Online",ISNUMBER($AS$22),ISNUMBER(IFERROR(VALUE(M120),"x"))),IF(ABS($AS$22-VALUE(M120))&lt;=50,3,0),0)</f>
        <v/>
      </c>
      <c r="Y120" s="20">
        <f>IF(AND($AS$10&lt;&gt;"",$AS$10=J120),3,0)</f>
        <v/>
      </c>
      <c r="Z120" s="20">
        <f>IF(OR(N($AS$13)&gt;=150,N(O120)&gt;=150),3,0)</f>
        <v/>
      </c>
      <c r="AA120" s="20">
        <f>IF(AND($AS$21&lt;&gt;"",$AS$21&lt;&gt;"NA",$AS$21=I120),2,0)</f>
        <v/>
      </c>
      <c r="AB120" s="20">
        <f>IF(OR(AND($AS$14&lt;&gt;"",$AS$14&lt;&gt;"NA",OR($AS$14=AO120,$AS$14=AP120)),AND($AS$15&lt;&gt;"",OR($AS$15=AO120,$AS$15=AP120))),2,0)</f>
        <v/>
      </c>
      <c r="AC120" s="20">
        <f>IF(AND(ISNUMBER($AS$12),ISNUMBER(N120),ABS($AS$12-N120)&lt;=10),2,0)</f>
        <v/>
      </c>
      <c r="AD120" s="20">
        <f>IF(R120="Yes",SUM(S120:AC120),"")</f>
        <v/>
      </c>
      <c r="AE120" s="20">
        <f>IF(R120="Yes","Score "&amp;AD120&amp;": "&amp;TRIM(IF(S120&lt;&gt;0,"−8 acrimonious; ","")&amp;IF(T120=7,"+7 shared language; ","")&amp;IF(T120=-5,"−5 shared lang(adv); ","")&amp;IF(U120=5,"+5 same-sex; ","")&amp;IF(V120=-5,"−5 online no device; ","")&amp;IF(W120=3,"+3 mode; ","")&amp;IF(X120=3,"+3 proximity; ","")&amp;IF(Y120=3,"+3 category; ","")&amp;IF(Z120=3,"+3 long wait; ","")&amp;IF(AA120=2,"+2 religion; ","")&amp;IF(AB120=2,"+2 nationality; ","")&amp;IF(AC120=2,"+2 age; ","")),"Not eligible: "&amp;IF(NOT(AH120),"tutor not pending/with-capacity",IF(NOT(AI120),"no spare capacity",IF(AJ120,"tutor blacklisted",IF($AS$25,"student blacklisted",IF(NOT(AK120),"tutor vetting incomplete",IF(NOT($AS$26),"student vetting incomplete",IF(NOT(AM120),"no overlapping 3h AEST block",IF(NOT(AN120),"A1 student needs a shared language",IF(AL120,"'do not pair' note present",""))))))))))</f>
        <v/>
      </c>
      <c r="AF120">
        <f>TRIM(IFERROR(LEFT('(B) Register of Participants'!$AR$98,FIND(" (",'(B) Register of Participants'!$AR$98)-1),'(B) Register of Participants'!$AR$98))</f>
        <v/>
      </c>
      <c r="AG120">
        <f>IF(ISNUMBER(SEARCH("Mandarin",'(B) Register of Participants'!$AR$98)),"Mandarin",IF(ISNUMBER(SEARCH("Cantonese",'(B) Register of Participants'!$AR$98)),"Cantonese",IF(OR(AF120="Dari",AF120="Farsi",AF120="Persian",AF120="Hazaragi"),"Persian",AF120)))</f>
        <v/>
      </c>
      <c r="AH120">
        <f>OR(E120="ADM-ACT-UNMAT",E120="ADM-ACT-MAT-CNE")</f>
        <v/>
      </c>
      <c r="AI120">
        <f>F120&gt;0</f>
        <v/>
      </c>
      <c r="AJ120">
        <f>LEFT('(B) Register of Participants'!$L$98,3)="Yes"</f>
        <v/>
      </c>
      <c r="AK120">
        <f>AND(OR(LEFT('(B) Register of Participants'!$AY$98,3)="Yes",LEFT('(B) Register of Participants'!$AY$98,2)="NA"),OR(LEFT('(B) Register of Participants'!$AZ$98,3)="Yes",LEFT('(B) Register of Participants'!$AZ$98,2)="NA"))</f>
        <v/>
      </c>
      <c r="AL120">
        <f>OR(ISNUMBER(SEARCH("do not pair",'(B) Register of Participants'!$BL$98)),ISNUMBER(SEARCH("do not pair",'(B) Register of Participants'!$BM$98)))</f>
        <v/>
      </c>
      <c r="AM120">
        <f>P120&gt;0</f>
        <v/>
      </c>
      <c r="AN120">
        <f>IF($AS$8="A1",Q120=1,TRUE)</f>
        <v/>
      </c>
      <c r="AO120">
        <f>TRIM(IFERROR(LEFT('(B) Register of Participants'!$AP$98,FIND(";",'(B) Register of Participants'!$AP$98)-1),'(B) Register of Participants'!$AP$98))</f>
        <v/>
      </c>
      <c r="AP120">
        <f>IF(ISNUMBER(FIND(";",'(B) Register of Participants'!$AP$98)),TRIM(MID('(B) Register of Participants'!$AP$98,FIND(";",'(B) Register of Participants'!$AP$98)+1,80)),"")</f>
        <v/>
      </c>
    </row>
    <row r="121">
      <c r="B121" s="20">
        <f>IF(R121="Yes",RANK(AD121,$AD$25:$AD$124),"")</f>
        <v/>
      </c>
      <c r="C121" s="20">
        <f>'(B) Register of Participants'!$A$99</f>
        <v/>
      </c>
      <c r="D121" s="20">
        <f>'(B) Register of Participants'!$B$99</f>
        <v/>
      </c>
      <c r="E121" s="20">
        <f>'(B) Register of Participants'!$J$99</f>
        <v/>
      </c>
      <c r="F121" s="20">
        <f>IFERROR('(B) Register of Participants'!$O$99-'(B) Register of Participants'!$P$99,0)</f>
        <v/>
      </c>
      <c r="G121" s="20">
        <f>'(B) Register of Participants'!$AL$99</f>
        <v/>
      </c>
      <c r="H121" s="20">
        <f>'(B) Register of Participants'!$AP$99</f>
        <v/>
      </c>
      <c r="I121" s="20">
        <f>TRIM(IFERROR(LEFT('(B) Register of Participants'!$AS$99,FIND(" (",'(B) Register of Participants'!$AS$99)-1),'(B) Register of Participants'!$AS$99))</f>
        <v/>
      </c>
      <c r="J121" s="20">
        <f>'(B) Register of Participants'!$AT$99</f>
        <v/>
      </c>
      <c r="K121" s="20">
        <f>'(B) Register of Participants'!$AE$99</f>
        <v/>
      </c>
      <c r="L121" s="20">
        <f>'(B) Register of Participants'!$AF$99</f>
        <v/>
      </c>
      <c r="M121" s="20">
        <f>'(B) Register of Participants'!$AJ$99</f>
        <v/>
      </c>
      <c r="N121" s="20">
        <f>'(B) Register of Participants'!$CY$99</f>
        <v/>
      </c>
      <c r="O121" s="20">
        <f>'(B) Register of Participants'!$CW$99</f>
        <v/>
      </c>
      <c r="P121" s="20">
        <f>(ISNUMBER(SEARCH("6am-9am",$AS$27))*ISNUMBER(SEARCH("6am-9am",'(B) Register of Participants'!$X$99)))+(ISNUMBER(SEARCH("9am-12pm",$AS$27))*ISNUMBER(SEARCH("9am-12pm",'(B) Register of Participants'!$X$99)))+(ISNUMBER(SEARCH("12pm-3pm",$AS$27))*ISNUMBER(SEARCH("12pm-3pm",'(B) Register of Participants'!$X$99)))+(ISNUMBER(SEARCH("3pm-6pm",$AS$27))*ISNUMBER(SEARCH("3pm-6pm",'(B) Register of Participants'!$X$99)))+(ISNUMBER(SEARCH("6pm-9pm",$AS$27))*ISNUMBER(SEARCH("6pm-9pm",'(B) Register of Participants'!$X$99)))+(ISNUMBER(SEARCH("6am-9am",$AS$28))*ISNUMBER(SEARCH("6am-9am",'(B) Register of Participants'!$Y$99)))+(ISNUMBER(SEARCH("9am-12pm",$AS$28))*ISNUMBER(SEARCH("9am-12pm",'(B) Register of Participants'!$Y$99)))+(ISNUMBER(SEARCH("12pm-3pm",$AS$28))*ISNUMBER(SEARCH("12pm-3pm",'(B) Register of Participants'!$Y$99)))+(ISNUMBER(SEARCH("3pm-6pm",$AS$28))*ISNUMBER(SEARCH("3pm-6pm",'(B) Register of Participants'!$Y$99)))+(ISNUMBER(SEARCH("6pm-9pm",$AS$28))*ISNUMBER(SEARCH("6pm-9pm",'(B) Register of Participants'!$Y$99)))+(ISNUMBER(SEARCH("6am-9am",$AS$29))*ISNUMBER(SEARCH("6am-9am",'(B) Register of Participants'!$Z$99)))+(ISNUMBER(SEARCH("9am-12pm",$AS$29))*ISNUMBER(SEARCH("9am-12pm",'(B) Register of Participants'!$Z$99)))+(ISNUMBER(SEARCH("12pm-3pm",$AS$29))*ISNUMBER(SEARCH("12pm-3pm",'(B) Register of Participants'!$Z$99)))+(ISNUMBER(SEARCH("3pm-6pm",$AS$29))*ISNUMBER(SEARCH("3pm-6pm",'(B) Register of Participants'!$Z$99)))+(ISNUMBER(SEARCH("6pm-9pm",$AS$29))*ISNUMBER(SEARCH("6pm-9pm",'(B) Register of Participants'!$Z$99)))+(ISNUMBER(SEARCH("6am-9am",$AS$30))*ISNUMBER(SEARCH("6am-9am",'(B) Register of Participants'!$AA$99)))+(ISNUMBER(SEARCH("9am-12pm",$AS$30))*ISNUMBER(SEARCH("9am-12pm",'(B) Register of Participants'!$AA$99)))+(ISNUMBER(SEARCH("12pm-3pm",$AS$30))*ISNUMBER(SEARCH("12pm-3pm",'(B) Register of Participants'!$AA$99)))+(ISNUMBER(SEARCH("3pm-6pm",$AS$30))*ISNUMBER(SEARCH("3pm-6pm",'(B) Register of Participants'!$AA$99)))+(ISNUMBER(SEARCH("6pm-9pm",$AS$30))*ISNUMBER(SEARCH("6pm-9pm",'(B) Register of Participants'!$AA$99)))+(ISNUMBER(SEARCH("6am-9am",$AS$31))*ISNUMBER(SEARCH("6am-9am",'(B) Register of Participants'!$AB$99)))+(ISNUMBER(SEARCH("9am-12pm",$AS$31))*ISNUMBER(SEARCH("9am-12pm",'(B) Register of Participants'!$AB$99)))+(ISNUMBER(SEARCH("12pm-3pm",$AS$31))*ISNUMBER(SEARCH("12pm-3pm",'(B) Register of Participants'!$AB$99)))+(ISNUMBER(SEARCH("3pm-6pm",$AS$31))*ISNUMBER(SEARCH("3pm-6pm",'(B) Register of Participants'!$AB$99)))+(ISNUMBER(SEARCH("6pm-9pm",$AS$31))*ISNUMBER(SEARCH("6pm-9pm",'(B) Register of Participants'!$AB$99)))+(ISNUMBER(SEARCH("6am-9am",$AS$32))*ISNUMBER(SEARCH("6am-9am",'(B) Register of Participants'!$AC$99)))+(ISNUMBER(SEARCH("9am-12pm",$AS$32))*ISNUMBER(SEARCH("9am-12pm",'(B) Register of Participants'!$AC$99)))+(ISNUMBER(SEARCH("12pm-3pm",$AS$32))*ISNUMBER(SEARCH("12pm-3pm",'(B) Register of Participants'!$AC$99)))+(ISNUMBER(SEARCH("3pm-6pm",$AS$32))*ISNUMBER(SEARCH("3pm-6pm",'(B) Register of Participants'!$AC$99)))+(ISNUMBER(SEARCH("6pm-9pm",$AS$32))*ISNUMBER(SEARCH("6pm-9pm",'(B) Register of Participants'!$AC$99)))+(ISNUMBER(SEARCH("6am-9am",$AS$33))*ISNUMBER(SEARCH("6am-9am",'(B) Register of Participants'!$AD$99)))+(ISNUMBER(SEARCH("9am-12pm",$AS$33))*ISNUMBER(SEARCH("9am-12pm",'(B) Register of Participants'!$AD$99)))+(ISNUMBER(SEARCH("12pm-3pm",$AS$33))*ISNUMBER(SEARCH("12pm-3pm",'(B) Register of Participants'!$AD$99)))+(ISNUMBER(SEARCH("3pm-6pm",$AS$33))*ISNUMBER(SEARCH("3pm-6pm",'(B) Register of Participants'!$AD$99)))+(ISNUMBER(SEARCH("6pm-9pm",$AS$33))*ISNUMBER(SEARCH("6pm-9pm",'(B) Register of Participants'!$AD$99)))</f>
        <v/>
      </c>
      <c r="Q121" s="20">
        <f>IF(OR(AND($AS$17&lt;&gt;"",$AS$17&lt;&gt;"English",IF($AS$17="Persian",OR(ISNUMBER(SEARCH("Dari",'(B) Register of Participants'!$AR$99)),ISNUMBER(SEARCH("Farsi",'(B) Register of Participants'!$AR$99)),ISNUMBER(SEARCH("Persian",'(B) Register of Participants'!$AR$99)),ISNUMBER(SEARCH("Hazaragi",'(B) Register of Participants'!$AR$99))),ISNUMBER(SEARCH($AS$17,'(B) Register of Participants'!$AR$99)))),AND($AS$20&lt;&gt;"",$AS$20&lt;&gt;"English",IF($AS$20="Persian",OR(ISNUMBER(SEARCH("Dari",'(B) Register of Participants'!$AR$99)),ISNUMBER(SEARCH("Farsi",'(B) Register of Participants'!$AR$99)),ISNUMBER(SEARCH("Persian",'(B) Register of Participants'!$AR$99)),ISNUMBER(SEARCH("Hazaragi",'(B) Register of Participants'!$AR$99))),ISNUMBER(SEARCH($AS$20,'(B) Register of Participants'!$AR$99))))),1,0)</f>
        <v/>
      </c>
      <c r="R121" s="20">
        <f>IF(AND(AH121,AI121,NOT(AJ121),NOT($AS$25),AK121,$AS$26,AM121,AN121,NOT(AL121)),"Yes","No")</f>
        <v/>
      </c>
      <c r="S121" s="20">
        <f>IF(OR(COUNTIF('Engine Lists'!$A:$A,$AS$14&amp;"|"&amp;AO121)&gt;0,COUNTIF('Engine Lists'!$A:$A,$AS$14&amp;"|"&amp;AP121)&gt;0,COUNTIF('Engine Lists'!$A:$A,$AS$15&amp;"|"&amp;AO121)&gt;0,COUNTIF('Engine Lists'!$A:$A,$AS$15&amp;"|"&amp;AP121)&gt;0,COUNTIF('Engine Lists'!$A:$A,$AS$21&amp;"|"&amp;I121)&gt;0),-8,0)</f>
        <v/>
      </c>
      <c r="T121" s="20">
        <f>IF(Q121=1,IF(OR($AS$8="A2",$AS$8="B1"),7,IF(OR($AS$8="B2",$AS$8="C1",$AS$8="C2"),-5,0)),0)</f>
        <v/>
      </c>
      <c r="U121" s="20">
        <f>IF(AND($AS$6=G121,OR($AS$6="Male",$AS$6="Female")),5,0)</f>
        <v/>
      </c>
      <c r="V121" s="20">
        <f>IF(AND($AS$24,$AS$11&lt;&gt;"In-Person",K121&lt;&gt;"In-Person"),-5,0)</f>
        <v/>
      </c>
      <c r="W121" s="20">
        <f>IF(OR($AS$11=K121,$AS$11="Either",K121="Either"),3,0)</f>
        <v/>
      </c>
      <c r="X121" s="20">
        <f>IF(AND($AS$11&lt;&gt;"Online",K121&lt;&gt;"Online",ISNUMBER($AS$22),ISNUMBER(IFERROR(VALUE(M121),"x"))),IF(ABS($AS$22-VALUE(M121))&lt;=50,3,0),0)</f>
        <v/>
      </c>
      <c r="Y121" s="20">
        <f>IF(AND($AS$10&lt;&gt;"",$AS$10=J121),3,0)</f>
        <v/>
      </c>
      <c r="Z121" s="20">
        <f>IF(OR(N($AS$13)&gt;=150,N(O121)&gt;=150),3,0)</f>
        <v/>
      </c>
      <c r="AA121" s="20">
        <f>IF(AND($AS$21&lt;&gt;"",$AS$21&lt;&gt;"NA",$AS$21=I121),2,0)</f>
        <v/>
      </c>
      <c r="AB121" s="20">
        <f>IF(OR(AND($AS$14&lt;&gt;"",$AS$14&lt;&gt;"NA",OR($AS$14=AO121,$AS$14=AP121)),AND($AS$15&lt;&gt;"",OR($AS$15=AO121,$AS$15=AP121))),2,0)</f>
        <v/>
      </c>
      <c r="AC121" s="20">
        <f>IF(AND(ISNUMBER($AS$12),ISNUMBER(N121),ABS($AS$12-N121)&lt;=10),2,0)</f>
        <v/>
      </c>
      <c r="AD121" s="20">
        <f>IF(R121="Yes",SUM(S121:AC121),"")</f>
        <v/>
      </c>
      <c r="AE121" s="20">
        <f>IF(R121="Yes","Score "&amp;AD121&amp;": "&amp;TRIM(IF(S121&lt;&gt;0,"−8 acrimonious; ","")&amp;IF(T121=7,"+7 shared language; ","")&amp;IF(T121=-5,"−5 shared lang(adv); ","")&amp;IF(U121=5,"+5 same-sex; ","")&amp;IF(V121=-5,"−5 online no device; ","")&amp;IF(W121=3,"+3 mode; ","")&amp;IF(X121=3,"+3 proximity; ","")&amp;IF(Y121=3,"+3 category; ","")&amp;IF(Z121=3,"+3 long wait; ","")&amp;IF(AA121=2,"+2 religion; ","")&amp;IF(AB121=2,"+2 nationality; ","")&amp;IF(AC121=2,"+2 age; ","")),"Not eligible: "&amp;IF(NOT(AH121),"tutor not pending/with-capacity",IF(NOT(AI121),"no spare capacity",IF(AJ121,"tutor blacklisted",IF($AS$25,"student blacklisted",IF(NOT(AK121),"tutor vetting incomplete",IF(NOT($AS$26),"student vetting incomplete",IF(NOT(AM121),"no overlapping 3h AEST block",IF(NOT(AN121),"A1 student needs a shared language",IF(AL121,"'do not pair' note present",""))))))))))</f>
        <v/>
      </c>
      <c r="AF121">
        <f>TRIM(IFERROR(LEFT('(B) Register of Participants'!$AR$99,FIND(" (",'(B) Register of Participants'!$AR$99)-1),'(B) Register of Participants'!$AR$99))</f>
        <v/>
      </c>
      <c r="AG121">
        <f>IF(ISNUMBER(SEARCH("Mandarin",'(B) Register of Participants'!$AR$99)),"Mandarin",IF(ISNUMBER(SEARCH("Cantonese",'(B) Register of Participants'!$AR$99)),"Cantonese",IF(OR(AF121="Dari",AF121="Farsi",AF121="Persian",AF121="Hazaragi"),"Persian",AF121)))</f>
        <v/>
      </c>
      <c r="AH121">
        <f>OR(E121="ADM-ACT-UNMAT",E121="ADM-ACT-MAT-CNE")</f>
        <v/>
      </c>
      <c r="AI121">
        <f>F121&gt;0</f>
        <v/>
      </c>
      <c r="AJ121">
        <f>LEFT('(B) Register of Participants'!$L$99,3)="Yes"</f>
        <v/>
      </c>
      <c r="AK121">
        <f>AND(OR(LEFT('(B) Register of Participants'!$AY$99,3)="Yes",LEFT('(B) Register of Participants'!$AY$99,2)="NA"),OR(LEFT('(B) Register of Participants'!$AZ$99,3)="Yes",LEFT('(B) Register of Participants'!$AZ$99,2)="NA"))</f>
        <v/>
      </c>
      <c r="AL121">
        <f>OR(ISNUMBER(SEARCH("do not pair",'(B) Register of Participants'!$BL$99)),ISNUMBER(SEARCH("do not pair",'(B) Register of Participants'!$BM$99)))</f>
        <v/>
      </c>
      <c r="AM121">
        <f>P121&gt;0</f>
        <v/>
      </c>
      <c r="AN121">
        <f>IF($AS$8="A1",Q121=1,TRUE)</f>
        <v/>
      </c>
      <c r="AO121">
        <f>TRIM(IFERROR(LEFT('(B) Register of Participants'!$AP$99,FIND(";",'(B) Register of Participants'!$AP$99)-1),'(B) Register of Participants'!$AP$99))</f>
        <v/>
      </c>
      <c r="AP121">
        <f>IF(ISNUMBER(FIND(";",'(B) Register of Participants'!$AP$99)),TRIM(MID('(B) Register of Participants'!$AP$99,FIND(";",'(B) Register of Participants'!$AP$99)+1,80)),"")</f>
        <v/>
      </c>
    </row>
    <row r="122">
      <c r="B122" s="20">
        <f>IF(R122="Yes",RANK(AD122,$AD$25:$AD$124),"")</f>
        <v/>
      </c>
      <c r="C122" s="20">
        <f>'(B) Register of Participants'!$A$100</f>
        <v/>
      </c>
      <c r="D122" s="20">
        <f>'(B) Register of Participants'!$B$100</f>
        <v/>
      </c>
      <c r="E122" s="20">
        <f>'(B) Register of Participants'!$J$100</f>
        <v/>
      </c>
      <c r="F122" s="20">
        <f>IFERROR('(B) Register of Participants'!$O$100-'(B) Register of Participants'!$P$100,0)</f>
        <v/>
      </c>
      <c r="G122" s="20">
        <f>'(B) Register of Participants'!$AL$100</f>
        <v/>
      </c>
      <c r="H122" s="20">
        <f>'(B) Register of Participants'!$AP$100</f>
        <v/>
      </c>
      <c r="I122" s="20">
        <f>TRIM(IFERROR(LEFT('(B) Register of Participants'!$AS$100,FIND(" (",'(B) Register of Participants'!$AS$100)-1),'(B) Register of Participants'!$AS$100))</f>
        <v/>
      </c>
      <c r="J122" s="20">
        <f>'(B) Register of Participants'!$AT$100</f>
        <v/>
      </c>
      <c r="K122" s="20">
        <f>'(B) Register of Participants'!$AE$100</f>
        <v/>
      </c>
      <c r="L122" s="20">
        <f>'(B) Register of Participants'!$AF$100</f>
        <v/>
      </c>
      <c r="M122" s="20">
        <f>'(B) Register of Participants'!$AJ$100</f>
        <v/>
      </c>
      <c r="N122" s="20">
        <f>'(B) Register of Participants'!$CY$100</f>
        <v/>
      </c>
      <c r="O122" s="20">
        <f>'(B) Register of Participants'!$CW$100</f>
        <v/>
      </c>
      <c r="P122" s="20">
        <f>(ISNUMBER(SEARCH("6am-9am",$AS$27))*ISNUMBER(SEARCH("6am-9am",'(B) Register of Participants'!$X$100)))+(ISNUMBER(SEARCH("9am-12pm",$AS$27))*ISNUMBER(SEARCH("9am-12pm",'(B) Register of Participants'!$X$100)))+(ISNUMBER(SEARCH("12pm-3pm",$AS$27))*ISNUMBER(SEARCH("12pm-3pm",'(B) Register of Participants'!$X$100)))+(ISNUMBER(SEARCH("3pm-6pm",$AS$27))*ISNUMBER(SEARCH("3pm-6pm",'(B) Register of Participants'!$X$100)))+(ISNUMBER(SEARCH("6pm-9pm",$AS$27))*ISNUMBER(SEARCH("6pm-9pm",'(B) Register of Participants'!$X$100)))+(ISNUMBER(SEARCH("6am-9am",$AS$28))*ISNUMBER(SEARCH("6am-9am",'(B) Register of Participants'!$Y$100)))+(ISNUMBER(SEARCH("9am-12pm",$AS$28))*ISNUMBER(SEARCH("9am-12pm",'(B) Register of Participants'!$Y$100)))+(ISNUMBER(SEARCH("12pm-3pm",$AS$28))*ISNUMBER(SEARCH("12pm-3pm",'(B) Register of Participants'!$Y$100)))+(ISNUMBER(SEARCH("3pm-6pm",$AS$28))*ISNUMBER(SEARCH("3pm-6pm",'(B) Register of Participants'!$Y$100)))+(ISNUMBER(SEARCH("6pm-9pm",$AS$28))*ISNUMBER(SEARCH("6pm-9pm",'(B) Register of Participants'!$Y$100)))+(ISNUMBER(SEARCH("6am-9am",$AS$29))*ISNUMBER(SEARCH("6am-9am",'(B) Register of Participants'!$Z$100)))+(ISNUMBER(SEARCH("9am-12pm",$AS$29))*ISNUMBER(SEARCH("9am-12pm",'(B) Register of Participants'!$Z$100)))+(ISNUMBER(SEARCH("12pm-3pm",$AS$29))*ISNUMBER(SEARCH("12pm-3pm",'(B) Register of Participants'!$Z$100)))+(ISNUMBER(SEARCH("3pm-6pm",$AS$29))*ISNUMBER(SEARCH("3pm-6pm",'(B) Register of Participants'!$Z$100)))+(ISNUMBER(SEARCH("6pm-9pm",$AS$29))*ISNUMBER(SEARCH("6pm-9pm",'(B) Register of Participants'!$Z$100)))+(ISNUMBER(SEARCH("6am-9am",$AS$30))*ISNUMBER(SEARCH("6am-9am",'(B) Register of Participants'!$AA$100)))+(ISNUMBER(SEARCH("9am-12pm",$AS$30))*ISNUMBER(SEARCH("9am-12pm",'(B) Register of Participants'!$AA$100)))+(ISNUMBER(SEARCH("12pm-3pm",$AS$30))*ISNUMBER(SEARCH("12pm-3pm",'(B) Register of Participants'!$AA$100)))+(ISNUMBER(SEARCH("3pm-6pm",$AS$30))*ISNUMBER(SEARCH("3pm-6pm",'(B) Register of Participants'!$AA$100)))+(ISNUMBER(SEARCH("6pm-9pm",$AS$30))*ISNUMBER(SEARCH("6pm-9pm",'(B) Register of Participants'!$AA$100)))+(ISNUMBER(SEARCH("6am-9am",$AS$31))*ISNUMBER(SEARCH("6am-9am",'(B) Register of Participants'!$AB$100)))+(ISNUMBER(SEARCH("9am-12pm",$AS$31))*ISNUMBER(SEARCH("9am-12pm",'(B) Register of Participants'!$AB$100)))+(ISNUMBER(SEARCH("12pm-3pm",$AS$31))*ISNUMBER(SEARCH("12pm-3pm",'(B) Register of Participants'!$AB$100)))+(ISNUMBER(SEARCH("3pm-6pm",$AS$31))*ISNUMBER(SEARCH("3pm-6pm",'(B) Register of Participants'!$AB$100)))+(ISNUMBER(SEARCH("6pm-9pm",$AS$31))*ISNUMBER(SEARCH("6pm-9pm",'(B) Register of Participants'!$AB$100)))+(ISNUMBER(SEARCH("6am-9am",$AS$32))*ISNUMBER(SEARCH("6am-9am",'(B) Register of Participants'!$AC$100)))+(ISNUMBER(SEARCH("9am-12pm",$AS$32))*ISNUMBER(SEARCH("9am-12pm",'(B) Register of Participants'!$AC$100)))+(ISNUMBER(SEARCH("12pm-3pm",$AS$32))*ISNUMBER(SEARCH("12pm-3pm",'(B) Register of Participants'!$AC$100)))+(ISNUMBER(SEARCH("3pm-6pm",$AS$32))*ISNUMBER(SEARCH("3pm-6pm",'(B) Register of Participants'!$AC$100)))+(ISNUMBER(SEARCH("6pm-9pm",$AS$32))*ISNUMBER(SEARCH("6pm-9pm",'(B) Register of Participants'!$AC$100)))+(ISNUMBER(SEARCH("6am-9am",$AS$33))*ISNUMBER(SEARCH("6am-9am",'(B) Register of Participants'!$AD$100)))+(ISNUMBER(SEARCH("9am-12pm",$AS$33))*ISNUMBER(SEARCH("9am-12pm",'(B) Register of Participants'!$AD$100)))+(ISNUMBER(SEARCH("12pm-3pm",$AS$33))*ISNUMBER(SEARCH("12pm-3pm",'(B) Register of Participants'!$AD$100)))+(ISNUMBER(SEARCH("3pm-6pm",$AS$33))*ISNUMBER(SEARCH("3pm-6pm",'(B) Register of Participants'!$AD$100)))+(ISNUMBER(SEARCH("6pm-9pm",$AS$33))*ISNUMBER(SEARCH("6pm-9pm",'(B) Register of Participants'!$AD$100)))</f>
        <v/>
      </c>
      <c r="Q122" s="20">
        <f>IF(OR(AND($AS$17&lt;&gt;"",$AS$17&lt;&gt;"English",IF($AS$17="Persian",OR(ISNUMBER(SEARCH("Dari",'(B) Register of Participants'!$AR$100)),ISNUMBER(SEARCH("Farsi",'(B) Register of Participants'!$AR$100)),ISNUMBER(SEARCH("Persian",'(B) Register of Participants'!$AR$100)),ISNUMBER(SEARCH("Hazaragi",'(B) Register of Participants'!$AR$100))),ISNUMBER(SEARCH($AS$17,'(B) Register of Participants'!$AR$100)))),AND($AS$20&lt;&gt;"",$AS$20&lt;&gt;"English",IF($AS$20="Persian",OR(ISNUMBER(SEARCH("Dari",'(B) Register of Participants'!$AR$100)),ISNUMBER(SEARCH("Farsi",'(B) Register of Participants'!$AR$100)),ISNUMBER(SEARCH("Persian",'(B) Register of Participants'!$AR$100)),ISNUMBER(SEARCH("Hazaragi",'(B) Register of Participants'!$AR$100))),ISNUMBER(SEARCH($AS$20,'(B) Register of Participants'!$AR$100))))),1,0)</f>
        <v/>
      </c>
      <c r="R122" s="20">
        <f>IF(AND(AH122,AI122,NOT(AJ122),NOT($AS$25),AK122,$AS$26,AM122,AN122,NOT(AL122)),"Yes","No")</f>
        <v/>
      </c>
      <c r="S122" s="20">
        <f>IF(OR(COUNTIF('Engine Lists'!$A:$A,$AS$14&amp;"|"&amp;AO122)&gt;0,COUNTIF('Engine Lists'!$A:$A,$AS$14&amp;"|"&amp;AP122)&gt;0,COUNTIF('Engine Lists'!$A:$A,$AS$15&amp;"|"&amp;AO122)&gt;0,COUNTIF('Engine Lists'!$A:$A,$AS$15&amp;"|"&amp;AP122)&gt;0,COUNTIF('Engine Lists'!$A:$A,$AS$21&amp;"|"&amp;I122)&gt;0),-8,0)</f>
        <v/>
      </c>
      <c r="T122" s="20">
        <f>IF(Q122=1,IF(OR($AS$8="A2",$AS$8="B1"),7,IF(OR($AS$8="B2",$AS$8="C1",$AS$8="C2"),-5,0)),0)</f>
        <v/>
      </c>
      <c r="U122" s="20">
        <f>IF(AND($AS$6=G122,OR($AS$6="Male",$AS$6="Female")),5,0)</f>
        <v/>
      </c>
      <c r="V122" s="20">
        <f>IF(AND($AS$24,$AS$11&lt;&gt;"In-Person",K122&lt;&gt;"In-Person"),-5,0)</f>
        <v/>
      </c>
      <c r="W122" s="20">
        <f>IF(OR($AS$11=K122,$AS$11="Either",K122="Either"),3,0)</f>
        <v/>
      </c>
      <c r="X122" s="20">
        <f>IF(AND($AS$11&lt;&gt;"Online",K122&lt;&gt;"Online",ISNUMBER($AS$22),ISNUMBER(IFERROR(VALUE(M122),"x"))),IF(ABS($AS$22-VALUE(M122))&lt;=50,3,0),0)</f>
        <v/>
      </c>
      <c r="Y122" s="20">
        <f>IF(AND($AS$10&lt;&gt;"",$AS$10=J122),3,0)</f>
        <v/>
      </c>
      <c r="Z122" s="20">
        <f>IF(OR(N($AS$13)&gt;=150,N(O122)&gt;=150),3,0)</f>
        <v/>
      </c>
      <c r="AA122" s="20">
        <f>IF(AND($AS$21&lt;&gt;"",$AS$21&lt;&gt;"NA",$AS$21=I122),2,0)</f>
        <v/>
      </c>
      <c r="AB122" s="20">
        <f>IF(OR(AND($AS$14&lt;&gt;"",$AS$14&lt;&gt;"NA",OR($AS$14=AO122,$AS$14=AP122)),AND($AS$15&lt;&gt;"",OR($AS$15=AO122,$AS$15=AP122))),2,0)</f>
        <v/>
      </c>
      <c r="AC122" s="20">
        <f>IF(AND(ISNUMBER($AS$12),ISNUMBER(N122),ABS($AS$12-N122)&lt;=10),2,0)</f>
        <v/>
      </c>
      <c r="AD122" s="20">
        <f>IF(R122="Yes",SUM(S122:AC122),"")</f>
        <v/>
      </c>
      <c r="AE122" s="20">
        <f>IF(R122="Yes","Score "&amp;AD122&amp;": "&amp;TRIM(IF(S122&lt;&gt;0,"−8 acrimonious; ","")&amp;IF(T122=7,"+7 shared language; ","")&amp;IF(T122=-5,"−5 shared lang(adv); ","")&amp;IF(U122=5,"+5 same-sex; ","")&amp;IF(V122=-5,"−5 online no device; ","")&amp;IF(W122=3,"+3 mode; ","")&amp;IF(X122=3,"+3 proximity; ","")&amp;IF(Y122=3,"+3 category; ","")&amp;IF(Z122=3,"+3 long wait; ","")&amp;IF(AA122=2,"+2 religion; ","")&amp;IF(AB122=2,"+2 nationality; ","")&amp;IF(AC122=2,"+2 age; ","")),"Not eligible: "&amp;IF(NOT(AH122),"tutor not pending/with-capacity",IF(NOT(AI122),"no spare capacity",IF(AJ122,"tutor blacklisted",IF($AS$25,"student blacklisted",IF(NOT(AK122),"tutor vetting incomplete",IF(NOT($AS$26),"student vetting incomplete",IF(NOT(AM122),"no overlapping 3h AEST block",IF(NOT(AN122),"A1 student needs a shared language",IF(AL122,"'do not pair' note present",""))))))))))</f>
        <v/>
      </c>
      <c r="AF122">
        <f>TRIM(IFERROR(LEFT('(B) Register of Participants'!$AR$100,FIND(" (",'(B) Register of Participants'!$AR$100)-1),'(B) Register of Participants'!$AR$100))</f>
        <v/>
      </c>
      <c r="AG122">
        <f>IF(ISNUMBER(SEARCH("Mandarin",'(B) Register of Participants'!$AR$100)),"Mandarin",IF(ISNUMBER(SEARCH("Cantonese",'(B) Register of Participants'!$AR$100)),"Cantonese",IF(OR(AF122="Dari",AF122="Farsi",AF122="Persian",AF122="Hazaragi"),"Persian",AF122)))</f>
        <v/>
      </c>
      <c r="AH122">
        <f>OR(E122="ADM-ACT-UNMAT",E122="ADM-ACT-MAT-CNE")</f>
        <v/>
      </c>
      <c r="AI122">
        <f>F122&gt;0</f>
        <v/>
      </c>
      <c r="AJ122">
        <f>LEFT('(B) Register of Participants'!$L$100,3)="Yes"</f>
        <v/>
      </c>
      <c r="AK122">
        <f>AND(OR(LEFT('(B) Register of Participants'!$AY$100,3)="Yes",LEFT('(B) Register of Participants'!$AY$100,2)="NA"),OR(LEFT('(B) Register of Participants'!$AZ$100,3)="Yes",LEFT('(B) Register of Participants'!$AZ$100,2)="NA"))</f>
        <v/>
      </c>
      <c r="AL122">
        <f>OR(ISNUMBER(SEARCH("do not pair",'(B) Register of Participants'!$BL$100)),ISNUMBER(SEARCH("do not pair",'(B) Register of Participants'!$BM$100)))</f>
        <v/>
      </c>
      <c r="AM122">
        <f>P122&gt;0</f>
        <v/>
      </c>
      <c r="AN122">
        <f>IF($AS$8="A1",Q122=1,TRUE)</f>
        <v/>
      </c>
      <c r="AO122">
        <f>TRIM(IFERROR(LEFT('(B) Register of Participants'!$AP$100,FIND(";",'(B) Register of Participants'!$AP$100)-1),'(B) Register of Participants'!$AP$100))</f>
        <v/>
      </c>
      <c r="AP122">
        <f>IF(ISNUMBER(FIND(";",'(B) Register of Participants'!$AP$100)),TRIM(MID('(B) Register of Participants'!$AP$100,FIND(";",'(B) Register of Participants'!$AP$100)+1,80)),"")</f>
        <v/>
      </c>
    </row>
    <row r="123">
      <c r="B123" s="20">
        <f>IF(R123="Yes",RANK(AD123,$AD$25:$AD$124),"")</f>
        <v/>
      </c>
      <c r="C123" s="20">
        <f>'(B) Register of Participants'!$A$101</f>
        <v/>
      </c>
      <c r="D123" s="20">
        <f>'(B) Register of Participants'!$B$101</f>
        <v/>
      </c>
      <c r="E123" s="20">
        <f>'(B) Register of Participants'!$J$101</f>
        <v/>
      </c>
      <c r="F123" s="20">
        <f>IFERROR('(B) Register of Participants'!$O$101-'(B) Register of Participants'!$P$101,0)</f>
        <v/>
      </c>
      <c r="G123" s="20">
        <f>'(B) Register of Participants'!$AL$101</f>
        <v/>
      </c>
      <c r="H123" s="20">
        <f>'(B) Register of Participants'!$AP$101</f>
        <v/>
      </c>
      <c r="I123" s="20">
        <f>TRIM(IFERROR(LEFT('(B) Register of Participants'!$AS$101,FIND(" (",'(B) Register of Participants'!$AS$101)-1),'(B) Register of Participants'!$AS$101))</f>
        <v/>
      </c>
      <c r="J123" s="20">
        <f>'(B) Register of Participants'!$AT$101</f>
        <v/>
      </c>
      <c r="K123" s="20">
        <f>'(B) Register of Participants'!$AE$101</f>
        <v/>
      </c>
      <c r="L123" s="20">
        <f>'(B) Register of Participants'!$AF$101</f>
        <v/>
      </c>
      <c r="M123" s="20">
        <f>'(B) Register of Participants'!$AJ$101</f>
        <v/>
      </c>
      <c r="N123" s="20">
        <f>'(B) Register of Participants'!$CY$101</f>
        <v/>
      </c>
      <c r="O123" s="20">
        <f>'(B) Register of Participants'!$CW$101</f>
        <v/>
      </c>
      <c r="P123" s="20">
        <f>(ISNUMBER(SEARCH("6am-9am",$AS$27))*ISNUMBER(SEARCH("6am-9am",'(B) Register of Participants'!$X$101)))+(ISNUMBER(SEARCH("9am-12pm",$AS$27))*ISNUMBER(SEARCH("9am-12pm",'(B) Register of Participants'!$X$101)))+(ISNUMBER(SEARCH("12pm-3pm",$AS$27))*ISNUMBER(SEARCH("12pm-3pm",'(B) Register of Participants'!$X$101)))+(ISNUMBER(SEARCH("3pm-6pm",$AS$27))*ISNUMBER(SEARCH("3pm-6pm",'(B) Register of Participants'!$X$101)))+(ISNUMBER(SEARCH("6pm-9pm",$AS$27))*ISNUMBER(SEARCH("6pm-9pm",'(B) Register of Participants'!$X$101)))+(ISNUMBER(SEARCH("6am-9am",$AS$28))*ISNUMBER(SEARCH("6am-9am",'(B) Register of Participants'!$Y$101)))+(ISNUMBER(SEARCH("9am-12pm",$AS$28))*ISNUMBER(SEARCH("9am-12pm",'(B) Register of Participants'!$Y$101)))+(ISNUMBER(SEARCH("12pm-3pm",$AS$28))*ISNUMBER(SEARCH("12pm-3pm",'(B) Register of Participants'!$Y$101)))+(ISNUMBER(SEARCH("3pm-6pm",$AS$28))*ISNUMBER(SEARCH("3pm-6pm",'(B) Register of Participants'!$Y$101)))+(ISNUMBER(SEARCH("6pm-9pm",$AS$28))*ISNUMBER(SEARCH("6pm-9pm",'(B) Register of Participants'!$Y$101)))+(ISNUMBER(SEARCH("6am-9am",$AS$29))*ISNUMBER(SEARCH("6am-9am",'(B) Register of Participants'!$Z$101)))+(ISNUMBER(SEARCH("9am-12pm",$AS$29))*ISNUMBER(SEARCH("9am-12pm",'(B) Register of Participants'!$Z$101)))+(ISNUMBER(SEARCH("12pm-3pm",$AS$29))*ISNUMBER(SEARCH("12pm-3pm",'(B) Register of Participants'!$Z$101)))+(ISNUMBER(SEARCH("3pm-6pm",$AS$29))*ISNUMBER(SEARCH("3pm-6pm",'(B) Register of Participants'!$Z$101)))+(ISNUMBER(SEARCH("6pm-9pm",$AS$29))*ISNUMBER(SEARCH("6pm-9pm",'(B) Register of Participants'!$Z$101)))+(ISNUMBER(SEARCH("6am-9am",$AS$30))*ISNUMBER(SEARCH("6am-9am",'(B) Register of Participants'!$AA$101)))+(ISNUMBER(SEARCH("9am-12pm",$AS$30))*ISNUMBER(SEARCH("9am-12pm",'(B) Register of Participants'!$AA$101)))+(ISNUMBER(SEARCH("12pm-3pm",$AS$30))*ISNUMBER(SEARCH("12pm-3pm",'(B) Register of Participants'!$AA$101)))+(ISNUMBER(SEARCH("3pm-6pm",$AS$30))*ISNUMBER(SEARCH("3pm-6pm",'(B) Register of Participants'!$AA$101)))+(ISNUMBER(SEARCH("6pm-9pm",$AS$30))*ISNUMBER(SEARCH("6pm-9pm",'(B) Register of Participants'!$AA$101)))+(ISNUMBER(SEARCH("6am-9am",$AS$31))*ISNUMBER(SEARCH("6am-9am",'(B) Register of Participants'!$AB$101)))+(ISNUMBER(SEARCH("9am-12pm",$AS$31))*ISNUMBER(SEARCH("9am-12pm",'(B) Register of Participants'!$AB$101)))+(ISNUMBER(SEARCH("12pm-3pm",$AS$31))*ISNUMBER(SEARCH("12pm-3pm",'(B) Register of Participants'!$AB$101)))+(ISNUMBER(SEARCH("3pm-6pm",$AS$31))*ISNUMBER(SEARCH("3pm-6pm",'(B) Register of Participants'!$AB$101)))+(ISNUMBER(SEARCH("6pm-9pm",$AS$31))*ISNUMBER(SEARCH("6pm-9pm",'(B) Register of Participants'!$AB$101)))+(ISNUMBER(SEARCH("6am-9am",$AS$32))*ISNUMBER(SEARCH("6am-9am",'(B) Register of Participants'!$AC$101)))+(ISNUMBER(SEARCH("9am-12pm",$AS$32))*ISNUMBER(SEARCH("9am-12pm",'(B) Register of Participants'!$AC$101)))+(ISNUMBER(SEARCH("12pm-3pm",$AS$32))*ISNUMBER(SEARCH("12pm-3pm",'(B) Register of Participants'!$AC$101)))+(ISNUMBER(SEARCH("3pm-6pm",$AS$32))*ISNUMBER(SEARCH("3pm-6pm",'(B) Register of Participants'!$AC$101)))+(ISNUMBER(SEARCH("6pm-9pm",$AS$32))*ISNUMBER(SEARCH("6pm-9pm",'(B) Register of Participants'!$AC$101)))+(ISNUMBER(SEARCH("6am-9am",$AS$33))*ISNUMBER(SEARCH("6am-9am",'(B) Register of Participants'!$AD$101)))+(ISNUMBER(SEARCH("9am-12pm",$AS$33))*ISNUMBER(SEARCH("9am-12pm",'(B) Register of Participants'!$AD$101)))+(ISNUMBER(SEARCH("12pm-3pm",$AS$33))*ISNUMBER(SEARCH("12pm-3pm",'(B) Register of Participants'!$AD$101)))+(ISNUMBER(SEARCH("3pm-6pm",$AS$33))*ISNUMBER(SEARCH("3pm-6pm",'(B) Register of Participants'!$AD$101)))+(ISNUMBER(SEARCH("6pm-9pm",$AS$33))*ISNUMBER(SEARCH("6pm-9pm",'(B) Register of Participants'!$AD$101)))</f>
        <v/>
      </c>
      <c r="Q123" s="20">
        <f>IF(OR(AND($AS$17&lt;&gt;"",$AS$17&lt;&gt;"English",IF($AS$17="Persian",OR(ISNUMBER(SEARCH("Dari",'(B) Register of Participants'!$AR$101)),ISNUMBER(SEARCH("Farsi",'(B) Register of Participants'!$AR$101)),ISNUMBER(SEARCH("Persian",'(B) Register of Participants'!$AR$101)),ISNUMBER(SEARCH("Hazaragi",'(B) Register of Participants'!$AR$101))),ISNUMBER(SEARCH($AS$17,'(B) Register of Participants'!$AR$101)))),AND($AS$20&lt;&gt;"",$AS$20&lt;&gt;"English",IF($AS$20="Persian",OR(ISNUMBER(SEARCH("Dari",'(B) Register of Participants'!$AR$101)),ISNUMBER(SEARCH("Farsi",'(B) Register of Participants'!$AR$101)),ISNUMBER(SEARCH("Persian",'(B) Register of Participants'!$AR$101)),ISNUMBER(SEARCH("Hazaragi",'(B) Register of Participants'!$AR$101))),ISNUMBER(SEARCH($AS$20,'(B) Register of Participants'!$AR$101))))),1,0)</f>
        <v/>
      </c>
      <c r="R123" s="20">
        <f>IF(AND(AH123,AI123,NOT(AJ123),NOT($AS$25),AK123,$AS$26,AM123,AN123,NOT(AL123)),"Yes","No")</f>
        <v/>
      </c>
      <c r="S123" s="20">
        <f>IF(OR(COUNTIF('Engine Lists'!$A:$A,$AS$14&amp;"|"&amp;AO123)&gt;0,COUNTIF('Engine Lists'!$A:$A,$AS$14&amp;"|"&amp;AP123)&gt;0,COUNTIF('Engine Lists'!$A:$A,$AS$15&amp;"|"&amp;AO123)&gt;0,COUNTIF('Engine Lists'!$A:$A,$AS$15&amp;"|"&amp;AP123)&gt;0,COUNTIF('Engine Lists'!$A:$A,$AS$21&amp;"|"&amp;I123)&gt;0),-8,0)</f>
        <v/>
      </c>
      <c r="T123" s="20">
        <f>IF(Q123=1,IF(OR($AS$8="A2",$AS$8="B1"),7,IF(OR($AS$8="B2",$AS$8="C1",$AS$8="C2"),-5,0)),0)</f>
        <v/>
      </c>
      <c r="U123" s="20">
        <f>IF(AND($AS$6=G123,OR($AS$6="Male",$AS$6="Female")),5,0)</f>
        <v/>
      </c>
      <c r="V123" s="20">
        <f>IF(AND($AS$24,$AS$11&lt;&gt;"In-Person",K123&lt;&gt;"In-Person"),-5,0)</f>
        <v/>
      </c>
      <c r="W123" s="20">
        <f>IF(OR($AS$11=K123,$AS$11="Either",K123="Either"),3,0)</f>
        <v/>
      </c>
      <c r="X123" s="20">
        <f>IF(AND($AS$11&lt;&gt;"Online",K123&lt;&gt;"Online",ISNUMBER($AS$22),ISNUMBER(IFERROR(VALUE(M123),"x"))),IF(ABS($AS$22-VALUE(M123))&lt;=50,3,0),0)</f>
        <v/>
      </c>
      <c r="Y123" s="20">
        <f>IF(AND($AS$10&lt;&gt;"",$AS$10=J123),3,0)</f>
        <v/>
      </c>
      <c r="Z123" s="20">
        <f>IF(OR(N($AS$13)&gt;=150,N(O123)&gt;=150),3,0)</f>
        <v/>
      </c>
      <c r="AA123" s="20">
        <f>IF(AND($AS$21&lt;&gt;"",$AS$21&lt;&gt;"NA",$AS$21=I123),2,0)</f>
        <v/>
      </c>
      <c r="AB123" s="20">
        <f>IF(OR(AND($AS$14&lt;&gt;"",$AS$14&lt;&gt;"NA",OR($AS$14=AO123,$AS$14=AP123)),AND($AS$15&lt;&gt;"",OR($AS$15=AO123,$AS$15=AP123))),2,0)</f>
        <v/>
      </c>
      <c r="AC123" s="20">
        <f>IF(AND(ISNUMBER($AS$12),ISNUMBER(N123),ABS($AS$12-N123)&lt;=10),2,0)</f>
        <v/>
      </c>
      <c r="AD123" s="20">
        <f>IF(R123="Yes",SUM(S123:AC123),"")</f>
        <v/>
      </c>
      <c r="AE123" s="20">
        <f>IF(R123="Yes","Score "&amp;AD123&amp;": "&amp;TRIM(IF(S123&lt;&gt;0,"−8 acrimonious; ","")&amp;IF(T123=7,"+7 shared language; ","")&amp;IF(T123=-5,"−5 shared lang(adv); ","")&amp;IF(U123=5,"+5 same-sex; ","")&amp;IF(V123=-5,"−5 online no device; ","")&amp;IF(W123=3,"+3 mode; ","")&amp;IF(X123=3,"+3 proximity; ","")&amp;IF(Y123=3,"+3 category; ","")&amp;IF(Z123=3,"+3 long wait; ","")&amp;IF(AA123=2,"+2 religion; ","")&amp;IF(AB123=2,"+2 nationality; ","")&amp;IF(AC123=2,"+2 age; ","")),"Not eligible: "&amp;IF(NOT(AH123),"tutor not pending/with-capacity",IF(NOT(AI123),"no spare capacity",IF(AJ123,"tutor blacklisted",IF($AS$25,"student blacklisted",IF(NOT(AK123),"tutor vetting incomplete",IF(NOT($AS$26),"student vetting incomplete",IF(NOT(AM123),"no overlapping 3h AEST block",IF(NOT(AN123),"A1 student needs a shared language",IF(AL123,"'do not pair' note present",""))))))))))</f>
        <v/>
      </c>
      <c r="AF123">
        <f>TRIM(IFERROR(LEFT('(B) Register of Participants'!$AR$101,FIND(" (",'(B) Register of Participants'!$AR$101)-1),'(B) Register of Participants'!$AR$101))</f>
        <v/>
      </c>
      <c r="AG123">
        <f>IF(ISNUMBER(SEARCH("Mandarin",'(B) Register of Participants'!$AR$101)),"Mandarin",IF(ISNUMBER(SEARCH("Cantonese",'(B) Register of Participants'!$AR$101)),"Cantonese",IF(OR(AF123="Dari",AF123="Farsi",AF123="Persian",AF123="Hazaragi"),"Persian",AF123)))</f>
        <v/>
      </c>
      <c r="AH123">
        <f>OR(E123="ADM-ACT-UNMAT",E123="ADM-ACT-MAT-CNE")</f>
        <v/>
      </c>
      <c r="AI123">
        <f>F123&gt;0</f>
        <v/>
      </c>
      <c r="AJ123">
        <f>LEFT('(B) Register of Participants'!$L$101,3)="Yes"</f>
        <v/>
      </c>
      <c r="AK123">
        <f>AND(OR(LEFT('(B) Register of Participants'!$AY$101,3)="Yes",LEFT('(B) Register of Participants'!$AY$101,2)="NA"),OR(LEFT('(B) Register of Participants'!$AZ$101,3)="Yes",LEFT('(B) Register of Participants'!$AZ$101,2)="NA"))</f>
        <v/>
      </c>
      <c r="AL123">
        <f>OR(ISNUMBER(SEARCH("do not pair",'(B) Register of Participants'!$BL$101)),ISNUMBER(SEARCH("do not pair",'(B) Register of Participants'!$BM$101)))</f>
        <v/>
      </c>
      <c r="AM123">
        <f>P123&gt;0</f>
        <v/>
      </c>
      <c r="AN123">
        <f>IF($AS$8="A1",Q123=1,TRUE)</f>
        <v/>
      </c>
      <c r="AO123">
        <f>TRIM(IFERROR(LEFT('(B) Register of Participants'!$AP$101,FIND(";",'(B) Register of Participants'!$AP$101)-1),'(B) Register of Participants'!$AP$101))</f>
        <v/>
      </c>
      <c r="AP123">
        <f>IF(ISNUMBER(FIND(";",'(B) Register of Participants'!$AP$101)),TRIM(MID('(B) Register of Participants'!$AP$101,FIND(";",'(B) Register of Participants'!$AP$101)+1,80)),"")</f>
        <v/>
      </c>
    </row>
    <row r="124">
      <c r="B124" s="20">
        <f>IF(R124="Yes",RANK(AD124,$AD$25:$AD$124),"")</f>
        <v/>
      </c>
      <c r="C124" s="20">
        <f>'(B) Register of Participants'!$A$102</f>
        <v/>
      </c>
      <c r="D124" s="20">
        <f>'(B) Register of Participants'!$B$102</f>
        <v/>
      </c>
      <c r="E124" s="20">
        <f>'(B) Register of Participants'!$J$102</f>
        <v/>
      </c>
      <c r="F124" s="20">
        <f>IFERROR('(B) Register of Participants'!$O$102-'(B) Register of Participants'!$P$102,0)</f>
        <v/>
      </c>
      <c r="G124" s="20">
        <f>'(B) Register of Participants'!$AL$102</f>
        <v/>
      </c>
      <c r="H124" s="20">
        <f>'(B) Register of Participants'!$AP$102</f>
        <v/>
      </c>
      <c r="I124" s="20">
        <f>TRIM(IFERROR(LEFT('(B) Register of Participants'!$AS$102,FIND(" (",'(B) Register of Participants'!$AS$102)-1),'(B) Register of Participants'!$AS$102))</f>
        <v/>
      </c>
      <c r="J124" s="20">
        <f>'(B) Register of Participants'!$AT$102</f>
        <v/>
      </c>
      <c r="K124" s="20">
        <f>'(B) Register of Participants'!$AE$102</f>
        <v/>
      </c>
      <c r="L124" s="20">
        <f>'(B) Register of Participants'!$AF$102</f>
        <v/>
      </c>
      <c r="M124" s="20">
        <f>'(B) Register of Participants'!$AJ$102</f>
        <v/>
      </c>
      <c r="N124" s="20">
        <f>'(B) Register of Participants'!$CY$102</f>
        <v/>
      </c>
      <c r="O124" s="20">
        <f>'(B) Register of Participants'!$CW$102</f>
        <v/>
      </c>
      <c r="P124" s="20">
        <f>(ISNUMBER(SEARCH("6am-9am",$AS$27))*ISNUMBER(SEARCH("6am-9am",'(B) Register of Participants'!$X$102)))+(ISNUMBER(SEARCH("9am-12pm",$AS$27))*ISNUMBER(SEARCH("9am-12pm",'(B) Register of Participants'!$X$102)))+(ISNUMBER(SEARCH("12pm-3pm",$AS$27))*ISNUMBER(SEARCH("12pm-3pm",'(B) Register of Participants'!$X$102)))+(ISNUMBER(SEARCH("3pm-6pm",$AS$27))*ISNUMBER(SEARCH("3pm-6pm",'(B) Register of Participants'!$X$102)))+(ISNUMBER(SEARCH("6pm-9pm",$AS$27))*ISNUMBER(SEARCH("6pm-9pm",'(B) Register of Participants'!$X$102)))+(ISNUMBER(SEARCH("6am-9am",$AS$28))*ISNUMBER(SEARCH("6am-9am",'(B) Register of Participants'!$Y$102)))+(ISNUMBER(SEARCH("9am-12pm",$AS$28))*ISNUMBER(SEARCH("9am-12pm",'(B) Register of Participants'!$Y$102)))+(ISNUMBER(SEARCH("12pm-3pm",$AS$28))*ISNUMBER(SEARCH("12pm-3pm",'(B) Register of Participants'!$Y$102)))+(ISNUMBER(SEARCH("3pm-6pm",$AS$28))*ISNUMBER(SEARCH("3pm-6pm",'(B) Register of Participants'!$Y$102)))+(ISNUMBER(SEARCH("6pm-9pm",$AS$28))*ISNUMBER(SEARCH("6pm-9pm",'(B) Register of Participants'!$Y$102)))+(ISNUMBER(SEARCH("6am-9am",$AS$29))*ISNUMBER(SEARCH("6am-9am",'(B) Register of Participants'!$Z$102)))+(ISNUMBER(SEARCH("9am-12pm",$AS$29))*ISNUMBER(SEARCH("9am-12pm",'(B) Register of Participants'!$Z$102)))+(ISNUMBER(SEARCH("12pm-3pm",$AS$29))*ISNUMBER(SEARCH("12pm-3pm",'(B) Register of Participants'!$Z$102)))+(ISNUMBER(SEARCH("3pm-6pm",$AS$29))*ISNUMBER(SEARCH("3pm-6pm",'(B) Register of Participants'!$Z$102)))+(ISNUMBER(SEARCH("6pm-9pm",$AS$29))*ISNUMBER(SEARCH("6pm-9pm",'(B) Register of Participants'!$Z$102)))+(ISNUMBER(SEARCH("6am-9am",$AS$30))*ISNUMBER(SEARCH("6am-9am",'(B) Register of Participants'!$AA$102)))+(ISNUMBER(SEARCH("9am-12pm",$AS$30))*ISNUMBER(SEARCH("9am-12pm",'(B) Register of Participants'!$AA$102)))+(ISNUMBER(SEARCH("12pm-3pm",$AS$30))*ISNUMBER(SEARCH("12pm-3pm",'(B) Register of Participants'!$AA$102)))+(ISNUMBER(SEARCH("3pm-6pm",$AS$30))*ISNUMBER(SEARCH("3pm-6pm",'(B) Register of Participants'!$AA$102)))+(ISNUMBER(SEARCH("6pm-9pm",$AS$30))*ISNUMBER(SEARCH("6pm-9pm",'(B) Register of Participants'!$AA$102)))+(ISNUMBER(SEARCH("6am-9am",$AS$31))*ISNUMBER(SEARCH("6am-9am",'(B) Register of Participants'!$AB$102)))+(ISNUMBER(SEARCH("9am-12pm",$AS$31))*ISNUMBER(SEARCH("9am-12pm",'(B) Register of Participants'!$AB$102)))+(ISNUMBER(SEARCH("12pm-3pm",$AS$31))*ISNUMBER(SEARCH("12pm-3pm",'(B) Register of Participants'!$AB$102)))+(ISNUMBER(SEARCH("3pm-6pm",$AS$31))*ISNUMBER(SEARCH("3pm-6pm",'(B) Register of Participants'!$AB$102)))+(ISNUMBER(SEARCH("6pm-9pm",$AS$31))*ISNUMBER(SEARCH("6pm-9pm",'(B) Register of Participants'!$AB$102)))+(ISNUMBER(SEARCH("6am-9am",$AS$32))*ISNUMBER(SEARCH("6am-9am",'(B) Register of Participants'!$AC$102)))+(ISNUMBER(SEARCH("9am-12pm",$AS$32))*ISNUMBER(SEARCH("9am-12pm",'(B) Register of Participants'!$AC$102)))+(ISNUMBER(SEARCH("12pm-3pm",$AS$32))*ISNUMBER(SEARCH("12pm-3pm",'(B) Register of Participants'!$AC$102)))+(ISNUMBER(SEARCH("3pm-6pm",$AS$32))*ISNUMBER(SEARCH("3pm-6pm",'(B) Register of Participants'!$AC$102)))+(ISNUMBER(SEARCH("6pm-9pm",$AS$32))*ISNUMBER(SEARCH("6pm-9pm",'(B) Register of Participants'!$AC$102)))+(ISNUMBER(SEARCH("6am-9am",$AS$33))*ISNUMBER(SEARCH("6am-9am",'(B) Register of Participants'!$AD$102)))+(ISNUMBER(SEARCH("9am-12pm",$AS$33))*ISNUMBER(SEARCH("9am-12pm",'(B) Register of Participants'!$AD$102)))+(ISNUMBER(SEARCH("12pm-3pm",$AS$33))*ISNUMBER(SEARCH("12pm-3pm",'(B) Register of Participants'!$AD$102)))+(ISNUMBER(SEARCH("3pm-6pm",$AS$33))*ISNUMBER(SEARCH("3pm-6pm",'(B) Register of Participants'!$AD$102)))+(ISNUMBER(SEARCH("6pm-9pm",$AS$33))*ISNUMBER(SEARCH("6pm-9pm",'(B) Register of Participants'!$AD$102)))</f>
        <v/>
      </c>
      <c r="Q124" s="20">
        <f>IF(OR(AND($AS$17&lt;&gt;"",$AS$17&lt;&gt;"English",IF($AS$17="Persian",OR(ISNUMBER(SEARCH("Dari",'(B) Register of Participants'!$AR$102)),ISNUMBER(SEARCH("Farsi",'(B) Register of Participants'!$AR$102)),ISNUMBER(SEARCH("Persian",'(B) Register of Participants'!$AR$102)),ISNUMBER(SEARCH("Hazaragi",'(B) Register of Participants'!$AR$102))),ISNUMBER(SEARCH($AS$17,'(B) Register of Participants'!$AR$102)))),AND($AS$20&lt;&gt;"",$AS$20&lt;&gt;"English",IF($AS$20="Persian",OR(ISNUMBER(SEARCH("Dari",'(B) Register of Participants'!$AR$102)),ISNUMBER(SEARCH("Farsi",'(B) Register of Participants'!$AR$102)),ISNUMBER(SEARCH("Persian",'(B) Register of Participants'!$AR$102)),ISNUMBER(SEARCH("Hazaragi",'(B) Register of Participants'!$AR$102))),ISNUMBER(SEARCH($AS$20,'(B) Register of Participants'!$AR$102))))),1,0)</f>
        <v/>
      </c>
      <c r="R124" s="20">
        <f>IF(AND(AH124,AI124,NOT(AJ124),NOT($AS$25),AK124,$AS$26,AM124,AN124,NOT(AL124)),"Yes","No")</f>
        <v/>
      </c>
      <c r="S124" s="20">
        <f>IF(OR(COUNTIF('Engine Lists'!$A:$A,$AS$14&amp;"|"&amp;AO124)&gt;0,COUNTIF('Engine Lists'!$A:$A,$AS$14&amp;"|"&amp;AP124)&gt;0,COUNTIF('Engine Lists'!$A:$A,$AS$15&amp;"|"&amp;AO124)&gt;0,COUNTIF('Engine Lists'!$A:$A,$AS$15&amp;"|"&amp;AP124)&gt;0,COUNTIF('Engine Lists'!$A:$A,$AS$21&amp;"|"&amp;I124)&gt;0),-8,0)</f>
        <v/>
      </c>
      <c r="T124" s="20">
        <f>IF(Q124=1,IF(OR($AS$8="A2",$AS$8="B1"),7,IF(OR($AS$8="B2",$AS$8="C1",$AS$8="C2"),-5,0)),0)</f>
        <v/>
      </c>
      <c r="U124" s="20">
        <f>IF(AND($AS$6=G124,OR($AS$6="Male",$AS$6="Female")),5,0)</f>
        <v/>
      </c>
      <c r="V124" s="20">
        <f>IF(AND($AS$24,$AS$11&lt;&gt;"In-Person",K124&lt;&gt;"In-Person"),-5,0)</f>
        <v/>
      </c>
      <c r="W124" s="20">
        <f>IF(OR($AS$11=K124,$AS$11="Either",K124="Either"),3,0)</f>
        <v/>
      </c>
      <c r="X124" s="20">
        <f>IF(AND($AS$11&lt;&gt;"Online",K124&lt;&gt;"Online",ISNUMBER($AS$22),ISNUMBER(IFERROR(VALUE(M124),"x"))),IF(ABS($AS$22-VALUE(M124))&lt;=50,3,0),0)</f>
        <v/>
      </c>
      <c r="Y124" s="20">
        <f>IF(AND($AS$10&lt;&gt;"",$AS$10=J124),3,0)</f>
        <v/>
      </c>
      <c r="Z124" s="20">
        <f>IF(OR(N($AS$13)&gt;=150,N(O124)&gt;=150),3,0)</f>
        <v/>
      </c>
      <c r="AA124" s="20">
        <f>IF(AND($AS$21&lt;&gt;"",$AS$21&lt;&gt;"NA",$AS$21=I124),2,0)</f>
        <v/>
      </c>
      <c r="AB124" s="20">
        <f>IF(OR(AND($AS$14&lt;&gt;"",$AS$14&lt;&gt;"NA",OR($AS$14=AO124,$AS$14=AP124)),AND($AS$15&lt;&gt;"",OR($AS$15=AO124,$AS$15=AP124))),2,0)</f>
        <v/>
      </c>
      <c r="AC124" s="20">
        <f>IF(AND(ISNUMBER($AS$12),ISNUMBER(N124),ABS($AS$12-N124)&lt;=10),2,0)</f>
        <v/>
      </c>
      <c r="AD124" s="20">
        <f>IF(R124="Yes",SUM(S124:AC124),"")</f>
        <v/>
      </c>
      <c r="AE124" s="20">
        <f>IF(R124="Yes","Score "&amp;AD124&amp;": "&amp;TRIM(IF(S124&lt;&gt;0,"−8 acrimonious; ","")&amp;IF(T124=7,"+7 shared language; ","")&amp;IF(T124=-5,"−5 shared lang(adv); ","")&amp;IF(U124=5,"+5 same-sex; ","")&amp;IF(V124=-5,"−5 online no device; ","")&amp;IF(W124=3,"+3 mode; ","")&amp;IF(X124=3,"+3 proximity; ","")&amp;IF(Y124=3,"+3 category; ","")&amp;IF(Z124=3,"+3 long wait; ","")&amp;IF(AA124=2,"+2 religion; ","")&amp;IF(AB124=2,"+2 nationality; ","")&amp;IF(AC124=2,"+2 age; ","")),"Not eligible: "&amp;IF(NOT(AH124),"tutor not pending/with-capacity",IF(NOT(AI124),"no spare capacity",IF(AJ124,"tutor blacklisted",IF($AS$25,"student blacklisted",IF(NOT(AK124),"tutor vetting incomplete",IF(NOT($AS$26),"student vetting incomplete",IF(NOT(AM124),"no overlapping 3h AEST block",IF(NOT(AN124),"A1 student needs a shared language",IF(AL124,"'do not pair' note present",""))))))))))</f>
        <v/>
      </c>
      <c r="AF124">
        <f>TRIM(IFERROR(LEFT('(B) Register of Participants'!$AR$102,FIND(" (",'(B) Register of Participants'!$AR$102)-1),'(B) Register of Participants'!$AR$102))</f>
        <v/>
      </c>
      <c r="AG124">
        <f>IF(ISNUMBER(SEARCH("Mandarin",'(B) Register of Participants'!$AR$102)),"Mandarin",IF(ISNUMBER(SEARCH("Cantonese",'(B) Register of Participants'!$AR$102)),"Cantonese",IF(OR(AF124="Dari",AF124="Farsi",AF124="Persian",AF124="Hazaragi"),"Persian",AF124)))</f>
        <v/>
      </c>
      <c r="AH124">
        <f>OR(E124="ADM-ACT-UNMAT",E124="ADM-ACT-MAT-CNE")</f>
        <v/>
      </c>
      <c r="AI124">
        <f>F124&gt;0</f>
        <v/>
      </c>
      <c r="AJ124">
        <f>LEFT('(B) Register of Participants'!$L$102,3)="Yes"</f>
        <v/>
      </c>
      <c r="AK124">
        <f>AND(OR(LEFT('(B) Register of Participants'!$AY$102,3)="Yes",LEFT('(B) Register of Participants'!$AY$102,2)="NA"),OR(LEFT('(B) Register of Participants'!$AZ$102,3)="Yes",LEFT('(B) Register of Participants'!$AZ$102,2)="NA"))</f>
        <v/>
      </c>
      <c r="AL124">
        <f>OR(ISNUMBER(SEARCH("do not pair",'(B) Register of Participants'!$BL$102)),ISNUMBER(SEARCH("do not pair",'(B) Register of Participants'!$BM$102)))</f>
        <v/>
      </c>
      <c r="AM124">
        <f>P124&gt;0</f>
        <v/>
      </c>
      <c r="AN124">
        <f>IF($AS$8="A1",Q124=1,TRUE)</f>
        <v/>
      </c>
      <c r="AO124">
        <f>TRIM(IFERROR(LEFT('(B) Register of Participants'!$AP$102,FIND(";",'(B) Register of Participants'!$AP$102)-1),'(B) Register of Participants'!$AP$102))</f>
        <v/>
      </c>
      <c r="AP124">
        <f>IF(ISNUMBER(FIND(";",'(B) Register of Participants'!$AP$102)),TRIM(MID('(B) Register of Participants'!$AP$102,FIND(";",'(B) Register of Participants'!$AP$102)+1,80)),"")</f>
        <v/>
      </c>
    </row>
  </sheetData>
  <mergeCells count="2">
    <mergeCell ref="B3:AE3"/>
    <mergeCell ref="B22:AE22"/>
  </mergeCells>
  <conditionalFormatting sqref="B25:AE124">
    <cfRule type="expression" priority="1" dxfId="0">
      <formula>$R25="Yes"</formula>
    </cfRule>
    <cfRule type="expression" priority="2" dxfId="6">
      <formula>$B25=1</formula>
    </cfRule>
  </conditionalFormatting>
  <dataValidations count="1">
    <dataValidation sqref="C5" showDropDown="0" showInputMessage="0" showErrorMessage="0" allowBlank="1" type="list">
      <formula1>='(B) Register of Participants'!$A$103:$A$202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showGridLines="0"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6" customWidth="1" min="9" max="9"/>
    <col width="26" customWidth="1" min="10" max="10"/>
    <col width="14" customWidth="1" min="11" max="11"/>
    <col width="26" customWidth="1" min="12" max="12"/>
    <col width="14" customWidth="1" min="13" max="13"/>
  </cols>
  <sheetData>
    <row r="1">
      <c r="A1" s="15" t="inlineStr">
        <is>
          <t>(F) REGISTER OF INCIDENTS — safeguarding log. Restrict access to authorised staff.</t>
        </is>
      </c>
    </row>
    <row r="2">
      <c r="A2" s="72" t="inlineStr">
        <is>
          <t>Incident ID</t>
        </is>
      </c>
      <c r="B2" s="72" t="inlineStr">
        <is>
          <t>Date Reported</t>
        </is>
      </c>
      <c r="C2" s="72" t="inlineStr">
        <is>
          <t>Date of Incident</t>
        </is>
      </c>
      <c r="D2" s="72" t="inlineStr">
        <is>
          <t>Participant ID(s)</t>
        </is>
      </c>
      <c r="E2" s="72" t="inlineStr">
        <is>
          <t>Participant Name(s)</t>
        </is>
      </c>
      <c r="F2" s="72" t="inlineStr">
        <is>
          <t>Reported By</t>
        </is>
      </c>
      <c r="G2" s="72" t="inlineStr">
        <is>
          <t>Category</t>
        </is>
      </c>
      <c r="H2" s="72" t="inlineStr">
        <is>
          <t>Severity</t>
        </is>
      </c>
      <c r="I2" s="72" t="inlineStr">
        <is>
          <t>Description</t>
        </is>
      </c>
      <c r="J2" s="72" t="inlineStr">
        <is>
          <t>Immediate Action Taken</t>
        </is>
      </c>
      <c r="K2" s="72" t="inlineStr">
        <is>
          <t>Status</t>
        </is>
      </c>
      <c r="L2" s="72" t="inlineStr">
        <is>
          <t>Resolution / Follow-up</t>
        </is>
      </c>
      <c r="M2" s="72" t="inlineStr">
        <is>
          <t>Closed Date</t>
        </is>
      </c>
    </row>
  </sheetData>
  <dataValidations count="3">
    <dataValidation sqref="H3:H600" showDropDown="0" showInputMessage="0" showErrorMessage="0" allowBlank="1" type="list">
      <formula1>"Low,Medium,High,Critical"</formula1>
    </dataValidation>
    <dataValidation sqref="G3:G600" showDropDown="0" showInputMessage="0" showErrorMessage="0" allowBlank="1" type="list">
      <formula1>"Child safety,Conduct,Welfare,Privacy/data,Complaint,Other"</formula1>
    </dataValidation>
    <dataValidation sqref="K3:K600" showDropDown="0" showInputMessage="0" showErrorMessage="0" allowBlank="1" type="list">
      <formula1>"Open,Under review,Escalated,Closed"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2026-07-14T21:21:59Z</dcterms:created>
  <dcterms:modified xmlns:dcterms="http://purl.org/dc/terms/" xmlns:xsi="http://www.w3.org/2001/XMLSchema-instance" xsi:type="dcterms:W3CDTF">2026-07-14T21:22:00Z</dcterms:modified>
</cp:coreProperties>
</file>